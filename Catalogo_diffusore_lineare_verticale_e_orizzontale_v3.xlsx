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furnari\Downloads\"/>
    </mc:Choice>
  </mc:AlternateContent>
  <xr:revisionPtr revIDLastSave="0" documentId="13_ncr:1_{53AC0284-EB93-4C69-9343-78D5940E48C1}" xr6:coauthVersionLast="47" xr6:coauthVersionMax="47" xr10:uidLastSave="{00000000-0000-0000-0000-000000000000}"/>
  <bookViews>
    <workbookView xWindow="28680" yWindow="-120" windowWidth="29040" windowHeight="15720" tabRatio="500" firstSheet="5" activeTab="6" xr2:uid="{00000000-000D-0000-FFFF-FFFF00000000}"/>
  </bookViews>
  <sheets>
    <sheet name="Parametri" sheetId="1" r:id="rId1"/>
    <sheet name="Catalogo" sheetId="2" r:id="rId2"/>
    <sheet name="Catalogo_L_libera" sheetId="3" r:id="rId3"/>
    <sheet name="Lancio_vs_L" sheetId="4" r:id="rId4"/>
    <sheet name="Catalogo_L_h" sheetId="5" r:id="rId5"/>
    <sheet name="Lancio_vs_L_h" sheetId="6" r:id="rId6"/>
    <sheet name="H_Catalogo" sheetId="7" r:id="rId7"/>
    <sheet name="H_Lancio_vs_L" sheetId="8" r:id="rId8"/>
    <sheet name="Riepilogo" sheetId="9" r:id="rId9"/>
    <sheet name="Curve" sheetId="10" r:id="rId10"/>
    <sheet name="Note" sheetId="11" r:id="rId11"/>
    <sheet name="CFD_L500" sheetId="12" r:id="rId12"/>
    <sheet name="CFD_L1000" sheetId="13" r:id="rId13"/>
    <sheet name="CFD_L1500" sheetId="14" r:id="rId14"/>
    <sheet name="H_CFD_L500" sheetId="15" r:id="rId15"/>
    <sheet name="H_CFD_L1000" sheetId="16" r:id="rId16"/>
    <sheet name="H_CFD_L1500" sheetId="17" r:id="rId17"/>
    <sheet name="H_Curve" sheetId="18" r:id="rId18"/>
    <sheet name="H_Parametri" sheetId="19" r:id="rId19"/>
    <sheet name="Verifica_15m" sheetId="20" r:id="rId24"/>
  </sheet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18" l="1"/>
  <c r="B16" i="19"/>
  <c r="C16" i="19" s="1"/>
  <c r="B15" i="19"/>
  <c r="C15" i="19" s="1"/>
  <c r="B14" i="19"/>
  <c r="C14" i="19" s="1"/>
  <c r="B8" i="19"/>
  <c r="B7" i="19"/>
  <c r="B4" i="19"/>
  <c r="S309" i="17"/>
  <c r="O309" i="17"/>
  <c r="K309" i="17"/>
  <c r="G309" i="17"/>
  <c r="C309" i="17"/>
  <c r="S308" i="17"/>
  <c r="O308" i="17"/>
  <c r="K308" i="17"/>
  <c r="G308" i="17"/>
  <c r="C308" i="17"/>
  <c r="S307" i="17"/>
  <c r="O307" i="17"/>
  <c r="K307" i="17"/>
  <c r="G307" i="17"/>
  <c r="C307" i="17"/>
  <c r="S306" i="17"/>
  <c r="O306" i="17"/>
  <c r="K306" i="17"/>
  <c r="G306" i="17"/>
  <c r="C306" i="17"/>
  <c r="S305" i="17"/>
  <c r="O305" i="17"/>
  <c r="K305" i="17"/>
  <c r="G305" i="17"/>
  <c r="C305" i="17"/>
  <c r="S304" i="17"/>
  <c r="O304" i="17"/>
  <c r="K304" i="17"/>
  <c r="G304" i="17"/>
  <c r="C304" i="17"/>
  <c r="S303" i="17"/>
  <c r="O303" i="17"/>
  <c r="K303" i="17"/>
  <c r="G303" i="17"/>
  <c r="C303" i="17"/>
  <c r="S302" i="17"/>
  <c r="O302" i="17"/>
  <c r="K302" i="17"/>
  <c r="G302" i="17"/>
  <c r="C302" i="17"/>
  <c r="S301" i="17"/>
  <c r="O301" i="17"/>
  <c r="K301" i="17"/>
  <c r="G301" i="17"/>
  <c r="C301" i="17"/>
  <c r="S300" i="17"/>
  <c r="O300" i="17"/>
  <c r="K300" i="17"/>
  <c r="G300" i="17"/>
  <c r="C300" i="17"/>
  <c r="S299" i="17"/>
  <c r="O299" i="17"/>
  <c r="K299" i="17"/>
  <c r="G299" i="17"/>
  <c r="C299" i="17"/>
  <c r="S298" i="17"/>
  <c r="O298" i="17"/>
  <c r="K298" i="17"/>
  <c r="G298" i="17"/>
  <c r="C298" i="17"/>
  <c r="S297" i="17"/>
  <c r="O297" i="17"/>
  <c r="K297" i="17"/>
  <c r="G297" i="17"/>
  <c r="C297" i="17"/>
  <c r="S296" i="17"/>
  <c r="O296" i="17"/>
  <c r="K296" i="17"/>
  <c r="G296" i="17"/>
  <c r="C296" i="17"/>
  <c r="S295" i="17"/>
  <c r="O295" i="17"/>
  <c r="K295" i="17"/>
  <c r="G295" i="17"/>
  <c r="C295" i="17"/>
  <c r="S294" i="17"/>
  <c r="O294" i="17"/>
  <c r="K294" i="17"/>
  <c r="G294" i="17"/>
  <c r="C294" i="17"/>
  <c r="S293" i="17"/>
  <c r="O293" i="17"/>
  <c r="K293" i="17"/>
  <c r="G293" i="17"/>
  <c r="C293" i="17"/>
  <c r="S292" i="17"/>
  <c r="O292" i="17"/>
  <c r="K292" i="17"/>
  <c r="G292" i="17"/>
  <c r="C292" i="17"/>
  <c r="S291" i="17"/>
  <c r="O291" i="17"/>
  <c r="K291" i="17"/>
  <c r="G291" i="17"/>
  <c r="C291" i="17"/>
  <c r="S290" i="17"/>
  <c r="O290" i="17"/>
  <c r="K290" i="17"/>
  <c r="G290" i="17"/>
  <c r="C290" i="17"/>
  <c r="S289" i="17"/>
  <c r="O289" i="17"/>
  <c r="K289" i="17"/>
  <c r="G289" i="17"/>
  <c r="C289" i="17"/>
  <c r="S288" i="17"/>
  <c r="O288" i="17"/>
  <c r="K288" i="17"/>
  <c r="G288" i="17"/>
  <c r="C288" i="17"/>
  <c r="S287" i="17"/>
  <c r="O287" i="17"/>
  <c r="K287" i="17"/>
  <c r="G287" i="17"/>
  <c r="C287" i="17"/>
  <c r="S286" i="17"/>
  <c r="O286" i="17"/>
  <c r="K286" i="17"/>
  <c r="G286" i="17"/>
  <c r="C286" i="17"/>
  <c r="S285" i="17"/>
  <c r="O285" i="17"/>
  <c r="K285" i="17"/>
  <c r="G285" i="17"/>
  <c r="C285" i="17"/>
  <c r="S284" i="17"/>
  <c r="O284" i="17"/>
  <c r="K284" i="17"/>
  <c r="G284" i="17"/>
  <c r="C284" i="17"/>
  <c r="S283" i="17"/>
  <c r="O283" i="17"/>
  <c r="K283" i="17"/>
  <c r="G283" i="17"/>
  <c r="C283" i="17"/>
  <c r="S282" i="17"/>
  <c r="O282" i="17"/>
  <c r="K282" i="17"/>
  <c r="G282" i="17"/>
  <c r="C282" i="17"/>
  <c r="S281" i="17"/>
  <c r="O281" i="17"/>
  <c r="K281" i="17"/>
  <c r="G281" i="17"/>
  <c r="C281" i="17"/>
  <c r="S280" i="17"/>
  <c r="O280" i="17"/>
  <c r="K280" i="17"/>
  <c r="G280" i="17"/>
  <c r="C280" i="17"/>
  <c r="S279" i="17"/>
  <c r="O279" i="17"/>
  <c r="K279" i="17"/>
  <c r="G279" i="17"/>
  <c r="C279" i="17"/>
  <c r="S278" i="17"/>
  <c r="O278" i="17"/>
  <c r="K278" i="17"/>
  <c r="G278" i="17"/>
  <c r="C278" i="17"/>
  <c r="S277" i="17"/>
  <c r="O277" i="17"/>
  <c r="K277" i="17"/>
  <c r="G277" i="17"/>
  <c r="C277" i="17"/>
  <c r="S276" i="17"/>
  <c r="O276" i="17"/>
  <c r="K276" i="17"/>
  <c r="G276" i="17"/>
  <c r="C276" i="17"/>
  <c r="S275" i="17"/>
  <c r="O275" i="17"/>
  <c r="K275" i="17"/>
  <c r="G275" i="17"/>
  <c r="C275" i="17"/>
  <c r="S274" i="17"/>
  <c r="O274" i="17"/>
  <c r="K274" i="17"/>
  <c r="G274" i="17"/>
  <c r="C274" i="17"/>
  <c r="S273" i="17"/>
  <c r="O273" i="17"/>
  <c r="K273" i="17"/>
  <c r="G273" i="17"/>
  <c r="C273" i="17"/>
  <c r="S272" i="17"/>
  <c r="O272" i="17"/>
  <c r="K272" i="17"/>
  <c r="G272" i="17"/>
  <c r="C272" i="17"/>
  <c r="S271" i="17"/>
  <c r="O271" i="17"/>
  <c r="K271" i="17"/>
  <c r="G271" i="17"/>
  <c r="C271" i="17"/>
  <c r="S270" i="17"/>
  <c r="O270" i="17"/>
  <c r="K270" i="17"/>
  <c r="G270" i="17"/>
  <c r="C270" i="17"/>
  <c r="S269" i="17"/>
  <c r="O269" i="17"/>
  <c r="K269" i="17"/>
  <c r="G269" i="17"/>
  <c r="C269" i="17"/>
  <c r="S268" i="17"/>
  <c r="O268" i="17"/>
  <c r="K268" i="17"/>
  <c r="G268" i="17"/>
  <c r="C268" i="17"/>
  <c r="S267" i="17"/>
  <c r="O267" i="17"/>
  <c r="K267" i="17"/>
  <c r="G267" i="17"/>
  <c r="C267" i="17"/>
  <c r="S266" i="17"/>
  <c r="O266" i="17"/>
  <c r="K266" i="17"/>
  <c r="G266" i="17"/>
  <c r="C266" i="17"/>
  <c r="S265" i="17"/>
  <c r="O265" i="17"/>
  <c r="K265" i="17"/>
  <c r="G265" i="17"/>
  <c r="C265" i="17"/>
  <c r="S264" i="17"/>
  <c r="O264" i="17"/>
  <c r="K264" i="17"/>
  <c r="G264" i="17"/>
  <c r="C264" i="17"/>
  <c r="S263" i="17"/>
  <c r="O263" i="17"/>
  <c r="K263" i="17"/>
  <c r="G263" i="17"/>
  <c r="C263" i="17"/>
  <c r="S262" i="17"/>
  <c r="O262" i="17"/>
  <c r="K262" i="17"/>
  <c r="G262" i="17"/>
  <c r="C262" i="17"/>
  <c r="S261" i="17"/>
  <c r="O261" i="17"/>
  <c r="K261" i="17"/>
  <c r="G261" i="17"/>
  <c r="C261" i="17"/>
  <c r="S260" i="17"/>
  <c r="O260" i="17"/>
  <c r="K260" i="17"/>
  <c r="G260" i="17"/>
  <c r="C260" i="17"/>
  <c r="S259" i="17"/>
  <c r="O259" i="17"/>
  <c r="K259" i="17"/>
  <c r="G259" i="17"/>
  <c r="C259" i="17"/>
  <c r="S258" i="17"/>
  <c r="O258" i="17"/>
  <c r="K258" i="17"/>
  <c r="G258" i="17"/>
  <c r="C258" i="17"/>
  <c r="S257" i="17"/>
  <c r="O257" i="17"/>
  <c r="K257" i="17"/>
  <c r="G257" i="17"/>
  <c r="C257" i="17"/>
  <c r="S256" i="17"/>
  <c r="O256" i="17"/>
  <c r="K256" i="17"/>
  <c r="G256" i="17"/>
  <c r="C256" i="17"/>
  <c r="S255" i="17"/>
  <c r="O255" i="17"/>
  <c r="K255" i="17"/>
  <c r="G255" i="17"/>
  <c r="C255" i="17"/>
  <c r="S254" i="17"/>
  <c r="O254" i="17"/>
  <c r="K254" i="17"/>
  <c r="G254" i="17"/>
  <c r="C254" i="17"/>
  <c r="S253" i="17"/>
  <c r="O253" i="17"/>
  <c r="K253" i="17"/>
  <c r="G253" i="17"/>
  <c r="C253" i="17"/>
  <c r="S252" i="17"/>
  <c r="O252" i="17"/>
  <c r="K252" i="17"/>
  <c r="G252" i="17"/>
  <c r="C252" i="17"/>
  <c r="S251" i="17"/>
  <c r="O251" i="17"/>
  <c r="K251" i="17"/>
  <c r="G251" i="17"/>
  <c r="C251" i="17"/>
  <c r="S250" i="17"/>
  <c r="O250" i="17"/>
  <c r="K250" i="17"/>
  <c r="G250" i="17"/>
  <c r="C250" i="17"/>
  <c r="S249" i="17"/>
  <c r="O249" i="17"/>
  <c r="K249" i="17"/>
  <c r="G249" i="17"/>
  <c r="C249" i="17"/>
  <c r="S248" i="17"/>
  <c r="O248" i="17"/>
  <c r="K248" i="17"/>
  <c r="G248" i="17"/>
  <c r="C248" i="17"/>
  <c r="S247" i="17"/>
  <c r="O247" i="17"/>
  <c r="K247" i="17"/>
  <c r="G247" i="17"/>
  <c r="C247" i="17"/>
  <c r="S246" i="17"/>
  <c r="O246" i="17"/>
  <c r="K246" i="17"/>
  <c r="G246" i="17"/>
  <c r="C246" i="17"/>
  <c r="S245" i="17"/>
  <c r="O245" i="17"/>
  <c r="K245" i="17"/>
  <c r="G245" i="17"/>
  <c r="C245" i="17"/>
  <c r="S244" i="17"/>
  <c r="O244" i="17"/>
  <c r="K244" i="17"/>
  <c r="G244" i="17"/>
  <c r="C244" i="17"/>
  <c r="S243" i="17"/>
  <c r="O243" i="17"/>
  <c r="K243" i="17"/>
  <c r="G243" i="17"/>
  <c r="C243" i="17"/>
  <c r="S242" i="17"/>
  <c r="O242" i="17"/>
  <c r="K242" i="17"/>
  <c r="G242" i="17"/>
  <c r="C242" i="17"/>
  <c r="S241" i="17"/>
  <c r="O241" i="17"/>
  <c r="K241" i="17"/>
  <c r="G241" i="17"/>
  <c r="C241" i="17"/>
  <c r="S240" i="17"/>
  <c r="O240" i="17"/>
  <c r="K240" i="17"/>
  <c r="G240" i="17"/>
  <c r="C240" i="17"/>
  <c r="S239" i="17"/>
  <c r="O239" i="17"/>
  <c r="K239" i="17"/>
  <c r="G239" i="17"/>
  <c r="C239" i="17"/>
  <c r="S238" i="17"/>
  <c r="O238" i="17"/>
  <c r="K238" i="17"/>
  <c r="G238" i="17"/>
  <c r="C238" i="17"/>
  <c r="S237" i="17"/>
  <c r="O237" i="17"/>
  <c r="K237" i="17"/>
  <c r="G237" i="17"/>
  <c r="C237" i="17"/>
  <c r="S236" i="17"/>
  <c r="O236" i="17"/>
  <c r="K236" i="17"/>
  <c r="G236" i="17"/>
  <c r="C236" i="17"/>
  <c r="S235" i="17"/>
  <c r="O235" i="17"/>
  <c r="K235" i="17"/>
  <c r="G235" i="17"/>
  <c r="C235" i="17"/>
  <c r="S234" i="17"/>
  <c r="O234" i="17"/>
  <c r="K234" i="17"/>
  <c r="G234" i="17"/>
  <c r="C234" i="17"/>
  <c r="S233" i="17"/>
  <c r="O233" i="17"/>
  <c r="K233" i="17"/>
  <c r="G233" i="17"/>
  <c r="C233" i="17"/>
  <c r="S232" i="17"/>
  <c r="O232" i="17"/>
  <c r="K232" i="17"/>
  <c r="G232" i="17"/>
  <c r="C232" i="17"/>
  <c r="S231" i="17"/>
  <c r="O231" i="17"/>
  <c r="K231" i="17"/>
  <c r="G231" i="17"/>
  <c r="C231" i="17"/>
  <c r="S230" i="17"/>
  <c r="O230" i="17"/>
  <c r="K230" i="17"/>
  <c r="G230" i="17"/>
  <c r="C230" i="17"/>
  <c r="S229" i="17"/>
  <c r="O229" i="17"/>
  <c r="K229" i="17"/>
  <c r="G229" i="17"/>
  <c r="C229" i="17"/>
  <c r="S228" i="17"/>
  <c r="O228" i="17"/>
  <c r="K228" i="17"/>
  <c r="G228" i="17"/>
  <c r="C228" i="17"/>
  <c r="S227" i="17"/>
  <c r="O227" i="17"/>
  <c r="K227" i="17"/>
  <c r="G227" i="17"/>
  <c r="C227" i="17"/>
  <c r="S226" i="17"/>
  <c r="O226" i="17"/>
  <c r="K226" i="17"/>
  <c r="G226" i="17"/>
  <c r="C226" i="17"/>
  <c r="S225" i="17"/>
  <c r="O225" i="17"/>
  <c r="K225" i="17"/>
  <c r="G225" i="17"/>
  <c r="C225" i="17"/>
  <c r="S224" i="17"/>
  <c r="O224" i="17"/>
  <c r="K224" i="17"/>
  <c r="G224" i="17"/>
  <c r="C224" i="17"/>
  <c r="S223" i="17"/>
  <c r="O223" i="17"/>
  <c r="K223" i="17"/>
  <c r="G223" i="17"/>
  <c r="C223" i="17"/>
  <c r="S222" i="17"/>
  <c r="O222" i="17"/>
  <c r="K222" i="17"/>
  <c r="G222" i="17"/>
  <c r="C222" i="17"/>
  <c r="S221" i="17"/>
  <c r="O221" i="17"/>
  <c r="K221" i="17"/>
  <c r="G221" i="17"/>
  <c r="C221" i="17"/>
  <c r="S220" i="17"/>
  <c r="O220" i="17"/>
  <c r="K220" i="17"/>
  <c r="G220" i="17"/>
  <c r="C220" i="17"/>
  <c r="S219" i="17"/>
  <c r="O219" i="17"/>
  <c r="K219" i="17"/>
  <c r="G219" i="17"/>
  <c r="C219" i="17"/>
  <c r="S218" i="17"/>
  <c r="O218" i="17"/>
  <c r="K218" i="17"/>
  <c r="G218" i="17"/>
  <c r="C218" i="17"/>
  <c r="S217" i="17"/>
  <c r="O217" i="17"/>
  <c r="K217" i="17"/>
  <c r="G217" i="17"/>
  <c r="C217" i="17"/>
  <c r="S216" i="17"/>
  <c r="O216" i="17"/>
  <c r="K216" i="17"/>
  <c r="G216" i="17"/>
  <c r="C216" i="17"/>
  <c r="S215" i="17"/>
  <c r="O215" i="17"/>
  <c r="K215" i="17"/>
  <c r="G215" i="17"/>
  <c r="C215" i="17"/>
  <c r="S214" i="17"/>
  <c r="O214" i="17"/>
  <c r="K214" i="17"/>
  <c r="G214" i="17"/>
  <c r="C214" i="17"/>
  <c r="S213" i="17"/>
  <c r="O213" i="17"/>
  <c r="K213" i="17"/>
  <c r="G213" i="17"/>
  <c r="C213" i="17"/>
  <c r="S212" i="17"/>
  <c r="O212" i="17"/>
  <c r="K212" i="17"/>
  <c r="G212" i="17"/>
  <c r="C212" i="17"/>
  <c r="S211" i="17"/>
  <c r="O211" i="17"/>
  <c r="K211" i="17"/>
  <c r="G211" i="17"/>
  <c r="C211" i="17"/>
  <c r="S210" i="17"/>
  <c r="O210" i="17"/>
  <c r="K210" i="17"/>
  <c r="G210" i="17"/>
  <c r="C210" i="17"/>
  <c r="S209" i="17"/>
  <c r="O209" i="17"/>
  <c r="K209" i="17"/>
  <c r="G209" i="17"/>
  <c r="C209" i="17"/>
  <c r="S208" i="17"/>
  <c r="O208" i="17"/>
  <c r="K208" i="17"/>
  <c r="G208" i="17"/>
  <c r="C208" i="17"/>
  <c r="S207" i="17"/>
  <c r="O207" i="17"/>
  <c r="K207" i="17"/>
  <c r="G207" i="17"/>
  <c r="C207" i="17"/>
  <c r="S206" i="17"/>
  <c r="O206" i="17"/>
  <c r="K206" i="17"/>
  <c r="G206" i="17"/>
  <c r="C206" i="17"/>
  <c r="S205" i="17"/>
  <c r="O205" i="17"/>
  <c r="K205" i="17"/>
  <c r="G205" i="17"/>
  <c r="C205" i="17"/>
  <c r="S204" i="17"/>
  <c r="O204" i="17"/>
  <c r="K204" i="17"/>
  <c r="G204" i="17"/>
  <c r="C204" i="17"/>
  <c r="S203" i="17"/>
  <c r="O203" i="17"/>
  <c r="K203" i="17"/>
  <c r="G203" i="17"/>
  <c r="C203" i="17"/>
  <c r="S202" i="17"/>
  <c r="O202" i="17"/>
  <c r="K202" i="17"/>
  <c r="G202" i="17"/>
  <c r="C202" i="17"/>
  <c r="S201" i="17"/>
  <c r="O201" i="17"/>
  <c r="K201" i="17"/>
  <c r="G201" i="17"/>
  <c r="C201" i="17"/>
  <c r="S200" i="17"/>
  <c r="O200" i="17"/>
  <c r="K200" i="17"/>
  <c r="G200" i="17"/>
  <c r="C200" i="17"/>
  <c r="S199" i="17"/>
  <c r="O199" i="17"/>
  <c r="K199" i="17"/>
  <c r="G199" i="17"/>
  <c r="C199" i="17"/>
  <c r="S198" i="17"/>
  <c r="O198" i="17"/>
  <c r="K198" i="17"/>
  <c r="G198" i="17"/>
  <c r="C198" i="17"/>
  <c r="S197" i="17"/>
  <c r="O197" i="17"/>
  <c r="K197" i="17"/>
  <c r="G197" i="17"/>
  <c r="C197" i="17"/>
  <c r="S196" i="17"/>
  <c r="O196" i="17"/>
  <c r="K196" i="17"/>
  <c r="G196" i="17"/>
  <c r="C196" i="17"/>
  <c r="S195" i="17"/>
  <c r="O195" i="17"/>
  <c r="K195" i="17"/>
  <c r="G195" i="17"/>
  <c r="C195" i="17"/>
  <c r="S194" i="17"/>
  <c r="O194" i="17"/>
  <c r="K194" i="17"/>
  <c r="G194" i="17"/>
  <c r="C194" i="17"/>
  <c r="S193" i="17"/>
  <c r="O193" i="17"/>
  <c r="K193" i="17"/>
  <c r="G193" i="17"/>
  <c r="C193" i="17"/>
  <c r="S192" i="17"/>
  <c r="O192" i="17"/>
  <c r="K192" i="17"/>
  <c r="G192" i="17"/>
  <c r="C192" i="17"/>
  <c r="S191" i="17"/>
  <c r="O191" i="17"/>
  <c r="K191" i="17"/>
  <c r="G191" i="17"/>
  <c r="C191" i="17"/>
  <c r="S190" i="17"/>
  <c r="O190" i="17"/>
  <c r="K190" i="17"/>
  <c r="G190" i="17"/>
  <c r="C190" i="17"/>
  <c r="S189" i="17"/>
  <c r="O189" i="17"/>
  <c r="K189" i="17"/>
  <c r="G189" i="17"/>
  <c r="C189" i="17"/>
  <c r="S188" i="17"/>
  <c r="O188" i="17"/>
  <c r="K188" i="17"/>
  <c r="G188" i="17"/>
  <c r="C188" i="17"/>
  <c r="S187" i="17"/>
  <c r="O187" i="17"/>
  <c r="K187" i="17"/>
  <c r="G187" i="17"/>
  <c r="C187" i="17"/>
  <c r="S186" i="17"/>
  <c r="O186" i="17"/>
  <c r="K186" i="17"/>
  <c r="G186" i="17"/>
  <c r="C186" i="17"/>
  <c r="S185" i="17"/>
  <c r="O185" i="17"/>
  <c r="K185" i="17"/>
  <c r="G185" i="17"/>
  <c r="C185" i="17"/>
  <c r="S184" i="17"/>
  <c r="O184" i="17"/>
  <c r="K184" i="17"/>
  <c r="G184" i="17"/>
  <c r="C184" i="17"/>
  <c r="S183" i="17"/>
  <c r="O183" i="17"/>
  <c r="K183" i="17"/>
  <c r="G183" i="17"/>
  <c r="C183" i="17"/>
  <c r="S182" i="17"/>
  <c r="O182" i="17"/>
  <c r="K182" i="17"/>
  <c r="G182" i="17"/>
  <c r="C182" i="17"/>
  <c r="S181" i="17"/>
  <c r="O181" i="17"/>
  <c r="K181" i="17"/>
  <c r="G181" i="17"/>
  <c r="C181" i="17"/>
  <c r="S180" i="17"/>
  <c r="O180" i="17"/>
  <c r="K180" i="17"/>
  <c r="G180" i="17"/>
  <c r="C180" i="17"/>
  <c r="S179" i="17"/>
  <c r="O179" i="17"/>
  <c r="K179" i="17"/>
  <c r="G179" i="17"/>
  <c r="C179" i="17"/>
  <c r="S178" i="17"/>
  <c r="O178" i="17"/>
  <c r="K178" i="17"/>
  <c r="G178" i="17"/>
  <c r="C178" i="17"/>
  <c r="S177" i="17"/>
  <c r="O177" i="17"/>
  <c r="K177" i="17"/>
  <c r="G177" i="17"/>
  <c r="C177" i="17"/>
  <c r="S176" i="17"/>
  <c r="O176" i="17"/>
  <c r="K176" i="17"/>
  <c r="G176" i="17"/>
  <c r="C176" i="17"/>
  <c r="S175" i="17"/>
  <c r="O175" i="17"/>
  <c r="K175" i="17"/>
  <c r="G175" i="17"/>
  <c r="C175" i="17"/>
  <c r="S174" i="17"/>
  <c r="O174" i="17"/>
  <c r="K174" i="17"/>
  <c r="G174" i="17"/>
  <c r="C174" i="17"/>
  <c r="S173" i="17"/>
  <c r="O173" i="17"/>
  <c r="K173" i="17"/>
  <c r="G173" i="17"/>
  <c r="C173" i="17"/>
  <c r="S172" i="17"/>
  <c r="O172" i="17"/>
  <c r="K172" i="17"/>
  <c r="G172" i="17"/>
  <c r="C172" i="17"/>
  <c r="S171" i="17"/>
  <c r="O171" i="17"/>
  <c r="K171" i="17"/>
  <c r="G171" i="17"/>
  <c r="C171" i="17"/>
  <c r="S170" i="17"/>
  <c r="O170" i="17"/>
  <c r="K170" i="17"/>
  <c r="G170" i="17"/>
  <c r="C170" i="17"/>
  <c r="S169" i="17"/>
  <c r="O169" i="17"/>
  <c r="K169" i="17"/>
  <c r="G169" i="17"/>
  <c r="C169" i="17"/>
  <c r="S168" i="17"/>
  <c r="O168" i="17"/>
  <c r="K168" i="17"/>
  <c r="G168" i="17"/>
  <c r="C168" i="17"/>
  <c r="S167" i="17"/>
  <c r="O167" i="17"/>
  <c r="K167" i="17"/>
  <c r="G167" i="17"/>
  <c r="C167" i="17"/>
  <c r="S166" i="17"/>
  <c r="O166" i="17"/>
  <c r="K166" i="17"/>
  <c r="G166" i="17"/>
  <c r="C166" i="17"/>
  <c r="S165" i="17"/>
  <c r="O165" i="17"/>
  <c r="K165" i="17"/>
  <c r="G165" i="17"/>
  <c r="C165" i="17"/>
  <c r="S164" i="17"/>
  <c r="O164" i="17"/>
  <c r="K164" i="17"/>
  <c r="G164" i="17"/>
  <c r="C164" i="17"/>
  <c r="S163" i="17"/>
  <c r="O163" i="17"/>
  <c r="K163" i="17"/>
  <c r="G163" i="17"/>
  <c r="C163" i="17"/>
  <c r="S162" i="17"/>
  <c r="O162" i="17"/>
  <c r="K162" i="17"/>
  <c r="G162" i="17"/>
  <c r="C162" i="17"/>
  <c r="S161" i="17"/>
  <c r="O161" i="17"/>
  <c r="K161" i="17"/>
  <c r="G161" i="17"/>
  <c r="C161" i="17"/>
  <c r="S160" i="17"/>
  <c r="O160" i="17"/>
  <c r="K160" i="17"/>
  <c r="G160" i="17"/>
  <c r="C160" i="17"/>
  <c r="S159" i="17"/>
  <c r="O159" i="17"/>
  <c r="K159" i="17"/>
  <c r="G159" i="17"/>
  <c r="C159" i="17"/>
  <c r="S158" i="17"/>
  <c r="O158" i="17"/>
  <c r="K158" i="17"/>
  <c r="G158" i="17"/>
  <c r="C158" i="17"/>
  <c r="S157" i="17"/>
  <c r="O157" i="17"/>
  <c r="K157" i="17"/>
  <c r="G157" i="17"/>
  <c r="C157" i="17"/>
  <c r="S156" i="17"/>
  <c r="O156" i="17"/>
  <c r="K156" i="17"/>
  <c r="G156" i="17"/>
  <c r="C156" i="17"/>
  <c r="S155" i="17"/>
  <c r="O155" i="17"/>
  <c r="K155" i="17"/>
  <c r="G155" i="17"/>
  <c r="C155" i="17"/>
  <c r="S154" i="17"/>
  <c r="O154" i="17"/>
  <c r="K154" i="17"/>
  <c r="G154" i="17"/>
  <c r="C154" i="17"/>
  <c r="S153" i="17"/>
  <c r="O153" i="17"/>
  <c r="K153" i="17"/>
  <c r="G153" i="17"/>
  <c r="C153" i="17"/>
  <c r="S152" i="17"/>
  <c r="O152" i="17"/>
  <c r="K152" i="17"/>
  <c r="G152" i="17"/>
  <c r="C152" i="17"/>
  <c r="S151" i="17"/>
  <c r="O151" i="17"/>
  <c r="K151" i="17"/>
  <c r="G151" i="17"/>
  <c r="C151" i="17"/>
  <c r="S150" i="17"/>
  <c r="O150" i="17"/>
  <c r="K150" i="17"/>
  <c r="G150" i="17"/>
  <c r="C150" i="17"/>
  <c r="S149" i="17"/>
  <c r="O149" i="17"/>
  <c r="K149" i="17"/>
  <c r="G149" i="17"/>
  <c r="C149" i="17"/>
  <c r="S148" i="17"/>
  <c r="O148" i="17"/>
  <c r="K148" i="17"/>
  <c r="G148" i="17"/>
  <c r="C148" i="17"/>
  <c r="S147" i="17"/>
  <c r="O147" i="17"/>
  <c r="K147" i="17"/>
  <c r="G147" i="17"/>
  <c r="C147" i="17"/>
  <c r="S146" i="17"/>
  <c r="O146" i="17"/>
  <c r="K146" i="17"/>
  <c r="G146" i="17"/>
  <c r="C146" i="17"/>
  <c r="S145" i="17"/>
  <c r="O145" i="17"/>
  <c r="K145" i="17"/>
  <c r="G145" i="17"/>
  <c r="C145" i="17"/>
  <c r="S144" i="17"/>
  <c r="O144" i="17"/>
  <c r="K144" i="17"/>
  <c r="G144" i="17"/>
  <c r="C144" i="17"/>
  <c r="S143" i="17"/>
  <c r="O143" i="17"/>
  <c r="K143" i="17"/>
  <c r="G143" i="17"/>
  <c r="C143" i="17"/>
  <c r="S142" i="17"/>
  <c r="O142" i="17"/>
  <c r="K142" i="17"/>
  <c r="G142" i="17"/>
  <c r="C142" i="17"/>
  <c r="S141" i="17"/>
  <c r="O141" i="17"/>
  <c r="K141" i="17"/>
  <c r="G141" i="17"/>
  <c r="C141" i="17"/>
  <c r="S140" i="17"/>
  <c r="O140" i="17"/>
  <c r="K140" i="17"/>
  <c r="G140" i="17"/>
  <c r="C140" i="17"/>
  <c r="S139" i="17"/>
  <c r="O139" i="17"/>
  <c r="K139" i="17"/>
  <c r="G139" i="17"/>
  <c r="C139" i="17"/>
  <c r="S138" i="17"/>
  <c r="O138" i="17"/>
  <c r="K138" i="17"/>
  <c r="G138" i="17"/>
  <c r="C138" i="17"/>
  <c r="S137" i="17"/>
  <c r="O137" i="17"/>
  <c r="K137" i="17"/>
  <c r="G137" i="17"/>
  <c r="C137" i="17"/>
  <c r="S136" i="17"/>
  <c r="O136" i="17"/>
  <c r="K136" i="17"/>
  <c r="G136" i="17"/>
  <c r="C136" i="17"/>
  <c r="S135" i="17"/>
  <c r="O135" i="17"/>
  <c r="K135" i="17"/>
  <c r="G135" i="17"/>
  <c r="C135" i="17"/>
  <c r="S134" i="17"/>
  <c r="O134" i="17"/>
  <c r="K134" i="17"/>
  <c r="G134" i="17"/>
  <c r="C134" i="17"/>
  <c r="S133" i="17"/>
  <c r="O133" i="17"/>
  <c r="K133" i="17"/>
  <c r="G133" i="17"/>
  <c r="C133" i="17"/>
  <c r="S132" i="17"/>
  <c r="O132" i="17"/>
  <c r="K132" i="17"/>
  <c r="G132" i="17"/>
  <c r="C132" i="17"/>
  <c r="S131" i="17"/>
  <c r="O131" i="17"/>
  <c r="K131" i="17"/>
  <c r="G131" i="17"/>
  <c r="C131" i="17"/>
  <c r="S130" i="17"/>
  <c r="O130" i="17"/>
  <c r="K130" i="17"/>
  <c r="G130" i="17"/>
  <c r="C130" i="17"/>
  <c r="S129" i="17"/>
  <c r="O129" i="17"/>
  <c r="K129" i="17"/>
  <c r="G129" i="17"/>
  <c r="C129" i="17"/>
  <c r="S128" i="17"/>
  <c r="O128" i="17"/>
  <c r="K128" i="17"/>
  <c r="G128" i="17"/>
  <c r="C128" i="17"/>
  <c r="S127" i="17"/>
  <c r="O127" i="17"/>
  <c r="K127" i="17"/>
  <c r="G127" i="17"/>
  <c r="C127" i="17"/>
  <c r="S126" i="17"/>
  <c r="O126" i="17"/>
  <c r="K126" i="17"/>
  <c r="G126" i="17"/>
  <c r="C126" i="17"/>
  <c r="S125" i="17"/>
  <c r="O125" i="17"/>
  <c r="K125" i="17"/>
  <c r="G125" i="17"/>
  <c r="C125" i="17"/>
  <c r="S124" i="17"/>
  <c r="O124" i="17"/>
  <c r="K124" i="17"/>
  <c r="G124" i="17"/>
  <c r="C124" i="17"/>
  <c r="S123" i="17"/>
  <c r="O123" i="17"/>
  <c r="K123" i="17"/>
  <c r="G123" i="17"/>
  <c r="C123" i="17"/>
  <c r="S122" i="17"/>
  <c r="O122" i="17"/>
  <c r="K122" i="17"/>
  <c r="G122" i="17"/>
  <c r="C122" i="17"/>
  <c r="S121" i="17"/>
  <c r="O121" i="17"/>
  <c r="K121" i="17"/>
  <c r="G121" i="17"/>
  <c r="C121" i="17"/>
  <c r="S120" i="17"/>
  <c r="O120" i="17"/>
  <c r="K120" i="17"/>
  <c r="G120" i="17"/>
  <c r="C120" i="17"/>
  <c r="S119" i="17"/>
  <c r="O119" i="17"/>
  <c r="K119" i="17"/>
  <c r="G119" i="17"/>
  <c r="C119" i="17"/>
  <c r="S118" i="17"/>
  <c r="O118" i="17"/>
  <c r="K118" i="17"/>
  <c r="G118" i="17"/>
  <c r="C118" i="17"/>
  <c r="S117" i="17"/>
  <c r="O117" i="17"/>
  <c r="K117" i="17"/>
  <c r="G117" i="17"/>
  <c r="C117" i="17"/>
  <c r="S116" i="17"/>
  <c r="O116" i="17"/>
  <c r="K116" i="17"/>
  <c r="G116" i="17"/>
  <c r="C116" i="17"/>
  <c r="S115" i="17"/>
  <c r="O115" i="17"/>
  <c r="K115" i="17"/>
  <c r="G115" i="17"/>
  <c r="C115" i="17"/>
  <c r="S114" i="17"/>
  <c r="O114" i="17"/>
  <c r="K114" i="17"/>
  <c r="G114" i="17"/>
  <c r="C114" i="17"/>
  <c r="S113" i="17"/>
  <c r="O113" i="17"/>
  <c r="K113" i="17"/>
  <c r="G113" i="17"/>
  <c r="C113" i="17"/>
  <c r="S112" i="17"/>
  <c r="O112" i="17"/>
  <c r="K112" i="17"/>
  <c r="G112" i="17"/>
  <c r="C112" i="17"/>
  <c r="S111" i="17"/>
  <c r="O111" i="17"/>
  <c r="K111" i="17"/>
  <c r="G111" i="17"/>
  <c r="C111" i="17"/>
  <c r="S110" i="17"/>
  <c r="O110" i="17"/>
  <c r="K110" i="17"/>
  <c r="G110" i="17"/>
  <c r="C110" i="17"/>
  <c r="S109" i="17"/>
  <c r="O109" i="17"/>
  <c r="K109" i="17"/>
  <c r="G109" i="17"/>
  <c r="C109" i="17"/>
  <c r="S108" i="17"/>
  <c r="O108" i="17"/>
  <c r="K108" i="17"/>
  <c r="G108" i="17"/>
  <c r="C108" i="17"/>
  <c r="S107" i="17"/>
  <c r="O107" i="17"/>
  <c r="K107" i="17"/>
  <c r="G107" i="17"/>
  <c r="C107" i="17"/>
  <c r="S106" i="17"/>
  <c r="O106" i="17"/>
  <c r="K106" i="17"/>
  <c r="G106" i="17"/>
  <c r="C106" i="17"/>
  <c r="S105" i="17"/>
  <c r="O105" i="17"/>
  <c r="K105" i="17"/>
  <c r="G105" i="17"/>
  <c r="C105" i="17"/>
  <c r="S104" i="17"/>
  <c r="O104" i="17"/>
  <c r="K104" i="17"/>
  <c r="G104" i="17"/>
  <c r="C104" i="17"/>
  <c r="S103" i="17"/>
  <c r="O103" i="17"/>
  <c r="K103" i="17"/>
  <c r="G103" i="17"/>
  <c r="C103" i="17"/>
  <c r="S102" i="17"/>
  <c r="O102" i="17"/>
  <c r="K102" i="17"/>
  <c r="G102" i="17"/>
  <c r="C102" i="17"/>
  <c r="S101" i="17"/>
  <c r="O101" i="17"/>
  <c r="K101" i="17"/>
  <c r="G101" i="17"/>
  <c r="C101" i="17"/>
  <c r="S100" i="17"/>
  <c r="O100" i="17"/>
  <c r="K100" i="17"/>
  <c r="G100" i="17"/>
  <c r="C100" i="17"/>
  <c r="S99" i="17"/>
  <c r="O99" i="17"/>
  <c r="K99" i="17"/>
  <c r="G99" i="17"/>
  <c r="C99" i="17"/>
  <c r="S98" i="17"/>
  <c r="O98" i="17"/>
  <c r="K98" i="17"/>
  <c r="G98" i="17"/>
  <c r="C98" i="17"/>
  <c r="S97" i="17"/>
  <c r="O97" i="17"/>
  <c r="K97" i="17"/>
  <c r="G97" i="17"/>
  <c r="C97" i="17"/>
  <c r="S96" i="17"/>
  <c r="O96" i="17"/>
  <c r="K96" i="17"/>
  <c r="G96" i="17"/>
  <c r="C96" i="17"/>
  <c r="S95" i="17"/>
  <c r="O95" i="17"/>
  <c r="K95" i="17"/>
  <c r="G95" i="17"/>
  <c r="C95" i="17"/>
  <c r="S94" i="17"/>
  <c r="O94" i="17"/>
  <c r="K94" i="17"/>
  <c r="G94" i="17"/>
  <c r="C94" i="17"/>
  <c r="S93" i="17"/>
  <c r="O93" i="17"/>
  <c r="K93" i="17"/>
  <c r="G93" i="17"/>
  <c r="C93" i="17"/>
  <c r="S92" i="17"/>
  <c r="O92" i="17"/>
  <c r="K92" i="17"/>
  <c r="G92" i="17"/>
  <c r="C92" i="17"/>
  <c r="S91" i="17"/>
  <c r="O91" i="17"/>
  <c r="K91" i="17"/>
  <c r="G91" i="17"/>
  <c r="C91" i="17"/>
  <c r="S90" i="17"/>
  <c r="O90" i="17"/>
  <c r="K90" i="17"/>
  <c r="G90" i="17"/>
  <c r="C90" i="17"/>
  <c r="S89" i="17"/>
  <c r="O89" i="17"/>
  <c r="K89" i="17"/>
  <c r="G89" i="17"/>
  <c r="C89" i="17"/>
  <c r="S88" i="17"/>
  <c r="O88" i="17"/>
  <c r="K88" i="17"/>
  <c r="G88" i="17"/>
  <c r="C88" i="17"/>
  <c r="S87" i="17"/>
  <c r="O87" i="17"/>
  <c r="K87" i="17"/>
  <c r="G87" i="17"/>
  <c r="C87" i="17"/>
  <c r="S86" i="17"/>
  <c r="O86" i="17"/>
  <c r="K86" i="17"/>
  <c r="G86" i="17"/>
  <c r="C86" i="17"/>
  <c r="S85" i="17"/>
  <c r="O85" i="17"/>
  <c r="K85" i="17"/>
  <c r="G85" i="17"/>
  <c r="C85" i="17"/>
  <c r="S84" i="17"/>
  <c r="O84" i="17"/>
  <c r="K84" i="17"/>
  <c r="G84" i="17"/>
  <c r="C84" i="17"/>
  <c r="S83" i="17"/>
  <c r="O83" i="17"/>
  <c r="K83" i="17"/>
  <c r="G83" i="17"/>
  <c r="C83" i="17"/>
  <c r="S82" i="17"/>
  <c r="O82" i="17"/>
  <c r="K82" i="17"/>
  <c r="G82" i="17"/>
  <c r="C82" i="17"/>
  <c r="S81" i="17"/>
  <c r="O81" i="17"/>
  <c r="K81" i="17"/>
  <c r="G81" i="17"/>
  <c r="C81" i="17"/>
  <c r="S80" i="17"/>
  <c r="O80" i="17"/>
  <c r="K80" i="17"/>
  <c r="G80" i="17"/>
  <c r="C80" i="17"/>
  <c r="S79" i="17"/>
  <c r="O79" i="17"/>
  <c r="K79" i="17"/>
  <c r="G79" i="17"/>
  <c r="C79" i="17"/>
  <c r="S78" i="17"/>
  <c r="O78" i="17"/>
  <c r="K78" i="17"/>
  <c r="G78" i="17"/>
  <c r="C78" i="17"/>
  <c r="S77" i="17"/>
  <c r="O77" i="17"/>
  <c r="K77" i="17"/>
  <c r="G77" i="17"/>
  <c r="C77" i="17"/>
  <c r="S76" i="17"/>
  <c r="O76" i="17"/>
  <c r="K76" i="17"/>
  <c r="G76" i="17"/>
  <c r="C76" i="17"/>
  <c r="S75" i="17"/>
  <c r="O75" i="17"/>
  <c r="K75" i="17"/>
  <c r="G75" i="17"/>
  <c r="C75" i="17"/>
  <c r="S74" i="17"/>
  <c r="O74" i="17"/>
  <c r="K74" i="17"/>
  <c r="G74" i="17"/>
  <c r="C74" i="17"/>
  <c r="S73" i="17"/>
  <c r="O73" i="17"/>
  <c r="K73" i="17"/>
  <c r="G73" i="17"/>
  <c r="C73" i="17"/>
  <c r="S72" i="17"/>
  <c r="O72" i="17"/>
  <c r="K72" i="17"/>
  <c r="G72" i="17"/>
  <c r="C72" i="17"/>
  <c r="S71" i="17"/>
  <c r="O71" i="17"/>
  <c r="K71" i="17"/>
  <c r="G71" i="17"/>
  <c r="C71" i="17"/>
  <c r="S70" i="17"/>
  <c r="O70" i="17"/>
  <c r="K70" i="17"/>
  <c r="G70" i="17"/>
  <c r="C70" i="17"/>
  <c r="S69" i="17"/>
  <c r="O69" i="17"/>
  <c r="K69" i="17"/>
  <c r="G69" i="17"/>
  <c r="C69" i="17"/>
  <c r="S68" i="17"/>
  <c r="O68" i="17"/>
  <c r="K68" i="17"/>
  <c r="G68" i="17"/>
  <c r="C68" i="17"/>
  <c r="S67" i="17"/>
  <c r="O67" i="17"/>
  <c r="K67" i="17"/>
  <c r="G67" i="17"/>
  <c r="C67" i="17"/>
  <c r="S66" i="17"/>
  <c r="O66" i="17"/>
  <c r="K66" i="17"/>
  <c r="G66" i="17"/>
  <c r="C66" i="17"/>
  <c r="S65" i="17"/>
  <c r="O65" i="17"/>
  <c r="K65" i="17"/>
  <c r="G65" i="17"/>
  <c r="C65" i="17"/>
  <c r="S64" i="17"/>
  <c r="O64" i="17"/>
  <c r="K64" i="17"/>
  <c r="G64" i="17"/>
  <c r="C64" i="17"/>
  <c r="S63" i="17"/>
  <c r="O63" i="17"/>
  <c r="K63" i="17"/>
  <c r="G63" i="17"/>
  <c r="C63" i="17"/>
  <c r="S62" i="17"/>
  <c r="O62" i="17"/>
  <c r="K62" i="17"/>
  <c r="G62" i="17"/>
  <c r="C62" i="17"/>
  <c r="S61" i="17"/>
  <c r="O61" i="17"/>
  <c r="K61" i="17"/>
  <c r="G61" i="17"/>
  <c r="C61" i="17"/>
  <c r="S60" i="17"/>
  <c r="O60" i="17"/>
  <c r="K60" i="17"/>
  <c r="G60" i="17"/>
  <c r="C60" i="17"/>
  <c r="S59" i="17"/>
  <c r="O59" i="17"/>
  <c r="K59" i="17"/>
  <c r="G59" i="17"/>
  <c r="C59" i="17"/>
  <c r="S58" i="17"/>
  <c r="O58" i="17"/>
  <c r="K58" i="17"/>
  <c r="G58" i="17"/>
  <c r="C58" i="17"/>
  <c r="S57" i="17"/>
  <c r="O57" i="17"/>
  <c r="K57" i="17"/>
  <c r="G57" i="17"/>
  <c r="C57" i="17"/>
  <c r="S56" i="17"/>
  <c r="O56" i="17"/>
  <c r="K56" i="17"/>
  <c r="G56" i="17"/>
  <c r="C56" i="17"/>
  <c r="S55" i="17"/>
  <c r="O55" i="17"/>
  <c r="K55" i="17"/>
  <c r="G55" i="17"/>
  <c r="C55" i="17"/>
  <c r="S54" i="17"/>
  <c r="O54" i="17"/>
  <c r="K54" i="17"/>
  <c r="G54" i="17"/>
  <c r="C54" i="17"/>
  <c r="S53" i="17"/>
  <c r="O53" i="17"/>
  <c r="K53" i="17"/>
  <c r="G53" i="17"/>
  <c r="C53" i="17"/>
  <c r="S52" i="17"/>
  <c r="O52" i="17"/>
  <c r="K52" i="17"/>
  <c r="G52" i="17"/>
  <c r="C52" i="17"/>
  <c r="S51" i="17"/>
  <c r="O51" i="17"/>
  <c r="K51" i="17"/>
  <c r="G51" i="17"/>
  <c r="C51" i="17"/>
  <c r="S50" i="17"/>
  <c r="O50" i="17"/>
  <c r="K50" i="17"/>
  <c r="G50" i="17"/>
  <c r="C50" i="17"/>
  <c r="S49" i="17"/>
  <c r="O49" i="17"/>
  <c r="K49" i="17"/>
  <c r="G49" i="17"/>
  <c r="C49" i="17"/>
  <c r="S48" i="17"/>
  <c r="O48" i="17"/>
  <c r="K48" i="17"/>
  <c r="G48" i="17"/>
  <c r="C48" i="17"/>
  <c r="S47" i="17"/>
  <c r="O47" i="17"/>
  <c r="K47" i="17"/>
  <c r="G47" i="17"/>
  <c r="C47" i="17"/>
  <c r="S46" i="17"/>
  <c r="O46" i="17"/>
  <c r="K46" i="17"/>
  <c r="G46" i="17"/>
  <c r="C46" i="17"/>
  <c r="S45" i="17"/>
  <c r="O45" i="17"/>
  <c r="K45" i="17"/>
  <c r="G45" i="17"/>
  <c r="C45" i="17"/>
  <c r="S44" i="17"/>
  <c r="O44" i="17"/>
  <c r="K44" i="17"/>
  <c r="G44" i="17"/>
  <c r="C44" i="17"/>
  <c r="S43" i="17"/>
  <c r="O43" i="17"/>
  <c r="K43" i="17"/>
  <c r="G43" i="17"/>
  <c r="C43" i="17"/>
  <c r="S42" i="17"/>
  <c r="O42" i="17"/>
  <c r="K42" i="17"/>
  <c r="G42" i="17"/>
  <c r="C42" i="17"/>
  <c r="S41" i="17"/>
  <c r="O41" i="17"/>
  <c r="K41" i="17"/>
  <c r="G41" i="17"/>
  <c r="C41" i="17"/>
  <c r="S40" i="17"/>
  <c r="O40" i="17"/>
  <c r="K40" i="17"/>
  <c r="G40" i="17"/>
  <c r="C40" i="17"/>
  <c r="S39" i="17"/>
  <c r="O39" i="17"/>
  <c r="K39" i="17"/>
  <c r="G39" i="17"/>
  <c r="C39" i="17"/>
  <c r="S38" i="17"/>
  <c r="O38" i="17"/>
  <c r="K38" i="17"/>
  <c r="G38" i="17"/>
  <c r="C38" i="17"/>
  <c r="S37" i="17"/>
  <c r="O37" i="17"/>
  <c r="K37" i="17"/>
  <c r="G37" i="17"/>
  <c r="C37" i="17"/>
  <c r="S36" i="17"/>
  <c r="O36" i="17"/>
  <c r="K36" i="17"/>
  <c r="G36" i="17"/>
  <c r="C36" i="17"/>
  <c r="S35" i="17"/>
  <c r="O35" i="17"/>
  <c r="K35" i="17"/>
  <c r="G35" i="17"/>
  <c r="C35" i="17"/>
  <c r="S34" i="17"/>
  <c r="O34" i="17"/>
  <c r="K34" i="17"/>
  <c r="G34" i="17"/>
  <c r="C34" i="17"/>
  <c r="S33" i="17"/>
  <c r="O33" i="17"/>
  <c r="K33" i="17"/>
  <c r="G33" i="17"/>
  <c r="C33" i="17"/>
  <c r="S32" i="17"/>
  <c r="O32" i="17"/>
  <c r="K32" i="17"/>
  <c r="G32" i="17"/>
  <c r="C32" i="17"/>
  <c r="S31" i="17"/>
  <c r="O31" i="17"/>
  <c r="K31" i="17"/>
  <c r="G31" i="17"/>
  <c r="C31" i="17"/>
  <c r="S30" i="17"/>
  <c r="O30" i="17"/>
  <c r="K30" i="17"/>
  <c r="G30" i="17"/>
  <c r="C30" i="17"/>
  <c r="S29" i="17"/>
  <c r="O29" i="17"/>
  <c r="K29" i="17"/>
  <c r="G29" i="17"/>
  <c r="C29" i="17"/>
  <c r="S28" i="17"/>
  <c r="O28" i="17"/>
  <c r="K28" i="17"/>
  <c r="G28" i="17"/>
  <c r="C28" i="17"/>
  <c r="S27" i="17"/>
  <c r="O27" i="17"/>
  <c r="K27" i="17"/>
  <c r="G27" i="17"/>
  <c r="C27" i="17"/>
  <c r="S26" i="17"/>
  <c r="O26" i="17"/>
  <c r="K26" i="17"/>
  <c r="G26" i="17"/>
  <c r="C26" i="17"/>
  <c r="S25" i="17"/>
  <c r="O25" i="17"/>
  <c r="K25" i="17"/>
  <c r="G25" i="17"/>
  <c r="C25" i="17"/>
  <c r="S24" i="17"/>
  <c r="O24" i="17"/>
  <c r="K24" i="17"/>
  <c r="G24" i="17"/>
  <c r="C24" i="17"/>
  <c r="S23" i="17"/>
  <c r="O23" i="17"/>
  <c r="K23" i="17"/>
  <c r="G23" i="17"/>
  <c r="C23" i="17"/>
  <c r="S22" i="17"/>
  <c r="O22" i="17"/>
  <c r="K22" i="17"/>
  <c r="G22" i="17"/>
  <c r="C22" i="17"/>
  <c r="S21" i="17"/>
  <c r="O21" i="17"/>
  <c r="K21" i="17"/>
  <c r="G21" i="17"/>
  <c r="C21" i="17"/>
  <c r="S20" i="17"/>
  <c r="O20" i="17"/>
  <c r="K20" i="17"/>
  <c r="G20" i="17"/>
  <c r="C20" i="17"/>
  <c r="S19" i="17"/>
  <c r="O19" i="17"/>
  <c r="K19" i="17"/>
  <c r="G19" i="17"/>
  <c r="C19" i="17"/>
  <c r="S18" i="17"/>
  <c r="O18" i="17"/>
  <c r="K18" i="17"/>
  <c r="G18" i="17"/>
  <c r="C18" i="17"/>
  <c r="S17" i="17"/>
  <c r="O17" i="17"/>
  <c r="K17" i="17"/>
  <c r="G17" i="17"/>
  <c r="C17" i="17"/>
  <c r="S16" i="17"/>
  <c r="O16" i="17"/>
  <c r="K16" i="17"/>
  <c r="G16" i="17"/>
  <c r="C16" i="17"/>
  <c r="S15" i="17"/>
  <c r="O15" i="17"/>
  <c r="K15" i="17"/>
  <c r="G15" i="17"/>
  <c r="C15" i="17"/>
  <c r="S14" i="17"/>
  <c r="O14" i="17"/>
  <c r="K14" i="17"/>
  <c r="G14" i="17"/>
  <c r="C14" i="17"/>
  <c r="S13" i="17"/>
  <c r="O13" i="17"/>
  <c r="K13" i="17"/>
  <c r="G13" i="17"/>
  <c r="C13" i="17"/>
  <c r="S12" i="17"/>
  <c r="O12" i="17"/>
  <c r="K12" i="17"/>
  <c r="G12" i="17"/>
  <c r="C12" i="17"/>
  <c r="S11" i="17"/>
  <c r="O11" i="17"/>
  <c r="K11" i="17"/>
  <c r="G11" i="17"/>
  <c r="C11" i="17"/>
  <c r="S10" i="17"/>
  <c r="O10" i="17"/>
  <c r="K10" i="17"/>
  <c r="G10" i="17"/>
  <c r="C10" i="17"/>
  <c r="R5" i="17"/>
  <c r="N5" i="17"/>
  <c r="J5" i="17"/>
  <c r="F5" i="17"/>
  <c r="B5" i="17"/>
  <c r="S309" i="16"/>
  <c r="O309" i="16"/>
  <c r="K309" i="16"/>
  <c r="G309" i="16"/>
  <c r="C309" i="16"/>
  <c r="S308" i="16"/>
  <c r="O308" i="16"/>
  <c r="K308" i="16"/>
  <c r="G308" i="16"/>
  <c r="C308" i="16"/>
  <c r="S307" i="16"/>
  <c r="O307" i="16"/>
  <c r="K307" i="16"/>
  <c r="G307" i="16"/>
  <c r="C307" i="16"/>
  <c r="S306" i="16"/>
  <c r="O306" i="16"/>
  <c r="K306" i="16"/>
  <c r="G306" i="16"/>
  <c r="C306" i="16"/>
  <c r="S305" i="16"/>
  <c r="O305" i="16"/>
  <c r="K305" i="16"/>
  <c r="G305" i="16"/>
  <c r="C305" i="16"/>
  <c r="S304" i="16"/>
  <c r="O304" i="16"/>
  <c r="K304" i="16"/>
  <c r="G304" i="16"/>
  <c r="C304" i="16"/>
  <c r="S303" i="16"/>
  <c r="O303" i="16"/>
  <c r="K303" i="16"/>
  <c r="G303" i="16"/>
  <c r="C303" i="16"/>
  <c r="S302" i="16"/>
  <c r="O302" i="16"/>
  <c r="K302" i="16"/>
  <c r="G302" i="16"/>
  <c r="C302" i="16"/>
  <c r="S301" i="16"/>
  <c r="O301" i="16"/>
  <c r="K301" i="16"/>
  <c r="G301" i="16"/>
  <c r="C301" i="16"/>
  <c r="S300" i="16"/>
  <c r="O300" i="16"/>
  <c r="K300" i="16"/>
  <c r="G300" i="16"/>
  <c r="C300" i="16"/>
  <c r="S299" i="16"/>
  <c r="O299" i="16"/>
  <c r="K299" i="16"/>
  <c r="G299" i="16"/>
  <c r="C299" i="16"/>
  <c r="S298" i="16"/>
  <c r="O298" i="16"/>
  <c r="K298" i="16"/>
  <c r="G298" i="16"/>
  <c r="C298" i="16"/>
  <c r="S297" i="16"/>
  <c r="O297" i="16"/>
  <c r="K297" i="16"/>
  <c r="G297" i="16"/>
  <c r="C297" i="16"/>
  <c r="S296" i="16"/>
  <c r="O296" i="16"/>
  <c r="K296" i="16"/>
  <c r="G296" i="16"/>
  <c r="C296" i="16"/>
  <c r="S295" i="16"/>
  <c r="O295" i="16"/>
  <c r="K295" i="16"/>
  <c r="G295" i="16"/>
  <c r="C295" i="16"/>
  <c r="S294" i="16"/>
  <c r="O294" i="16"/>
  <c r="K294" i="16"/>
  <c r="G294" i="16"/>
  <c r="C294" i="16"/>
  <c r="S293" i="16"/>
  <c r="O293" i="16"/>
  <c r="K293" i="16"/>
  <c r="G293" i="16"/>
  <c r="C293" i="16"/>
  <c r="S292" i="16"/>
  <c r="O292" i="16"/>
  <c r="K292" i="16"/>
  <c r="G292" i="16"/>
  <c r="C292" i="16"/>
  <c r="S291" i="16"/>
  <c r="O291" i="16"/>
  <c r="K291" i="16"/>
  <c r="G291" i="16"/>
  <c r="C291" i="16"/>
  <c r="S290" i="16"/>
  <c r="O290" i="16"/>
  <c r="K290" i="16"/>
  <c r="G290" i="16"/>
  <c r="C290" i="16"/>
  <c r="S289" i="16"/>
  <c r="O289" i="16"/>
  <c r="K289" i="16"/>
  <c r="G289" i="16"/>
  <c r="C289" i="16"/>
  <c r="S288" i="16"/>
  <c r="O288" i="16"/>
  <c r="K288" i="16"/>
  <c r="G288" i="16"/>
  <c r="C288" i="16"/>
  <c r="S287" i="16"/>
  <c r="O287" i="16"/>
  <c r="K287" i="16"/>
  <c r="G287" i="16"/>
  <c r="C287" i="16"/>
  <c r="S286" i="16"/>
  <c r="O286" i="16"/>
  <c r="K286" i="16"/>
  <c r="G286" i="16"/>
  <c r="C286" i="16"/>
  <c r="S285" i="16"/>
  <c r="O285" i="16"/>
  <c r="K285" i="16"/>
  <c r="G285" i="16"/>
  <c r="C285" i="16"/>
  <c r="S284" i="16"/>
  <c r="O284" i="16"/>
  <c r="K284" i="16"/>
  <c r="G284" i="16"/>
  <c r="C284" i="16"/>
  <c r="S283" i="16"/>
  <c r="O283" i="16"/>
  <c r="K283" i="16"/>
  <c r="G283" i="16"/>
  <c r="C283" i="16"/>
  <c r="S282" i="16"/>
  <c r="O282" i="16"/>
  <c r="K282" i="16"/>
  <c r="G282" i="16"/>
  <c r="C282" i="16"/>
  <c r="S281" i="16"/>
  <c r="O281" i="16"/>
  <c r="K281" i="16"/>
  <c r="G281" i="16"/>
  <c r="C281" i="16"/>
  <c r="S280" i="16"/>
  <c r="O280" i="16"/>
  <c r="K280" i="16"/>
  <c r="G280" i="16"/>
  <c r="C280" i="16"/>
  <c r="S279" i="16"/>
  <c r="O279" i="16"/>
  <c r="K279" i="16"/>
  <c r="G279" i="16"/>
  <c r="C279" i="16"/>
  <c r="S278" i="16"/>
  <c r="O278" i="16"/>
  <c r="K278" i="16"/>
  <c r="G278" i="16"/>
  <c r="C278" i="16"/>
  <c r="S277" i="16"/>
  <c r="O277" i="16"/>
  <c r="K277" i="16"/>
  <c r="G277" i="16"/>
  <c r="C277" i="16"/>
  <c r="S276" i="16"/>
  <c r="O276" i="16"/>
  <c r="K276" i="16"/>
  <c r="G276" i="16"/>
  <c r="C276" i="16"/>
  <c r="S275" i="16"/>
  <c r="O275" i="16"/>
  <c r="K275" i="16"/>
  <c r="G275" i="16"/>
  <c r="C275" i="16"/>
  <c r="S274" i="16"/>
  <c r="O274" i="16"/>
  <c r="K274" i="16"/>
  <c r="G274" i="16"/>
  <c r="C274" i="16"/>
  <c r="S273" i="16"/>
  <c r="O273" i="16"/>
  <c r="K273" i="16"/>
  <c r="G273" i="16"/>
  <c r="C273" i="16"/>
  <c r="S272" i="16"/>
  <c r="O272" i="16"/>
  <c r="K272" i="16"/>
  <c r="G272" i="16"/>
  <c r="C272" i="16"/>
  <c r="S271" i="16"/>
  <c r="O271" i="16"/>
  <c r="K271" i="16"/>
  <c r="G271" i="16"/>
  <c r="C271" i="16"/>
  <c r="S270" i="16"/>
  <c r="O270" i="16"/>
  <c r="K270" i="16"/>
  <c r="G270" i="16"/>
  <c r="C270" i="16"/>
  <c r="S269" i="16"/>
  <c r="O269" i="16"/>
  <c r="K269" i="16"/>
  <c r="G269" i="16"/>
  <c r="C269" i="16"/>
  <c r="S268" i="16"/>
  <c r="O268" i="16"/>
  <c r="K268" i="16"/>
  <c r="G268" i="16"/>
  <c r="C268" i="16"/>
  <c r="S267" i="16"/>
  <c r="O267" i="16"/>
  <c r="K267" i="16"/>
  <c r="G267" i="16"/>
  <c r="C267" i="16"/>
  <c r="S266" i="16"/>
  <c r="O266" i="16"/>
  <c r="K266" i="16"/>
  <c r="G266" i="16"/>
  <c r="C266" i="16"/>
  <c r="S265" i="16"/>
  <c r="O265" i="16"/>
  <c r="K265" i="16"/>
  <c r="G265" i="16"/>
  <c r="C265" i="16"/>
  <c r="S264" i="16"/>
  <c r="O264" i="16"/>
  <c r="K264" i="16"/>
  <c r="G264" i="16"/>
  <c r="C264" i="16"/>
  <c r="S263" i="16"/>
  <c r="O263" i="16"/>
  <c r="K263" i="16"/>
  <c r="G263" i="16"/>
  <c r="C263" i="16"/>
  <c r="S262" i="16"/>
  <c r="O262" i="16"/>
  <c r="K262" i="16"/>
  <c r="G262" i="16"/>
  <c r="C262" i="16"/>
  <c r="S261" i="16"/>
  <c r="O261" i="16"/>
  <c r="K261" i="16"/>
  <c r="G261" i="16"/>
  <c r="C261" i="16"/>
  <c r="S260" i="16"/>
  <c r="O260" i="16"/>
  <c r="K260" i="16"/>
  <c r="G260" i="16"/>
  <c r="C260" i="16"/>
  <c r="S259" i="16"/>
  <c r="O259" i="16"/>
  <c r="K259" i="16"/>
  <c r="G259" i="16"/>
  <c r="C259" i="16"/>
  <c r="S258" i="16"/>
  <c r="O258" i="16"/>
  <c r="K258" i="16"/>
  <c r="G258" i="16"/>
  <c r="C258" i="16"/>
  <c r="S257" i="16"/>
  <c r="O257" i="16"/>
  <c r="K257" i="16"/>
  <c r="G257" i="16"/>
  <c r="C257" i="16"/>
  <c r="S256" i="16"/>
  <c r="O256" i="16"/>
  <c r="K256" i="16"/>
  <c r="G256" i="16"/>
  <c r="C256" i="16"/>
  <c r="S255" i="16"/>
  <c r="O255" i="16"/>
  <c r="K255" i="16"/>
  <c r="G255" i="16"/>
  <c r="C255" i="16"/>
  <c r="S254" i="16"/>
  <c r="O254" i="16"/>
  <c r="K254" i="16"/>
  <c r="G254" i="16"/>
  <c r="C254" i="16"/>
  <c r="S253" i="16"/>
  <c r="O253" i="16"/>
  <c r="K253" i="16"/>
  <c r="G253" i="16"/>
  <c r="C253" i="16"/>
  <c r="S252" i="16"/>
  <c r="O252" i="16"/>
  <c r="K252" i="16"/>
  <c r="G252" i="16"/>
  <c r="C252" i="16"/>
  <c r="S251" i="16"/>
  <c r="O251" i="16"/>
  <c r="K251" i="16"/>
  <c r="G251" i="16"/>
  <c r="C251" i="16"/>
  <c r="S250" i="16"/>
  <c r="O250" i="16"/>
  <c r="K250" i="16"/>
  <c r="G250" i="16"/>
  <c r="C250" i="16"/>
  <c r="S249" i="16"/>
  <c r="O249" i="16"/>
  <c r="K249" i="16"/>
  <c r="G249" i="16"/>
  <c r="C249" i="16"/>
  <c r="S248" i="16"/>
  <c r="O248" i="16"/>
  <c r="K248" i="16"/>
  <c r="G248" i="16"/>
  <c r="C248" i="16"/>
  <c r="S247" i="16"/>
  <c r="O247" i="16"/>
  <c r="K247" i="16"/>
  <c r="G247" i="16"/>
  <c r="C247" i="16"/>
  <c r="S246" i="16"/>
  <c r="O246" i="16"/>
  <c r="K246" i="16"/>
  <c r="G246" i="16"/>
  <c r="C246" i="16"/>
  <c r="S245" i="16"/>
  <c r="O245" i="16"/>
  <c r="K245" i="16"/>
  <c r="G245" i="16"/>
  <c r="C245" i="16"/>
  <c r="S244" i="16"/>
  <c r="O244" i="16"/>
  <c r="K244" i="16"/>
  <c r="G244" i="16"/>
  <c r="C244" i="16"/>
  <c r="S243" i="16"/>
  <c r="O243" i="16"/>
  <c r="K243" i="16"/>
  <c r="G243" i="16"/>
  <c r="C243" i="16"/>
  <c r="S242" i="16"/>
  <c r="O242" i="16"/>
  <c r="K242" i="16"/>
  <c r="G242" i="16"/>
  <c r="C242" i="16"/>
  <c r="S241" i="16"/>
  <c r="O241" i="16"/>
  <c r="K241" i="16"/>
  <c r="G241" i="16"/>
  <c r="C241" i="16"/>
  <c r="S240" i="16"/>
  <c r="O240" i="16"/>
  <c r="K240" i="16"/>
  <c r="G240" i="16"/>
  <c r="C240" i="16"/>
  <c r="S239" i="16"/>
  <c r="O239" i="16"/>
  <c r="K239" i="16"/>
  <c r="G239" i="16"/>
  <c r="C239" i="16"/>
  <c r="S238" i="16"/>
  <c r="O238" i="16"/>
  <c r="K238" i="16"/>
  <c r="G238" i="16"/>
  <c r="C238" i="16"/>
  <c r="S237" i="16"/>
  <c r="O237" i="16"/>
  <c r="K237" i="16"/>
  <c r="G237" i="16"/>
  <c r="C237" i="16"/>
  <c r="S236" i="16"/>
  <c r="O236" i="16"/>
  <c r="K236" i="16"/>
  <c r="G236" i="16"/>
  <c r="C236" i="16"/>
  <c r="S235" i="16"/>
  <c r="O235" i="16"/>
  <c r="K235" i="16"/>
  <c r="G235" i="16"/>
  <c r="C235" i="16"/>
  <c r="S234" i="16"/>
  <c r="O234" i="16"/>
  <c r="K234" i="16"/>
  <c r="G234" i="16"/>
  <c r="C234" i="16"/>
  <c r="S233" i="16"/>
  <c r="O233" i="16"/>
  <c r="K233" i="16"/>
  <c r="G233" i="16"/>
  <c r="C233" i="16"/>
  <c r="S232" i="16"/>
  <c r="O232" i="16"/>
  <c r="K232" i="16"/>
  <c r="G232" i="16"/>
  <c r="C232" i="16"/>
  <c r="S231" i="16"/>
  <c r="O231" i="16"/>
  <c r="K231" i="16"/>
  <c r="G231" i="16"/>
  <c r="C231" i="16"/>
  <c r="S230" i="16"/>
  <c r="O230" i="16"/>
  <c r="K230" i="16"/>
  <c r="G230" i="16"/>
  <c r="C230" i="16"/>
  <c r="S229" i="16"/>
  <c r="O229" i="16"/>
  <c r="K229" i="16"/>
  <c r="G229" i="16"/>
  <c r="C229" i="16"/>
  <c r="S228" i="16"/>
  <c r="O228" i="16"/>
  <c r="K228" i="16"/>
  <c r="G228" i="16"/>
  <c r="C228" i="16"/>
  <c r="S227" i="16"/>
  <c r="O227" i="16"/>
  <c r="K227" i="16"/>
  <c r="G227" i="16"/>
  <c r="C227" i="16"/>
  <c r="S226" i="16"/>
  <c r="O226" i="16"/>
  <c r="K226" i="16"/>
  <c r="G226" i="16"/>
  <c r="C226" i="16"/>
  <c r="S225" i="16"/>
  <c r="O225" i="16"/>
  <c r="K225" i="16"/>
  <c r="G225" i="16"/>
  <c r="C225" i="16"/>
  <c r="S224" i="16"/>
  <c r="O224" i="16"/>
  <c r="K224" i="16"/>
  <c r="G224" i="16"/>
  <c r="C224" i="16"/>
  <c r="S223" i="16"/>
  <c r="O223" i="16"/>
  <c r="K223" i="16"/>
  <c r="G223" i="16"/>
  <c r="C223" i="16"/>
  <c r="S222" i="16"/>
  <c r="O222" i="16"/>
  <c r="K222" i="16"/>
  <c r="G222" i="16"/>
  <c r="C222" i="16"/>
  <c r="S221" i="16"/>
  <c r="O221" i="16"/>
  <c r="K221" i="16"/>
  <c r="G221" i="16"/>
  <c r="C221" i="16"/>
  <c r="S220" i="16"/>
  <c r="O220" i="16"/>
  <c r="K220" i="16"/>
  <c r="G220" i="16"/>
  <c r="C220" i="16"/>
  <c r="S219" i="16"/>
  <c r="O219" i="16"/>
  <c r="K219" i="16"/>
  <c r="G219" i="16"/>
  <c r="C219" i="16"/>
  <c r="S218" i="16"/>
  <c r="O218" i="16"/>
  <c r="K218" i="16"/>
  <c r="G218" i="16"/>
  <c r="C218" i="16"/>
  <c r="S217" i="16"/>
  <c r="O217" i="16"/>
  <c r="K217" i="16"/>
  <c r="G217" i="16"/>
  <c r="C217" i="16"/>
  <c r="S216" i="16"/>
  <c r="O216" i="16"/>
  <c r="K216" i="16"/>
  <c r="G216" i="16"/>
  <c r="C216" i="16"/>
  <c r="S215" i="16"/>
  <c r="O215" i="16"/>
  <c r="K215" i="16"/>
  <c r="G215" i="16"/>
  <c r="C215" i="16"/>
  <c r="S214" i="16"/>
  <c r="O214" i="16"/>
  <c r="K214" i="16"/>
  <c r="G214" i="16"/>
  <c r="C214" i="16"/>
  <c r="S213" i="16"/>
  <c r="O213" i="16"/>
  <c r="K213" i="16"/>
  <c r="G213" i="16"/>
  <c r="C213" i="16"/>
  <c r="S212" i="16"/>
  <c r="O212" i="16"/>
  <c r="K212" i="16"/>
  <c r="G212" i="16"/>
  <c r="C212" i="16"/>
  <c r="S211" i="16"/>
  <c r="O211" i="16"/>
  <c r="K211" i="16"/>
  <c r="G211" i="16"/>
  <c r="C211" i="16"/>
  <c r="S210" i="16"/>
  <c r="O210" i="16"/>
  <c r="K210" i="16"/>
  <c r="G210" i="16"/>
  <c r="C210" i="16"/>
  <c r="S209" i="16"/>
  <c r="O209" i="16"/>
  <c r="K209" i="16"/>
  <c r="G209" i="16"/>
  <c r="C209" i="16"/>
  <c r="S208" i="16"/>
  <c r="O208" i="16"/>
  <c r="K208" i="16"/>
  <c r="G208" i="16"/>
  <c r="C208" i="16"/>
  <c r="S207" i="16"/>
  <c r="O207" i="16"/>
  <c r="K207" i="16"/>
  <c r="G207" i="16"/>
  <c r="C207" i="16"/>
  <c r="S206" i="16"/>
  <c r="O206" i="16"/>
  <c r="K206" i="16"/>
  <c r="G206" i="16"/>
  <c r="C206" i="16"/>
  <c r="S205" i="16"/>
  <c r="O205" i="16"/>
  <c r="K205" i="16"/>
  <c r="G205" i="16"/>
  <c r="C205" i="16"/>
  <c r="S204" i="16"/>
  <c r="O204" i="16"/>
  <c r="K204" i="16"/>
  <c r="G204" i="16"/>
  <c r="C204" i="16"/>
  <c r="S203" i="16"/>
  <c r="O203" i="16"/>
  <c r="K203" i="16"/>
  <c r="G203" i="16"/>
  <c r="C203" i="16"/>
  <c r="S202" i="16"/>
  <c r="O202" i="16"/>
  <c r="K202" i="16"/>
  <c r="G202" i="16"/>
  <c r="C202" i="16"/>
  <c r="S201" i="16"/>
  <c r="O201" i="16"/>
  <c r="K201" i="16"/>
  <c r="G201" i="16"/>
  <c r="C201" i="16"/>
  <c r="S200" i="16"/>
  <c r="O200" i="16"/>
  <c r="K200" i="16"/>
  <c r="G200" i="16"/>
  <c r="C200" i="16"/>
  <c r="S199" i="16"/>
  <c r="O199" i="16"/>
  <c r="K199" i="16"/>
  <c r="G199" i="16"/>
  <c r="C199" i="16"/>
  <c r="S198" i="16"/>
  <c r="O198" i="16"/>
  <c r="K198" i="16"/>
  <c r="G198" i="16"/>
  <c r="C198" i="16"/>
  <c r="S197" i="16"/>
  <c r="O197" i="16"/>
  <c r="K197" i="16"/>
  <c r="G197" i="16"/>
  <c r="C197" i="16"/>
  <c r="S196" i="16"/>
  <c r="O196" i="16"/>
  <c r="K196" i="16"/>
  <c r="G196" i="16"/>
  <c r="C196" i="16"/>
  <c r="S195" i="16"/>
  <c r="O195" i="16"/>
  <c r="K195" i="16"/>
  <c r="G195" i="16"/>
  <c r="C195" i="16"/>
  <c r="S194" i="16"/>
  <c r="O194" i="16"/>
  <c r="K194" i="16"/>
  <c r="G194" i="16"/>
  <c r="C194" i="16"/>
  <c r="S193" i="16"/>
  <c r="O193" i="16"/>
  <c r="K193" i="16"/>
  <c r="G193" i="16"/>
  <c r="C193" i="16"/>
  <c r="S192" i="16"/>
  <c r="O192" i="16"/>
  <c r="K192" i="16"/>
  <c r="G192" i="16"/>
  <c r="C192" i="16"/>
  <c r="S191" i="16"/>
  <c r="O191" i="16"/>
  <c r="K191" i="16"/>
  <c r="G191" i="16"/>
  <c r="C191" i="16"/>
  <c r="S190" i="16"/>
  <c r="O190" i="16"/>
  <c r="K190" i="16"/>
  <c r="G190" i="16"/>
  <c r="C190" i="16"/>
  <c r="S189" i="16"/>
  <c r="O189" i="16"/>
  <c r="K189" i="16"/>
  <c r="G189" i="16"/>
  <c r="C189" i="16"/>
  <c r="S188" i="16"/>
  <c r="O188" i="16"/>
  <c r="K188" i="16"/>
  <c r="G188" i="16"/>
  <c r="C188" i="16"/>
  <c r="S187" i="16"/>
  <c r="O187" i="16"/>
  <c r="K187" i="16"/>
  <c r="G187" i="16"/>
  <c r="C187" i="16"/>
  <c r="S186" i="16"/>
  <c r="O186" i="16"/>
  <c r="K186" i="16"/>
  <c r="G186" i="16"/>
  <c r="C186" i="16"/>
  <c r="S185" i="16"/>
  <c r="O185" i="16"/>
  <c r="K185" i="16"/>
  <c r="G185" i="16"/>
  <c r="C185" i="16"/>
  <c r="S184" i="16"/>
  <c r="O184" i="16"/>
  <c r="K184" i="16"/>
  <c r="G184" i="16"/>
  <c r="C184" i="16"/>
  <c r="S183" i="16"/>
  <c r="O183" i="16"/>
  <c r="K183" i="16"/>
  <c r="G183" i="16"/>
  <c r="C183" i="16"/>
  <c r="S182" i="16"/>
  <c r="O182" i="16"/>
  <c r="K182" i="16"/>
  <c r="G182" i="16"/>
  <c r="C182" i="16"/>
  <c r="S181" i="16"/>
  <c r="O181" i="16"/>
  <c r="K181" i="16"/>
  <c r="G181" i="16"/>
  <c r="C181" i="16"/>
  <c r="S180" i="16"/>
  <c r="O180" i="16"/>
  <c r="K180" i="16"/>
  <c r="G180" i="16"/>
  <c r="C180" i="16"/>
  <c r="S179" i="16"/>
  <c r="O179" i="16"/>
  <c r="K179" i="16"/>
  <c r="G179" i="16"/>
  <c r="C179" i="16"/>
  <c r="S178" i="16"/>
  <c r="O178" i="16"/>
  <c r="K178" i="16"/>
  <c r="G178" i="16"/>
  <c r="C178" i="16"/>
  <c r="S177" i="16"/>
  <c r="O177" i="16"/>
  <c r="K177" i="16"/>
  <c r="G177" i="16"/>
  <c r="C177" i="16"/>
  <c r="S176" i="16"/>
  <c r="O176" i="16"/>
  <c r="K176" i="16"/>
  <c r="G176" i="16"/>
  <c r="C176" i="16"/>
  <c r="S175" i="16"/>
  <c r="O175" i="16"/>
  <c r="K175" i="16"/>
  <c r="G175" i="16"/>
  <c r="C175" i="16"/>
  <c r="S174" i="16"/>
  <c r="O174" i="16"/>
  <c r="K174" i="16"/>
  <c r="G174" i="16"/>
  <c r="C174" i="16"/>
  <c r="S173" i="16"/>
  <c r="O173" i="16"/>
  <c r="K173" i="16"/>
  <c r="G173" i="16"/>
  <c r="C173" i="16"/>
  <c r="S172" i="16"/>
  <c r="O172" i="16"/>
  <c r="K172" i="16"/>
  <c r="G172" i="16"/>
  <c r="C172" i="16"/>
  <c r="S171" i="16"/>
  <c r="O171" i="16"/>
  <c r="K171" i="16"/>
  <c r="G171" i="16"/>
  <c r="C171" i="16"/>
  <c r="S170" i="16"/>
  <c r="O170" i="16"/>
  <c r="K170" i="16"/>
  <c r="G170" i="16"/>
  <c r="C170" i="16"/>
  <c r="S169" i="16"/>
  <c r="O169" i="16"/>
  <c r="K169" i="16"/>
  <c r="G169" i="16"/>
  <c r="C169" i="16"/>
  <c r="S168" i="16"/>
  <c r="O168" i="16"/>
  <c r="K168" i="16"/>
  <c r="G168" i="16"/>
  <c r="C168" i="16"/>
  <c r="S167" i="16"/>
  <c r="O167" i="16"/>
  <c r="K167" i="16"/>
  <c r="G167" i="16"/>
  <c r="C167" i="16"/>
  <c r="S166" i="16"/>
  <c r="O166" i="16"/>
  <c r="K166" i="16"/>
  <c r="G166" i="16"/>
  <c r="C166" i="16"/>
  <c r="S165" i="16"/>
  <c r="O165" i="16"/>
  <c r="K165" i="16"/>
  <c r="G165" i="16"/>
  <c r="C165" i="16"/>
  <c r="S164" i="16"/>
  <c r="O164" i="16"/>
  <c r="K164" i="16"/>
  <c r="G164" i="16"/>
  <c r="C164" i="16"/>
  <c r="S163" i="16"/>
  <c r="O163" i="16"/>
  <c r="K163" i="16"/>
  <c r="G163" i="16"/>
  <c r="C163" i="16"/>
  <c r="S162" i="16"/>
  <c r="O162" i="16"/>
  <c r="K162" i="16"/>
  <c r="G162" i="16"/>
  <c r="C162" i="16"/>
  <c r="S161" i="16"/>
  <c r="O161" i="16"/>
  <c r="K161" i="16"/>
  <c r="G161" i="16"/>
  <c r="C161" i="16"/>
  <c r="S160" i="16"/>
  <c r="O160" i="16"/>
  <c r="K160" i="16"/>
  <c r="G160" i="16"/>
  <c r="C160" i="16"/>
  <c r="S159" i="16"/>
  <c r="O159" i="16"/>
  <c r="K159" i="16"/>
  <c r="G159" i="16"/>
  <c r="C159" i="16"/>
  <c r="S158" i="16"/>
  <c r="O158" i="16"/>
  <c r="K158" i="16"/>
  <c r="G158" i="16"/>
  <c r="C158" i="16"/>
  <c r="S157" i="16"/>
  <c r="O157" i="16"/>
  <c r="K157" i="16"/>
  <c r="G157" i="16"/>
  <c r="C157" i="16"/>
  <c r="S156" i="16"/>
  <c r="O156" i="16"/>
  <c r="K156" i="16"/>
  <c r="G156" i="16"/>
  <c r="C156" i="16"/>
  <c r="S155" i="16"/>
  <c r="O155" i="16"/>
  <c r="K155" i="16"/>
  <c r="G155" i="16"/>
  <c r="C155" i="16"/>
  <c r="S154" i="16"/>
  <c r="O154" i="16"/>
  <c r="K154" i="16"/>
  <c r="G154" i="16"/>
  <c r="C154" i="16"/>
  <c r="S153" i="16"/>
  <c r="O153" i="16"/>
  <c r="K153" i="16"/>
  <c r="G153" i="16"/>
  <c r="C153" i="16"/>
  <c r="S152" i="16"/>
  <c r="O152" i="16"/>
  <c r="K152" i="16"/>
  <c r="G152" i="16"/>
  <c r="C152" i="16"/>
  <c r="S151" i="16"/>
  <c r="O151" i="16"/>
  <c r="K151" i="16"/>
  <c r="G151" i="16"/>
  <c r="C151" i="16"/>
  <c r="S150" i="16"/>
  <c r="O150" i="16"/>
  <c r="K150" i="16"/>
  <c r="G150" i="16"/>
  <c r="C150" i="16"/>
  <c r="S149" i="16"/>
  <c r="O149" i="16"/>
  <c r="K149" i="16"/>
  <c r="G149" i="16"/>
  <c r="C149" i="16"/>
  <c r="S148" i="16"/>
  <c r="O148" i="16"/>
  <c r="K148" i="16"/>
  <c r="G148" i="16"/>
  <c r="C148" i="16"/>
  <c r="S147" i="16"/>
  <c r="O147" i="16"/>
  <c r="K147" i="16"/>
  <c r="G147" i="16"/>
  <c r="C147" i="16"/>
  <c r="S146" i="16"/>
  <c r="O146" i="16"/>
  <c r="K146" i="16"/>
  <c r="G146" i="16"/>
  <c r="C146" i="16"/>
  <c r="S145" i="16"/>
  <c r="O145" i="16"/>
  <c r="K145" i="16"/>
  <c r="G145" i="16"/>
  <c r="C145" i="16"/>
  <c r="S144" i="16"/>
  <c r="O144" i="16"/>
  <c r="K144" i="16"/>
  <c r="G144" i="16"/>
  <c r="C144" i="16"/>
  <c r="S143" i="16"/>
  <c r="O143" i="16"/>
  <c r="K143" i="16"/>
  <c r="G143" i="16"/>
  <c r="C143" i="16"/>
  <c r="S142" i="16"/>
  <c r="O142" i="16"/>
  <c r="K142" i="16"/>
  <c r="G142" i="16"/>
  <c r="C142" i="16"/>
  <c r="S141" i="16"/>
  <c r="O141" i="16"/>
  <c r="K141" i="16"/>
  <c r="G141" i="16"/>
  <c r="C141" i="16"/>
  <c r="S140" i="16"/>
  <c r="O140" i="16"/>
  <c r="K140" i="16"/>
  <c r="G140" i="16"/>
  <c r="C140" i="16"/>
  <c r="S139" i="16"/>
  <c r="O139" i="16"/>
  <c r="K139" i="16"/>
  <c r="G139" i="16"/>
  <c r="C139" i="16"/>
  <c r="S138" i="16"/>
  <c r="O138" i="16"/>
  <c r="K138" i="16"/>
  <c r="G138" i="16"/>
  <c r="C138" i="16"/>
  <c r="S137" i="16"/>
  <c r="O137" i="16"/>
  <c r="K137" i="16"/>
  <c r="G137" i="16"/>
  <c r="C137" i="16"/>
  <c r="S136" i="16"/>
  <c r="O136" i="16"/>
  <c r="K136" i="16"/>
  <c r="G136" i="16"/>
  <c r="C136" i="16"/>
  <c r="S135" i="16"/>
  <c r="O135" i="16"/>
  <c r="K135" i="16"/>
  <c r="G135" i="16"/>
  <c r="C135" i="16"/>
  <c r="S134" i="16"/>
  <c r="O134" i="16"/>
  <c r="K134" i="16"/>
  <c r="G134" i="16"/>
  <c r="C134" i="16"/>
  <c r="S133" i="16"/>
  <c r="O133" i="16"/>
  <c r="K133" i="16"/>
  <c r="G133" i="16"/>
  <c r="C133" i="16"/>
  <c r="S132" i="16"/>
  <c r="O132" i="16"/>
  <c r="K132" i="16"/>
  <c r="G132" i="16"/>
  <c r="C132" i="16"/>
  <c r="S131" i="16"/>
  <c r="O131" i="16"/>
  <c r="K131" i="16"/>
  <c r="G131" i="16"/>
  <c r="C131" i="16"/>
  <c r="S130" i="16"/>
  <c r="O130" i="16"/>
  <c r="K130" i="16"/>
  <c r="G130" i="16"/>
  <c r="C130" i="16"/>
  <c r="S129" i="16"/>
  <c r="O129" i="16"/>
  <c r="K129" i="16"/>
  <c r="G129" i="16"/>
  <c r="C129" i="16"/>
  <c r="S128" i="16"/>
  <c r="O128" i="16"/>
  <c r="K128" i="16"/>
  <c r="G128" i="16"/>
  <c r="C128" i="16"/>
  <c r="S127" i="16"/>
  <c r="O127" i="16"/>
  <c r="K127" i="16"/>
  <c r="G127" i="16"/>
  <c r="C127" i="16"/>
  <c r="S126" i="16"/>
  <c r="O126" i="16"/>
  <c r="K126" i="16"/>
  <c r="G126" i="16"/>
  <c r="C126" i="16"/>
  <c r="S125" i="16"/>
  <c r="O125" i="16"/>
  <c r="K125" i="16"/>
  <c r="G125" i="16"/>
  <c r="C125" i="16"/>
  <c r="S124" i="16"/>
  <c r="O124" i="16"/>
  <c r="K124" i="16"/>
  <c r="G124" i="16"/>
  <c r="C124" i="16"/>
  <c r="S123" i="16"/>
  <c r="O123" i="16"/>
  <c r="K123" i="16"/>
  <c r="G123" i="16"/>
  <c r="C123" i="16"/>
  <c r="S122" i="16"/>
  <c r="O122" i="16"/>
  <c r="K122" i="16"/>
  <c r="G122" i="16"/>
  <c r="C122" i="16"/>
  <c r="S121" i="16"/>
  <c r="O121" i="16"/>
  <c r="K121" i="16"/>
  <c r="G121" i="16"/>
  <c r="C121" i="16"/>
  <c r="S120" i="16"/>
  <c r="O120" i="16"/>
  <c r="K120" i="16"/>
  <c r="G120" i="16"/>
  <c r="C120" i="16"/>
  <c r="S119" i="16"/>
  <c r="O119" i="16"/>
  <c r="K119" i="16"/>
  <c r="G119" i="16"/>
  <c r="C119" i="16"/>
  <c r="S118" i="16"/>
  <c r="O118" i="16"/>
  <c r="K118" i="16"/>
  <c r="G118" i="16"/>
  <c r="C118" i="16"/>
  <c r="S117" i="16"/>
  <c r="O117" i="16"/>
  <c r="K117" i="16"/>
  <c r="G117" i="16"/>
  <c r="C117" i="16"/>
  <c r="S116" i="16"/>
  <c r="O116" i="16"/>
  <c r="K116" i="16"/>
  <c r="G116" i="16"/>
  <c r="C116" i="16"/>
  <c r="S115" i="16"/>
  <c r="O115" i="16"/>
  <c r="K115" i="16"/>
  <c r="G115" i="16"/>
  <c r="C115" i="16"/>
  <c r="S114" i="16"/>
  <c r="O114" i="16"/>
  <c r="K114" i="16"/>
  <c r="G114" i="16"/>
  <c r="C114" i="16"/>
  <c r="S113" i="16"/>
  <c r="O113" i="16"/>
  <c r="K113" i="16"/>
  <c r="G113" i="16"/>
  <c r="C113" i="16"/>
  <c r="S112" i="16"/>
  <c r="O112" i="16"/>
  <c r="K112" i="16"/>
  <c r="G112" i="16"/>
  <c r="C112" i="16"/>
  <c r="S111" i="16"/>
  <c r="O111" i="16"/>
  <c r="K111" i="16"/>
  <c r="G111" i="16"/>
  <c r="C111" i="16"/>
  <c r="S110" i="16"/>
  <c r="O110" i="16"/>
  <c r="K110" i="16"/>
  <c r="G110" i="16"/>
  <c r="C110" i="16"/>
  <c r="S109" i="16"/>
  <c r="O109" i="16"/>
  <c r="K109" i="16"/>
  <c r="G109" i="16"/>
  <c r="C109" i="16"/>
  <c r="S108" i="16"/>
  <c r="O108" i="16"/>
  <c r="K108" i="16"/>
  <c r="G108" i="16"/>
  <c r="C108" i="16"/>
  <c r="S107" i="16"/>
  <c r="O107" i="16"/>
  <c r="K107" i="16"/>
  <c r="G107" i="16"/>
  <c r="C107" i="16"/>
  <c r="S106" i="16"/>
  <c r="O106" i="16"/>
  <c r="K106" i="16"/>
  <c r="G106" i="16"/>
  <c r="C106" i="16"/>
  <c r="S105" i="16"/>
  <c r="O105" i="16"/>
  <c r="K105" i="16"/>
  <c r="G105" i="16"/>
  <c r="C105" i="16"/>
  <c r="S104" i="16"/>
  <c r="O104" i="16"/>
  <c r="K104" i="16"/>
  <c r="G104" i="16"/>
  <c r="C104" i="16"/>
  <c r="S103" i="16"/>
  <c r="O103" i="16"/>
  <c r="K103" i="16"/>
  <c r="G103" i="16"/>
  <c r="C103" i="16"/>
  <c r="S102" i="16"/>
  <c r="O102" i="16"/>
  <c r="K102" i="16"/>
  <c r="G102" i="16"/>
  <c r="C102" i="16"/>
  <c r="S101" i="16"/>
  <c r="O101" i="16"/>
  <c r="K101" i="16"/>
  <c r="G101" i="16"/>
  <c r="C101" i="16"/>
  <c r="S100" i="16"/>
  <c r="O100" i="16"/>
  <c r="K100" i="16"/>
  <c r="G100" i="16"/>
  <c r="C100" i="16"/>
  <c r="S99" i="16"/>
  <c r="O99" i="16"/>
  <c r="K99" i="16"/>
  <c r="G99" i="16"/>
  <c r="C99" i="16"/>
  <c r="S98" i="16"/>
  <c r="O98" i="16"/>
  <c r="K98" i="16"/>
  <c r="G98" i="16"/>
  <c r="C98" i="16"/>
  <c r="S97" i="16"/>
  <c r="O97" i="16"/>
  <c r="K97" i="16"/>
  <c r="G97" i="16"/>
  <c r="C97" i="16"/>
  <c r="S96" i="16"/>
  <c r="O96" i="16"/>
  <c r="K96" i="16"/>
  <c r="G96" i="16"/>
  <c r="C96" i="16"/>
  <c r="S95" i="16"/>
  <c r="O95" i="16"/>
  <c r="K95" i="16"/>
  <c r="G95" i="16"/>
  <c r="C95" i="16"/>
  <c r="S94" i="16"/>
  <c r="O94" i="16"/>
  <c r="K94" i="16"/>
  <c r="G94" i="16"/>
  <c r="C94" i="16"/>
  <c r="S93" i="16"/>
  <c r="O93" i="16"/>
  <c r="K93" i="16"/>
  <c r="G93" i="16"/>
  <c r="C93" i="16"/>
  <c r="S92" i="16"/>
  <c r="O92" i="16"/>
  <c r="K92" i="16"/>
  <c r="G92" i="16"/>
  <c r="C92" i="16"/>
  <c r="S91" i="16"/>
  <c r="O91" i="16"/>
  <c r="K91" i="16"/>
  <c r="G91" i="16"/>
  <c r="C91" i="16"/>
  <c r="S90" i="16"/>
  <c r="O90" i="16"/>
  <c r="K90" i="16"/>
  <c r="G90" i="16"/>
  <c r="C90" i="16"/>
  <c r="S89" i="16"/>
  <c r="O89" i="16"/>
  <c r="K89" i="16"/>
  <c r="G89" i="16"/>
  <c r="C89" i="16"/>
  <c r="S88" i="16"/>
  <c r="O88" i="16"/>
  <c r="K88" i="16"/>
  <c r="G88" i="16"/>
  <c r="C88" i="16"/>
  <c r="S87" i="16"/>
  <c r="O87" i="16"/>
  <c r="K87" i="16"/>
  <c r="G87" i="16"/>
  <c r="C87" i="16"/>
  <c r="S86" i="16"/>
  <c r="O86" i="16"/>
  <c r="K86" i="16"/>
  <c r="G86" i="16"/>
  <c r="C86" i="16"/>
  <c r="S85" i="16"/>
  <c r="O85" i="16"/>
  <c r="K85" i="16"/>
  <c r="G85" i="16"/>
  <c r="C85" i="16"/>
  <c r="S84" i="16"/>
  <c r="O84" i="16"/>
  <c r="K84" i="16"/>
  <c r="G84" i="16"/>
  <c r="C84" i="16"/>
  <c r="S83" i="16"/>
  <c r="O83" i="16"/>
  <c r="K83" i="16"/>
  <c r="G83" i="16"/>
  <c r="C83" i="16"/>
  <c r="S82" i="16"/>
  <c r="O82" i="16"/>
  <c r="K82" i="16"/>
  <c r="G82" i="16"/>
  <c r="C82" i="16"/>
  <c r="S81" i="16"/>
  <c r="O81" i="16"/>
  <c r="K81" i="16"/>
  <c r="G81" i="16"/>
  <c r="C81" i="16"/>
  <c r="S80" i="16"/>
  <c r="O80" i="16"/>
  <c r="K80" i="16"/>
  <c r="G80" i="16"/>
  <c r="C80" i="16"/>
  <c r="S79" i="16"/>
  <c r="O79" i="16"/>
  <c r="K79" i="16"/>
  <c r="G79" i="16"/>
  <c r="C79" i="16"/>
  <c r="S78" i="16"/>
  <c r="O78" i="16"/>
  <c r="K78" i="16"/>
  <c r="G78" i="16"/>
  <c r="C78" i="16"/>
  <c r="S77" i="16"/>
  <c r="O77" i="16"/>
  <c r="K77" i="16"/>
  <c r="G77" i="16"/>
  <c r="C77" i="16"/>
  <c r="S76" i="16"/>
  <c r="O76" i="16"/>
  <c r="K76" i="16"/>
  <c r="G76" i="16"/>
  <c r="C76" i="16"/>
  <c r="S75" i="16"/>
  <c r="O75" i="16"/>
  <c r="K75" i="16"/>
  <c r="G75" i="16"/>
  <c r="C75" i="16"/>
  <c r="S74" i="16"/>
  <c r="O74" i="16"/>
  <c r="K74" i="16"/>
  <c r="G74" i="16"/>
  <c r="C74" i="16"/>
  <c r="S73" i="16"/>
  <c r="O73" i="16"/>
  <c r="K73" i="16"/>
  <c r="G73" i="16"/>
  <c r="C73" i="16"/>
  <c r="S72" i="16"/>
  <c r="O72" i="16"/>
  <c r="K72" i="16"/>
  <c r="G72" i="16"/>
  <c r="C72" i="16"/>
  <c r="S71" i="16"/>
  <c r="O71" i="16"/>
  <c r="K71" i="16"/>
  <c r="G71" i="16"/>
  <c r="C71" i="16"/>
  <c r="S70" i="16"/>
  <c r="O70" i="16"/>
  <c r="K70" i="16"/>
  <c r="G70" i="16"/>
  <c r="C70" i="16"/>
  <c r="S69" i="16"/>
  <c r="O69" i="16"/>
  <c r="K69" i="16"/>
  <c r="G69" i="16"/>
  <c r="C69" i="16"/>
  <c r="S68" i="16"/>
  <c r="O68" i="16"/>
  <c r="K68" i="16"/>
  <c r="G68" i="16"/>
  <c r="C68" i="16"/>
  <c r="S67" i="16"/>
  <c r="O67" i="16"/>
  <c r="K67" i="16"/>
  <c r="G67" i="16"/>
  <c r="C67" i="16"/>
  <c r="S66" i="16"/>
  <c r="O66" i="16"/>
  <c r="K66" i="16"/>
  <c r="G66" i="16"/>
  <c r="C66" i="16"/>
  <c r="S65" i="16"/>
  <c r="O65" i="16"/>
  <c r="K65" i="16"/>
  <c r="G65" i="16"/>
  <c r="C65" i="16"/>
  <c r="S64" i="16"/>
  <c r="O64" i="16"/>
  <c r="K64" i="16"/>
  <c r="G64" i="16"/>
  <c r="C64" i="16"/>
  <c r="S63" i="16"/>
  <c r="O63" i="16"/>
  <c r="K63" i="16"/>
  <c r="G63" i="16"/>
  <c r="C63" i="16"/>
  <c r="S62" i="16"/>
  <c r="O62" i="16"/>
  <c r="K62" i="16"/>
  <c r="G62" i="16"/>
  <c r="C62" i="16"/>
  <c r="S61" i="16"/>
  <c r="O61" i="16"/>
  <c r="K61" i="16"/>
  <c r="G61" i="16"/>
  <c r="C61" i="16"/>
  <c r="S60" i="16"/>
  <c r="O60" i="16"/>
  <c r="K60" i="16"/>
  <c r="G60" i="16"/>
  <c r="C60" i="16"/>
  <c r="S59" i="16"/>
  <c r="O59" i="16"/>
  <c r="K59" i="16"/>
  <c r="G59" i="16"/>
  <c r="C59" i="16"/>
  <c r="S58" i="16"/>
  <c r="O58" i="16"/>
  <c r="K58" i="16"/>
  <c r="G58" i="16"/>
  <c r="C58" i="16"/>
  <c r="S57" i="16"/>
  <c r="O57" i="16"/>
  <c r="K57" i="16"/>
  <c r="G57" i="16"/>
  <c r="C57" i="16"/>
  <c r="S56" i="16"/>
  <c r="O56" i="16"/>
  <c r="K56" i="16"/>
  <c r="G56" i="16"/>
  <c r="C56" i="16"/>
  <c r="S55" i="16"/>
  <c r="O55" i="16"/>
  <c r="K55" i="16"/>
  <c r="G55" i="16"/>
  <c r="C55" i="16"/>
  <c r="S54" i="16"/>
  <c r="O54" i="16"/>
  <c r="K54" i="16"/>
  <c r="G54" i="16"/>
  <c r="C54" i="16"/>
  <c r="S53" i="16"/>
  <c r="O53" i="16"/>
  <c r="K53" i="16"/>
  <c r="G53" i="16"/>
  <c r="C53" i="16"/>
  <c r="S52" i="16"/>
  <c r="O52" i="16"/>
  <c r="K52" i="16"/>
  <c r="G52" i="16"/>
  <c r="C52" i="16"/>
  <c r="S51" i="16"/>
  <c r="O51" i="16"/>
  <c r="K51" i="16"/>
  <c r="G51" i="16"/>
  <c r="C51" i="16"/>
  <c r="S50" i="16"/>
  <c r="O50" i="16"/>
  <c r="K50" i="16"/>
  <c r="G50" i="16"/>
  <c r="C50" i="16"/>
  <c r="S49" i="16"/>
  <c r="O49" i="16"/>
  <c r="K49" i="16"/>
  <c r="G49" i="16"/>
  <c r="C49" i="16"/>
  <c r="S48" i="16"/>
  <c r="O48" i="16"/>
  <c r="K48" i="16"/>
  <c r="G48" i="16"/>
  <c r="C48" i="16"/>
  <c r="S47" i="16"/>
  <c r="O47" i="16"/>
  <c r="K47" i="16"/>
  <c r="G47" i="16"/>
  <c r="C47" i="16"/>
  <c r="S46" i="16"/>
  <c r="O46" i="16"/>
  <c r="K46" i="16"/>
  <c r="G46" i="16"/>
  <c r="C46" i="16"/>
  <c r="S45" i="16"/>
  <c r="O45" i="16"/>
  <c r="K45" i="16"/>
  <c r="G45" i="16"/>
  <c r="C45" i="16"/>
  <c r="S44" i="16"/>
  <c r="O44" i="16"/>
  <c r="K44" i="16"/>
  <c r="G44" i="16"/>
  <c r="C44" i="16"/>
  <c r="S43" i="16"/>
  <c r="O43" i="16"/>
  <c r="K43" i="16"/>
  <c r="G43" i="16"/>
  <c r="C43" i="16"/>
  <c r="S42" i="16"/>
  <c r="O42" i="16"/>
  <c r="K42" i="16"/>
  <c r="G42" i="16"/>
  <c r="C42" i="16"/>
  <c r="S41" i="16"/>
  <c r="O41" i="16"/>
  <c r="K41" i="16"/>
  <c r="G41" i="16"/>
  <c r="C41" i="16"/>
  <c r="S40" i="16"/>
  <c r="O40" i="16"/>
  <c r="K40" i="16"/>
  <c r="G40" i="16"/>
  <c r="C40" i="16"/>
  <c r="S39" i="16"/>
  <c r="O39" i="16"/>
  <c r="K39" i="16"/>
  <c r="G39" i="16"/>
  <c r="C39" i="16"/>
  <c r="S38" i="16"/>
  <c r="O38" i="16"/>
  <c r="K38" i="16"/>
  <c r="G38" i="16"/>
  <c r="C38" i="16"/>
  <c r="S37" i="16"/>
  <c r="O37" i="16"/>
  <c r="K37" i="16"/>
  <c r="G37" i="16"/>
  <c r="C37" i="16"/>
  <c r="S36" i="16"/>
  <c r="O36" i="16"/>
  <c r="K36" i="16"/>
  <c r="G36" i="16"/>
  <c r="C36" i="16"/>
  <c r="S35" i="16"/>
  <c r="O35" i="16"/>
  <c r="K35" i="16"/>
  <c r="G35" i="16"/>
  <c r="C35" i="16"/>
  <c r="S34" i="16"/>
  <c r="O34" i="16"/>
  <c r="K34" i="16"/>
  <c r="G34" i="16"/>
  <c r="C34" i="16"/>
  <c r="S33" i="16"/>
  <c r="O33" i="16"/>
  <c r="K33" i="16"/>
  <c r="G33" i="16"/>
  <c r="C33" i="16"/>
  <c r="S32" i="16"/>
  <c r="O32" i="16"/>
  <c r="K32" i="16"/>
  <c r="G32" i="16"/>
  <c r="C32" i="16"/>
  <c r="S31" i="16"/>
  <c r="O31" i="16"/>
  <c r="K31" i="16"/>
  <c r="G31" i="16"/>
  <c r="C31" i="16"/>
  <c r="S30" i="16"/>
  <c r="O30" i="16"/>
  <c r="K30" i="16"/>
  <c r="G30" i="16"/>
  <c r="C30" i="16"/>
  <c r="S29" i="16"/>
  <c r="O29" i="16"/>
  <c r="K29" i="16"/>
  <c r="G29" i="16"/>
  <c r="C29" i="16"/>
  <c r="S28" i="16"/>
  <c r="O28" i="16"/>
  <c r="K28" i="16"/>
  <c r="G28" i="16"/>
  <c r="C28" i="16"/>
  <c r="S27" i="16"/>
  <c r="O27" i="16"/>
  <c r="K27" i="16"/>
  <c r="G27" i="16"/>
  <c r="C27" i="16"/>
  <c r="S26" i="16"/>
  <c r="O26" i="16"/>
  <c r="K26" i="16"/>
  <c r="G26" i="16"/>
  <c r="C26" i="16"/>
  <c r="S25" i="16"/>
  <c r="O25" i="16"/>
  <c r="K25" i="16"/>
  <c r="G25" i="16"/>
  <c r="C25" i="16"/>
  <c r="S24" i="16"/>
  <c r="O24" i="16"/>
  <c r="K24" i="16"/>
  <c r="G24" i="16"/>
  <c r="C24" i="16"/>
  <c r="S23" i="16"/>
  <c r="O23" i="16"/>
  <c r="K23" i="16"/>
  <c r="G23" i="16"/>
  <c r="C23" i="16"/>
  <c r="S22" i="16"/>
  <c r="O22" i="16"/>
  <c r="K22" i="16"/>
  <c r="G22" i="16"/>
  <c r="C22" i="16"/>
  <c r="S21" i="16"/>
  <c r="O21" i="16"/>
  <c r="K21" i="16"/>
  <c r="G21" i="16"/>
  <c r="C21" i="16"/>
  <c r="S20" i="16"/>
  <c r="O20" i="16"/>
  <c r="K20" i="16"/>
  <c r="G20" i="16"/>
  <c r="C20" i="16"/>
  <c r="S19" i="16"/>
  <c r="O19" i="16"/>
  <c r="K19" i="16"/>
  <c r="G19" i="16"/>
  <c r="C19" i="16"/>
  <c r="S18" i="16"/>
  <c r="O18" i="16"/>
  <c r="K18" i="16"/>
  <c r="G18" i="16"/>
  <c r="C18" i="16"/>
  <c r="S17" i="16"/>
  <c r="O17" i="16"/>
  <c r="K17" i="16"/>
  <c r="G17" i="16"/>
  <c r="C17" i="16"/>
  <c r="S16" i="16"/>
  <c r="O16" i="16"/>
  <c r="K16" i="16"/>
  <c r="G16" i="16"/>
  <c r="C16" i="16"/>
  <c r="S15" i="16"/>
  <c r="O15" i="16"/>
  <c r="K15" i="16"/>
  <c r="G15" i="16"/>
  <c r="C15" i="16"/>
  <c r="S14" i="16"/>
  <c r="O14" i="16"/>
  <c r="K14" i="16"/>
  <c r="G14" i="16"/>
  <c r="C14" i="16"/>
  <c r="S13" i="16"/>
  <c r="O13" i="16"/>
  <c r="K13" i="16"/>
  <c r="G13" i="16"/>
  <c r="C13" i="16"/>
  <c r="S12" i="16"/>
  <c r="O12" i="16"/>
  <c r="K12" i="16"/>
  <c r="G12" i="16"/>
  <c r="C12" i="16"/>
  <c r="S11" i="16"/>
  <c r="O11" i="16"/>
  <c r="K11" i="16"/>
  <c r="G11" i="16"/>
  <c r="C11" i="16"/>
  <c r="S10" i="16"/>
  <c r="O10" i="16"/>
  <c r="K10" i="16"/>
  <c r="G10" i="16"/>
  <c r="C10" i="16"/>
  <c r="R5" i="16"/>
  <c r="N5" i="16"/>
  <c r="J5" i="16"/>
  <c r="F5" i="16"/>
  <c r="B5" i="16"/>
  <c r="S309" i="15"/>
  <c r="O309" i="15"/>
  <c r="K309" i="15"/>
  <c r="G309" i="15"/>
  <c r="C309" i="15"/>
  <c r="S308" i="15"/>
  <c r="O308" i="15"/>
  <c r="K308" i="15"/>
  <c r="G308" i="15"/>
  <c r="C308" i="15"/>
  <c r="S307" i="15"/>
  <c r="O307" i="15"/>
  <c r="K307" i="15"/>
  <c r="G307" i="15"/>
  <c r="C307" i="15"/>
  <c r="S306" i="15"/>
  <c r="O306" i="15"/>
  <c r="K306" i="15"/>
  <c r="G306" i="15"/>
  <c r="C306" i="15"/>
  <c r="S305" i="15"/>
  <c r="O305" i="15"/>
  <c r="K305" i="15"/>
  <c r="G305" i="15"/>
  <c r="C305" i="15"/>
  <c r="S304" i="15"/>
  <c r="O304" i="15"/>
  <c r="K304" i="15"/>
  <c r="G304" i="15"/>
  <c r="C304" i="15"/>
  <c r="S303" i="15"/>
  <c r="O303" i="15"/>
  <c r="K303" i="15"/>
  <c r="G303" i="15"/>
  <c r="C303" i="15"/>
  <c r="S302" i="15"/>
  <c r="O302" i="15"/>
  <c r="K302" i="15"/>
  <c r="G302" i="15"/>
  <c r="C302" i="15"/>
  <c r="S301" i="15"/>
  <c r="O301" i="15"/>
  <c r="K301" i="15"/>
  <c r="G301" i="15"/>
  <c r="C301" i="15"/>
  <c r="S300" i="15"/>
  <c r="O300" i="15"/>
  <c r="K300" i="15"/>
  <c r="G300" i="15"/>
  <c r="C300" i="15"/>
  <c r="S299" i="15"/>
  <c r="O299" i="15"/>
  <c r="K299" i="15"/>
  <c r="G299" i="15"/>
  <c r="C299" i="15"/>
  <c r="S298" i="15"/>
  <c r="O298" i="15"/>
  <c r="K298" i="15"/>
  <c r="G298" i="15"/>
  <c r="C298" i="15"/>
  <c r="S297" i="15"/>
  <c r="O297" i="15"/>
  <c r="K297" i="15"/>
  <c r="G297" i="15"/>
  <c r="C297" i="15"/>
  <c r="S296" i="15"/>
  <c r="O296" i="15"/>
  <c r="K296" i="15"/>
  <c r="G296" i="15"/>
  <c r="C296" i="15"/>
  <c r="S295" i="15"/>
  <c r="O295" i="15"/>
  <c r="K295" i="15"/>
  <c r="G295" i="15"/>
  <c r="C295" i="15"/>
  <c r="S294" i="15"/>
  <c r="O294" i="15"/>
  <c r="K294" i="15"/>
  <c r="G294" i="15"/>
  <c r="C294" i="15"/>
  <c r="S293" i="15"/>
  <c r="O293" i="15"/>
  <c r="K293" i="15"/>
  <c r="G293" i="15"/>
  <c r="C293" i="15"/>
  <c r="S292" i="15"/>
  <c r="O292" i="15"/>
  <c r="K292" i="15"/>
  <c r="G292" i="15"/>
  <c r="C292" i="15"/>
  <c r="S291" i="15"/>
  <c r="O291" i="15"/>
  <c r="K291" i="15"/>
  <c r="G291" i="15"/>
  <c r="C291" i="15"/>
  <c r="S290" i="15"/>
  <c r="O290" i="15"/>
  <c r="K290" i="15"/>
  <c r="G290" i="15"/>
  <c r="C290" i="15"/>
  <c r="S289" i="15"/>
  <c r="O289" i="15"/>
  <c r="K289" i="15"/>
  <c r="G289" i="15"/>
  <c r="C289" i="15"/>
  <c r="S288" i="15"/>
  <c r="O288" i="15"/>
  <c r="K288" i="15"/>
  <c r="G288" i="15"/>
  <c r="C288" i="15"/>
  <c r="S287" i="15"/>
  <c r="O287" i="15"/>
  <c r="K287" i="15"/>
  <c r="G287" i="15"/>
  <c r="C287" i="15"/>
  <c r="S286" i="15"/>
  <c r="O286" i="15"/>
  <c r="K286" i="15"/>
  <c r="G286" i="15"/>
  <c r="C286" i="15"/>
  <c r="S285" i="15"/>
  <c r="O285" i="15"/>
  <c r="K285" i="15"/>
  <c r="G285" i="15"/>
  <c r="C285" i="15"/>
  <c r="S284" i="15"/>
  <c r="O284" i="15"/>
  <c r="K284" i="15"/>
  <c r="G284" i="15"/>
  <c r="C284" i="15"/>
  <c r="S283" i="15"/>
  <c r="O283" i="15"/>
  <c r="K283" i="15"/>
  <c r="G283" i="15"/>
  <c r="C283" i="15"/>
  <c r="S282" i="15"/>
  <c r="O282" i="15"/>
  <c r="K282" i="15"/>
  <c r="G282" i="15"/>
  <c r="C282" i="15"/>
  <c r="S281" i="15"/>
  <c r="O281" i="15"/>
  <c r="K281" i="15"/>
  <c r="G281" i="15"/>
  <c r="C281" i="15"/>
  <c r="S280" i="15"/>
  <c r="O280" i="15"/>
  <c r="K280" i="15"/>
  <c r="G280" i="15"/>
  <c r="C280" i="15"/>
  <c r="S279" i="15"/>
  <c r="O279" i="15"/>
  <c r="K279" i="15"/>
  <c r="G279" i="15"/>
  <c r="C279" i="15"/>
  <c r="S278" i="15"/>
  <c r="O278" i="15"/>
  <c r="K278" i="15"/>
  <c r="G278" i="15"/>
  <c r="C278" i="15"/>
  <c r="S277" i="15"/>
  <c r="O277" i="15"/>
  <c r="K277" i="15"/>
  <c r="G277" i="15"/>
  <c r="C277" i="15"/>
  <c r="S276" i="15"/>
  <c r="O276" i="15"/>
  <c r="K276" i="15"/>
  <c r="G276" i="15"/>
  <c r="C276" i="15"/>
  <c r="S275" i="15"/>
  <c r="O275" i="15"/>
  <c r="K275" i="15"/>
  <c r="G275" i="15"/>
  <c r="C275" i="15"/>
  <c r="S274" i="15"/>
  <c r="O274" i="15"/>
  <c r="K274" i="15"/>
  <c r="G274" i="15"/>
  <c r="C274" i="15"/>
  <c r="S273" i="15"/>
  <c r="O273" i="15"/>
  <c r="K273" i="15"/>
  <c r="G273" i="15"/>
  <c r="C273" i="15"/>
  <c r="S272" i="15"/>
  <c r="O272" i="15"/>
  <c r="K272" i="15"/>
  <c r="G272" i="15"/>
  <c r="C272" i="15"/>
  <c r="S271" i="15"/>
  <c r="O271" i="15"/>
  <c r="K271" i="15"/>
  <c r="G271" i="15"/>
  <c r="C271" i="15"/>
  <c r="S270" i="15"/>
  <c r="O270" i="15"/>
  <c r="K270" i="15"/>
  <c r="G270" i="15"/>
  <c r="C270" i="15"/>
  <c r="S269" i="15"/>
  <c r="O269" i="15"/>
  <c r="K269" i="15"/>
  <c r="G269" i="15"/>
  <c r="C269" i="15"/>
  <c r="S268" i="15"/>
  <c r="O268" i="15"/>
  <c r="K268" i="15"/>
  <c r="G268" i="15"/>
  <c r="C268" i="15"/>
  <c r="S267" i="15"/>
  <c r="O267" i="15"/>
  <c r="K267" i="15"/>
  <c r="G267" i="15"/>
  <c r="C267" i="15"/>
  <c r="S266" i="15"/>
  <c r="O266" i="15"/>
  <c r="K266" i="15"/>
  <c r="G266" i="15"/>
  <c r="C266" i="15"/>
  <c r="S265" i="15"/>
  <c r="O265" i="15"/>
  <c r="K265" i="15"/>
  <c r="G265" i="15"/>
  <c r="C265" i="15"/>
  <c r="S264" i="15"/>
  <c r="O264" i="15"/>
  <c r="K264" i="15"/>
  <c r="G264" i="15"/>
  <c r="C264" i="15"/>
  <c r="S263" i="15"/>
  <c r="O263" i="15"/>
  <c r="K263" i="15"/>
  <c r="G263" i="15"/>
  <c r="C263" i="15"/>
  <c r="S262" i="15"/>
  <c r="O262" i="15"/>
  <c r="K262" i="15"/>
  <c r="G262" i="15"/>
  <c r="C262" i="15"/>
  <c r="S261" i="15"/>
  <c r="O261" i="15"/>
  <c r="K261" i="15"/>
  <c r="G261" i="15"/>
  <c r="C261" i="15"/>
  <c r="S260" i="15"/>
  <c r="O260" i="15"/>
  <c r="K260" i="15"/>
  <c r="G260" i="15"/>
  <c r="C260" i="15"/>
  <c r="S259" i="15"/>
  <c r="O259" i="15"/>
  <c r="K259" i="15"/>
  <c r="G259" i="15"/>
  <c r="C259" i="15"/>
  <c r="S258" i="15"/>
  <c r="O258" i="15"/>
  <c r="K258" i="15"/>
  <c r="G258" i="15"/>
  <c r="C258" i="15"/>
  <c r="S257" i="15"/>
  <c r="O257" i="15"/>
  <c r="K257" i="15"/>
  <c r="G257" i="15"/>
  <c r="C257" i="15"/>
  <c r="S256" i="15"/>
  <c r="O256" i="15"/>
  <c r="K256" i="15"/>
  <c r="G256" i="15"/>
  <c r="C256" i="15"/>
  <c r="S255" i="15"/>
  <c r="O255" i="15"/>
  <c r="K255" i="15"/>
  <c r="G255" i="15"/>
  <c r="C255" i="15"/>
  <c r="S254" i="15"/>
  <c r="O254" i="15"/>
  <c r="K254" i="15"/>
  <c r="G254" i="15"/>
  <c r="C254" i="15"/>
  <c r="S253" i="15"/>
  <c r="O253" i="15"/>
  <c r="K253" i="15"/>
  <c r="G253" i="15"/>
  <c r="C253" i="15"/>
  <c r="S252" i="15"/>
  <c r="O252" i="15"/>
  <c r="K252" i="15"/>
  <c r="G252" i="15"/>
  <c r="C252" i="15"/>
  <c r="S251" i="15"/>
  <c r="O251" i="15"/>
  <c r="K251" i="15"/>
  <c r="G251" i="15"/>
  <c r="C251" i="15"/>
  <c r="S250" i="15"/>
  <c r="O250" i="15"/>
  <c r="K250" i="15"/>
  <c r="G250" i="15"/>
  <c r="C250" i="15"/>
  <c r="S249" i="15"/>
  <c r="O249" i="15"/>
  <c r="K249" i="15"/>
  <c r="G249" i="15"/>
  <c r="C249" i="15"/>
  <c r="S248" i="15"/>
  <c r="O248" i="15"/>
  <c r="K248" i="15"/>
  <c r="G248" i="15"/>
  <c r="C248" i="15"/>
  <c r="S247" i="15"/>
  <c r="O247" i="15"/>
  <c r="K247" i="15"/>
  <c r="G247" i="15"/>
  <c r="C247" i="15"/>
  <c r="S246" i="15"/>
  <c r="O246" i="15"/>
  <c r="K246" i="15"/>
  <c r="G246" i="15"/>
  <c r="C246" i="15"/>
  <c r="S245" i="15"/>
  <c r="O245" i="15"/>
  <c r="K245" i="15"/>
  <c r="G245" i="15"/>
  <c r="C245" i="15"/>
  <c r="S244" i="15"/>
  <c r="O244" i="15"/>
  <c r="K244" i="15"/>
  <c r="G244" i="15"/>
  <c r="C244" i="15"/>
  <c r="S243" i="15"/>
  <c r="O243" i="15"/>
  <c r="K243" i="15"/>
  <c r="G243" i="15"/>
  <c r="C243" i="15"/>
  <c r="S242" i="15"/>
  <c r="O242" i="15"/>
  <c r="K242" i="15"/>
  <c r="G242" i="15"/>
  <c r="C242" i="15"/>
  <c r="S241" i="15"/>
  <c r="O241" i="15"/>
  <c r="K241" i="15"/>
  <c r="G241" i="15"/>
  <c r="C241" i="15"/>
  <c r="S240" i="15"/>
  <c r="O240" i="15"/>
  <c r="K240" i="15"/>
  <c r="G240" i="15"/>
  <c r="C240" i="15"/>
  <c r="S239" i="15"/>
  <c r="O239" i="15"/>
  <c r="K239" i="15"/>
  <c r="G239" i="15"/>
  <c r="C239" i="15"/>
  <c r="S238" i="15"/>
  <c r="O238" i="15"/>
  <c r="K238" i="15"/>
  <c r="G238" i="15"/>
  <c r="C238" i="15"/>
  <c r="S237" i="15"/>
  <c r="O237" i="15"/>
  <c r="K237" i="15"/>
  <c r="G237" i="15"/>
  <c r="C237" i="15"/>
  <c r="S236" i="15"/>
  <c r="O236" i="15"/>
  <c r="K236" i="15"/>
  <c r="G236" i="15"/>
  <c r="C236" i="15"/>
  <c r="S235" i="15"/>
  <c r="O235" i="15"/>
  <c r="K235" i="15"/>
  <c r="G235" i="15"/>
  <c r="C235" i="15"/>
  <c r="S234" i="15"/>
  <c r="O234" i="15"/>
  <c r="K234" i="15"/>
  <c r="G234" i="15"/>
  <c r="C234" i="15"/>
  <c r="S233" i="15"/>
  <c r="O233" i="15"/>
  <c r="K233" i="15"/>
  <c r="G233" i="15"/>
  <c r="C233" i="15"/>
  <c r="S232" i="15"/>
  <c r="O232" i="15"/>
  <c r="K232" i="15"/>
  <c r="G232" i="15"/>
  <c r="C232" i="15"/>
  <c r="S231" i="15"/>
  <c r="O231" i="15"/>
  <c r="K231" i="15"/>
  <c r="G231" i="15"/>
  <c r="C231" i="15"/>
  <c r="S230" i="15"/>
  <c r="O230" i="15"/>
  <c r="K230" i="15"/>
  <c r="G230" i="15"/>
  <c r="C230" i="15"/>
  <c r="S229" i="15"/>
  <c r="O229" i="15"/>
  <c r="K229" i="15"/>
  <c r="G229" i="15"/>
  <c r="C229" i="15"/>
  <c r="S228" i="15"/>
  <c r="O228" i="15"/>
  <c r="K228" i="15"/>
  <c r="G228" i="15"/>
  <c r="C228" i="15"/>
  <c r="S227" i="15"/>
  <c r="O227" i="15"/>
  <c r="K227" i="15"/>
  <c r="G227" i="15"/>
  <c r="C227" i="15"/>
  <c r="S226" i="15"/>
  <c r="O226" i="15"/>
  <c r="K226" i="15"/>
  <c r="G226" i="15"/>
  <c r="C226" i="15"/>
  <c r="S225" i="15"/>
  <c r="O225" i="15"/>
  <c r="K225" i="15"/>
  <c r="G225" i="15"/>
  <c r="C225" i="15"/>
  <c r="S224" i="15"/>
  <c r="O224" i="15"/>
  <c r="K224" i="15"/>
  <c r="G224" i="15"/>
  <c r="C224" i="15"/>
  <c r="S223" i="15"/>
  <c r="O223" i="15"/>
  <c r="K223" i="15"/>
  <c r="G223" i="15"/>
  <c r="C223" i="15"/>
  <c r="S222" i="15"/>
  <c r="O222" i="15"/>
  <c r="K222" i="15"/>
  <c r="G222" i="15"/>
  <c r="C222" i="15"/>
  <c r="S221" i="15"/>
  <c r="O221" i="15"/>
  <c r="K221" i="15"/>
  <c r="G221" i="15"/>
  <c r="C221" i="15"/>
  <c r="S220" i="15"/>
  <c r="O220" i="15"/>
  <c r="K220" i="15"/>
  <c r="G220" i="15"/>
  <c r="C220" i="15"/>
  <c r="S219" i="15"/>
  <c r="O219" i="15"/>
  <c r="K219" i="15"/>
  <c r="G219" i="15"/>
  <c r="C219" i="15"/>
  <c r="S218" i="15"/>
  <c r="O218" i="15"/>
  <c r="K218" i="15"/>
  <c r="G218" i="15"/>
  <c r="C218" i="15"/>
  <c r="S217" i="15"/>
  <c r="O217" i="15"/>
  <c r="K217" i="15"/>
  <c r="G217" i="15"/>
  <c r="C217" i="15"/>
  <c r="S216" i="15"/>
  <c r="O216" i="15"/>
  <c r="K216" i="15"/>
  <c r="G216" i="15"/>
  <c r="C216" i="15"/>
  <c r="S215" i="15"/>
  <c r="O215" i="15"/>
  <c r="K215" i="15"/>
  <c r="G215" i="15"/>
  <c r="C215" i="15"/>
  <c r="S214" i="15"/>
  <c r="O214" i="15"/>
  <c r="K214" i="15"/>
  <c r="G214" i="15"/>
  <c r="C214" i="15"/>
  <c r="S213" i="15"/>
  <c r="O213" i="15"/>
  <c r="K213" i="15"/>
  <c r="G213" i="15"/>
  <c r="C213" i="15"/>
  <c r="S212" i="15"/>
  <c r="O212" i="15"/>
  <c r="K212" i="15"/>
  <c r="G212" i="15"/>
  <c r="C212" i="15"/>
  <c r="S211" i="15"/>
  <c r="O211" i="15"/>
  <c r="K211" i="15"/>
  <c r="G211" i="15"/>
  <c r="C211" i="15"/>
  <c r="S210" i="15"/>
  <c r="O210" i="15"/>
  <c r="K210" i="15"/>
  <c r="G210" i="15"/>
  <c r="C210" i="15"/>
  <c r="S209" i="15"/>
  <c r="O209" i="15"/>
  <c r="K209" i="15"/>
  <c r="G209" i="15"/>
  <c r="C209" i="15"/>
  <c r="S208" i="15"/>
  <c r="O208" i="15"/>
  <c r="K208" i="15"/>
  <c r="G208" i="15"/>
  <c r="C208" i="15"/>
  <c r="S207" i="15"/>
  <c r="O207" i="15"/>
  <c r="K207" i="15"/>
  <c r="G207" i="15"/>
  <c r="C207" i="15"/>
  <c r="S206" i="15"/>
  <c r="O206" i="15"/>
  <c r="K206" i="15"/>
  <c r="G206" i="15"/>
  <c r="C206" i="15"/>
  <c r="S205" i="15"/>
  <c r="O205" i="15"/>
  <c r="K205" i="15"/>
  <c r="G205" i="15"/>
  <c r="C205" i="15"/>
  <c r="S204" i="15"/>
  <c r="O204" i="15"/>
  <c r="K204" i="15"/>
  <c r="G204" i="15"/>
  <c r="C204" i="15"/>
  <c r="S203" i="15"/>
  <c r="O203" i="15"/>
  <c r="K203" i="15"/>
  <c r="G203" i="15"/>
  <c r="C203" i="15"/>
  <c r="S202" i="15"/>
  <c r="O202" i="15"/>
  <c r="K202" i="15"/>
  <c r="G202" i="15"/>
  <c r="C202" i="15"/>
  <c r="S201" i="15"/>
  <c r="O201" i="15"/>
  <c r="K201" i="15"/>
  <c r="G201" i="15"/>
  <c r="C201" i="15"/>
  <c r="S200" i="15"/>
  <c r="O200" i="15"/>
  <c r="K200" i="15"/>
  <c r="G200" i="15"/>
  <c r="C200" i="15"/>
  <c r="S199" i="15"/>
  <c r="O199" i="15"/>
  <c r="K199" i="15"/>
  <c r="G199" i="15"/>
  <c r="C199" i="15"/>
  <c r="S198" i="15"/>
  <c r="O198" i="15"/>
  <c r="K198" i="15"/>
  <c r="G198" i="15"/>
  <c r="C198" i="15"/>
  <c r="S197" i="15"/>
  <c r="O197" i="15"/>
  <c r="K197" i="15"/>
  <c r="G197" i="15"/>
  <c r="C197" i="15"/>
  <c r="S196" i="15"/>
  <c r="O196" i="15"/>
  <c r="K196" i="15"/>
  <c r="G196" i="15"/>
  <c r="C196" i="15"/>
  <c r="S195" i="15"/>
  <c r="O195" i="15"/>
  <c r="K195" i="15"/>
  <c r="G195" i="15"/>
  <c r="C195" i="15"/>
  <c r="S194" i="15"/>
  <c r="O194" i="15"/>
  <c r="K194" i="15"/>
  <c r="G194" i="15"/>
  <c r="C194" i="15"/>
  <c r="S193" i="15"/>
  <c r="O193" i="15"/>
  <c r="K193" i="15"/>
  <c r="G193" i="15"/>
  <c r="C193" i="15"/>
  <c r="S192" i="15"/>
  <c r="O192" i="15"/>
  <c r="K192" i="15"/>
  <c r="G192" i="15"/>
  <c r="C192" i="15"/>
  <c r="S191" i="15"/>
  <c r="O191" i="15"/>
  <c r="K191" i="15"/>
  <c r="G191" i="15"/>
  <c r="C191" i="15"/>
  <c r="S190" i="15"/>
  <c r="O190" i="15"/>
  <c r="K190" i="15"/>
  <c r="G190" i="15"/>
  <c r="C190" i="15"/>
  <c r="S189" i="15"/>
  <c r="O189" i="15"/>
  <c r="K189" i="15"/>
  <c r="G189" i="15"/>
  <c r="C189" i="15"/>
  <c r="S188" i="15"/>
  <c r="O188" i="15"/>
  <c r="K188" i="15"/>
  <c r="G188" i="15"/>
  <c r="C188" i="15"/>
  <c r="S187" i="15"/>
  <c r="O187" i="15"/>
  <c r="K187" i="15"/>
  <c r="G187" i="15"/>
  <c r="C187" i="15"/>
  <c r="S186" i="15"/>
  <c r="O186" i="15"/>
  <c r="K186" i="15"/>
  <c r="G186" i="15"/>
  <c r="C186" i="15"/>
  <c r="S185" i="15"/>
  <c r="O185" i="15"/>
  <c r="K185" i="15"/>
  <c r="G185" i="15"/>
  <c r="C185" i="15"/>
  <c r="S184" i="15"/>
  <c r="O184" i="15"/>
  <c r="K184" i="15"/>
  <c r="G184" i="15"/>
  <c r="C184" i="15"/>
  <c r="S183" i="15"/>
  <c r="O183" i="15"/>
  <c r="K183" i="15"/>
  <c r="G183" i="15"/>
  <c r="C183" i="15"/>
  <c r="S182" i="15"/>
  <c r="O182" i="15"/>
  <c r="K182" i="15"/>
  <c r="G182" i="15"/>
  <c r="C182" i="15"/>
  <c r="S181" i="15"/>
  <c r="O181" i="15"/>
  <c r="K181" i="15"/>
  <c r="G181" i="15"/>
  <c r="C181" i="15"/>
  <c r="S180" i="15"/>
  <c r="O180" i="15"/>
  <c r="K180" i="15"/>
  <c r="G180" i="15"/>
  <c r="C180" i="15"/>
  <c r="S179" i="15"/>
  <c r="O179" i="15"/>
  <c r="K179" i="15"/>
  <c r="G179" i="15"/>
  <c r="C179" i="15"/>
  <c r="S178" i="15"/>
  <c r="O178" i="15"/>
  <c r="K178" i="15"/>
  <c r="G178" i="15"/>
  <c r="C178" i="15"/>
  <c r="S177" i="15"/>
  <c r="O177" i="15"/>
  <c r="K177" i="15"/>
  <c r="G177" i="15"/>
  <c r="C177" i="15"/>
  <c r="S176" i="15"/>
  <c r="O176" i="15"/>
  <c r="K176" i="15"/>
  <c r="G176" i="15"/>
  <c r="C176" i="15"/>
  <c r="S175" i="15"/>
  <c r="O175" i="15"/>
  <c r="K175" i="15"/>
  <c r="G175" i="15"/>
  <c r="C175" i="15"/>
  <c r="S174" i="15"/>
  <c r="O174" i="15"/>
  <c r="K174" i="15"/>
  <c r="G174" i="15"/>
  <c r="C174" i="15"/>
  <c r="S173" i="15"/>
  <c r="O173" i="15"/>
  <c r="K173" i="15"/>
  <c r="G173" i="15"/>
  <c r="C173" i="15"/>
  <c r="S172" i="15"/>
  <c r="O172" i="15"/>
  <c r="K172" i="15"/>
  <c r="G172" i="15"/>
  <c r="C172" i="15"/>
  <c r="S171" i="15"/>
  <c r="O171" i="15"/>
  <c r="K171" i="15"/>
  <c r="G171" i="15"/>
  <c r="C171" i="15"/>
  <c r="S170" i="15"/>
  <c r="O170" i="15"/>
  <c r="K170" i="15"/>
  <c r="G170" i="15"/>
  <c r="C170" i="15"/>
  <c r="S169" i="15"/>
  <c r="O169" i="15"/>
  <c r="K169" i="15"/>
  <c r="G169" i="15"/>
  <c r="C169" i="15"/>
  <c r="S168" i="15"/>
  <c r="O168" i="15"/>
  <c r="K168" i="15"/>
  <c r="G168" i="15"/>
  <c r="C168" i="15"/>
  <c r="S167" i="15"/>
  <c r="O167" i="15"/>
  <c r="K167" i="15"/>
  <c r="G167" i="15"/>
  <c r="C167" i="15"/>
  <c r="S166" i="15"/>
  <c r="O166" i="15"/>
  <c r="K166" i="15"/>
  <c r="G166" i="15"/>
  <c r="C166" i="15"/>
  <c r="S165" i="15"/>
  <c r="O165" i="15"/>
  <c r="K165" i="15"/>
  <c r="G165" i="15"/>
  <c r="C165" i="15"/>
  <c r="S164" i="15"/>
  <c r="O164" i="15"/>
  <c r="K164" i="15"/>
  <c r="G164" i="15"/>
  <c r="C164" i="15"/>
  <c r="S163" i="15"/>
  <c r="O163" i="15"/>
  <c r="K163" i="15"/>
  <c r="G163" i="15"/>
  <c r="C163" i="15"/>
  <c r="S162" i="15"/>
  <c r="O162" i="15"/>
  <c r="K162" i="15"/>
  <c r="G162" i="15"/>
  <c r="C162" i="15"/>
  <c r="S161" i="15"/>
  <c r="O161" i="15"/>
  <c r="K161" i="15"/>
  <c r="G161" i="15"/>
  <c r="C161" i="15"/>
  <c r="S160" i="15"/>
  <c r="O160" i="15"/>
  <c r="K160" i="15"/>
  <c r="G160" i="15"/>
  <c r="C160" i="15"/>
  <c r="S159" i="15"/>
  <c r="O159" i="15"/>
  <c r="K159" i="15"/>
  <c r="G159" i="15"/>
  <c r="C159" i="15"/>
  <c r="S158" i="15"/>
  <c r="O158" i="15"/>
  <c r="K158" i="15"/>
  <c r="G158" i="15"/>
  <c r="C158" i="15"/>
  <c r="S157" i="15"/>
  <c r="O157" i="15"/>
  <c r="K157" i="15"/>
  <c r="G157" i="15"/>
  <c r="C157" i="15"/>
  <c r="S156" i="15"/>
  <c r="O156" i="15"/>
  <c r="K156" i="15"/>
  <c r="G156" i="15"/>
  <c r="C156" i="15"/>
  <c r="S155" i="15"/>
  <c r="O155" i="15"/>
  <c r="K155" i="15"/>
  <c r="G155" i="15"/>
  <c r="C155" i="15"/>
  <c r="S154" i="15"/>
  <c r="O154" i="15"/>
  <c r="K154" i="15"/>
  <c r="G154" i="15"/>
  <c r="C154" i="15"/>
  <c r="S153" i="15"/>
  <c r="O153" i="15"/>
  <c r="K153" i="15"/>
  <c r="G153" i="15"/>
  <c r="C153" i="15"/>
  <c r="S152" i="15"/>
  <c r="O152" i="15"/>
  <c r="K152" i="15"/>
  <c r="G152" i="15"/>
  <c r="C152" i="15"/>
  <c r="S151" i="15"/>
  <c r="O151" i="15"/>
  <c r="K151" i="15"/>
  <c r="G151" i="15"/>
  <c r="C151" i="15"/>
  <c r="S150" i="15"/>
  <c r="O150" i="15"/>
  <c r="K150" i="15"/>
  <c r="G150" i="15"/>
  <c r="C150" i="15"/>
  <c r="S149" i="15"/>
  <c r="O149" i="15"/>
  <c r="K149" i="15"/>
  <c r="G149" i="15"/>
  <c r="C149" i="15"/>
  <c r="S148" i="15"/>
  <c r="O148" i="15"/>
  <c r="K148" i="15"/>
  <c r="G148" i="15"/>
  <c r="C148" i="15"/>
  <c r="S147" i="15"/>
  <c r="O147" i="15"/>
  <c r="K147" i="15"/>
  <c r="G147" i="15"/>
  <c r="C147" i="15"/>
  <c r="S146" i="15"/>
  <c r="O146" i="15"/>
  <c r="K146" i="15"/>
  <c r="G146" i="15"/>
  <c r="C146" i="15"/>
  <c r="S145" i="15"/>
  <c r="O145" i="15"/>
  <c r="K145" i="15"/>
  <c r="G145" i="15"/>
  <c r="C145" i="15"/>
  <c r="S144" i="15"/>
  <c r="O144" i="15"/>
  <c r="K144" i="15"/>
  <c r="G144" i="15"/>
  <c r="C144" i="15"/>
  <c r="S143" i="15"/>
  <c r="O143" i="15"/>
  <c r="K143" i="15"/>
  <c r="G143" i="15"/>
  <c r="C143" i="15"/>
  <c r="S142" i="15"/>
  <c r="O142" i="15"/>
  <c r="K142" i="15"/>
  <c r="G142" i="15"/>
  <c r="C142" i="15"/>
  <c r="S141" i="15"/>
  <c r="O141" i="15"/>
  <c r="K141" i="15"/>
  <c r="G141" i="15"/>
  <c r="C141" i="15"/>
  <c r="S140" i="15"/>
  <c r="O140" i="15"/>
  <c r="K140" i="15"/>
  <c r="G140" i="15"/>
  <c r="C140" i="15"/>
  <c r="S139" i="15"/>
  <c r="O139" i="15"/>
  <c r="K139" i="15"/>
  <c r="G139" i="15"/>
  <c r="C139" i="15"/>
  <c r="S138" i="15"/>
  <c r="O138" i="15"/>
  <c r="K138" i="15"/>
  <c r="G138" i="15"/>
  <c r="C138" i="15"/>
  <c r="S137" i="15"/>
  <c r="O137" i="15"/>
  <c r="K137" i="15"/>
  <c r="G137" i="15"/>
  <c r="C137" i="15"/>
  <c r="S136" i="15"/>
  <c r="O136" i="15"/>
  <c r="K136" i="15"/>
  <c r="G136" i="15"/>
  <c r="C136" i="15"/>
  <c r="S135" i="15"/>
  <c r="O135" i="15"/>
  <c r="K135" i="15"/>
  <c r="G135" i="15"/>
  <c r="C135" i="15"/>
  <c r="S134" i="15"/>
  <c r="O134" i="15"/>
  <c r="K134" i="15"/>
  <c r="G134" i="15"/>
  <c r="C134" i="15"/>
  <c r="S133" i="15"/>
  <c r="O133" i="15"/>
  <c r="K133" i="15"/>
  <c r="G133" i="15"/>
  <c r="C133" i="15"/>
  <c r="S132" i="15"/>
  <c r="O132" i="15"/>
  <c r="K132" i="15"/>
  <c r="G132" i="15"/>
  <c r="C132" i="15"/>
  <c r="S131" i="15"/>
  <c r="O131" i="15"/>
  <c r="K131" i="15"/>
  <c r="G131" i="15"/>
  <c r="C131" i="15"/>
  <c r="S130" i="15"/>
  <c r="O130" i="15"/>
  <c r="K130" i="15"/>
  <c r="G130" i="15"/>
  <c r="C130" i="15"/>
  <c r="S129" i="15"/>
  <c r="O129" i="15"/>
  <c r="K129" i="15"/>
  <c r="G129" i="15"/>
  <c r="C129" i="15"/>
  <c r="S128" i="15"/>
  <c r="O128" i="15"/>
  <c r="K128" i="15"/>
  <c r="G128" i="15"/>
  <c r="C128" i="15"/>
  <c r="S127" i="15"/>
  <c r="O127" i="15"/>
  <c r="K127" i="15"/>
  <c r="G127" i="15"/>
  <c r="C127" i="15"/>
  <c r="S126" i="15"/>
  <c r="O126" i="15"/>
  <c r="K126" i="15"/>
  <c r="G126" i="15"/>
  <c r="C126" i="15"/>
  <c r="S125" i="15"/>
  <c r="O125" i="15"/>
  <c r="K125" i="15"/>
  <c r="G125" i="15"/>
  <c r="C125" i="15"/>
  <c r="S124" i="15"/>
  <c r="O124" i="15"/>
  <c r="K124" i="15"/>
  <c r="G124" i="15"/>
  <c r="C124" i="15"/>
  <c r="S123" i="15"/>
  <c r="O123" i="15"/>
  <c r="K123" i="15"/>
  <c r="G123" i="15"/>
  <c r="C123" i="15"/>
  <c r="S122" i="15"/>
  <c r="O122" i="15"/>
  <c r="K122" i="15"/>
  <c r="G122" i="15"/>
  <c r="C122" i="15"/>
  <c r="S121" i="15"/>
  <c r="O121" i="15"/>
  <c r="K121" i="15"/>
  <c r="G121" i="15"/>
  <c r="C121" i="15"/>
  <c r="S120" i="15"/>
  <c r="O120" i="15"/>
  <c r="K120" i="15"/>
  <c r="G120" i="15"/>
  <c r="C120" i="15"/>
  <c r="S119" i="15"/>
  <c r="O119" i="15"/>
  <c r="K119" i="15"/>
  <c r="G119" i="15"/>
  <c r="C119" i="15"/>
  <c r="S118" i="15"/>
  <c r="O118" i="15"/>
  <c r="K118" i="15"/>
  <c r="G118" i="15"/>
  <c r="C118" i="15"/>
  <c r="S117" i="15"/>
  <c r="O117" i="15"/>
  <c r="K117" i="15"/>
  <c r="G117" i="15"/>
  <c r="C117" i="15"/>
  <c r="S116" i="15"/>
  <c r="O116" i="15"/>
  <c r="K116" i="15"/>
  <c r="G116" i="15"/>
  <c r="C116" i="15"/>
  <c r="S115" i="15"/>
  <c r="O115" i="15"/>
  <c r="K115" i="15"/>
  <c r="G115" i="15"/>
  <c r="C115" i="15"/>
  <c r="S114" i="15"/>
  <c r="O114" i="15"/>
  <c r="K114" i="15"/>
  <c r="G114" i="15"/>
  <c r="C114" i="15"/>
  <c r="S113" i="15"/>
  <c r="O113" i="15"/>
  <c r="K113" i="15"/>
  <c r="G113" i="15"/>
  <c r="C113" i="15"/>
  <c r="S112" i="15"/>
  <c r="O112" i="15"/>
  <c r="K112" i="15"/>
  <c r="G112" i="15"/>
  <c r="C112" i="15"/>
  <c r="S111" i="15"/>
  <c r="O111" i="15"/>
  <c r="K111" i="15"/>
  <c r="G111" i="15"/>
  <c r="C111" i="15"/>
  <c r="S110" i="15"/>
  <c r="O110" i="15"/>
  <c r="K110" i="15"/>
  <c r="G110" i="15"/>
  <c r="C110" i="15"/>
  <c r="S109" i="15"/>
  <c r="O109" i="15"/>
  <c r="K109" i="15"/>
  <c r="G109" i="15"/>
  <c r="C109" i="15"/>
  <c r="S108" i="15"/>
  <c r="O108" i="15"/>
  <c r="K108" i="15"/>
  <c r="G108" i="15"/>
  <c r="C108" i="15"/>
  <c r="S107" i="15"/>
  <c r="O107" i="15"/>
  <c r="K107" i="15"/>
  <c r="G107" i="15"/>
  <c r="C107" i="15"/>
  <c r="S106" i="15"/>
  <c r="O106" i="15"/>
  <c r="K106" i="15"/>
  <c r="G106" i="15"/>
  <c r="C106" i="15"/>
  <c r="S105" i="15"/>
  <c r="O105" i="15"/>
  <c r="K105" i="15"/>
  <c r="G105" i="15"/>
  <c r="C105" i="15"/>
  <c r="S104" i="15"/>
  <c r="O104" i="15"/>
  <c r="K104" i="15"/>
  <c r="G104" i="15"/>
  <c r="C104" i="15"/>
  <c r="S103" i="15"/>
  <c r="O103" i="15"/>
  <c r="K103" i="15"/>
  <c r="G103" i="15"/>
  <c r="C103" i="15"/>
  <c r="S102" i="15"/>
  <c r="O102" i="15"/>
  <c r="K102" i="15"/>
  <c r="G102" i="15"/>
  <c r="C102" i="15"/>
  <c r="S101" i="15"/>
  <c r="O101" i="15"/>
  <c r="K101" i="15"/>
  <c r="G101" i="15"/>
  <c r="C101" i="15"/>
  <c r="S100" i="15"/>
  <c r="O100" i="15"/>
  <c r="K100" i="15"/>
  <c r="G100" i="15"/>
  <c r="C100" i="15"/>
  <c r="S99" i="15"/>
  <c r="O99" i="15"/>
  <c r="K99" i="15"/>
  <c r="G99" i="15"/>
  <c r="C99" i="15"/>
  <c r="S98" i="15"/>
  <c r="O98" i="15"/>
  <c r="K98" i="15"/>
  <c r="G98" i="15"/>
  <c r="C98" i="15"/>
  <c r="S97" i="15"/>
  <c r="O97" i="15"/>
  <c r="K97" i="15"/>
  <c r="G97" i="15"/>
  <c r="C97" i="15"/>
  <c r="S96" i="15"/>
  <c r="O96" i="15"/>
  <c r="K96" i="15"/>
  <c r="G96" i="15"/>
  <c r="C96" i="15"/>
  <c r="S95" i="15"/>
  <c r="O95" i="15"/>
  <c r="K95" i="15"/>
  <c r="G95" i="15"/>
  <c r="C95" i="15"/>
  <c r="S94" i="15"/>
  <c r="O94" i="15"/>
  <c r="K94" i="15"/>
  <c r="G94" i="15"/>
  <c r="C94" i="15"/>
  <c r="S93" i="15"/>
  <c r="O93" i="15"/>
  <c r="K93" i="15"/>
  <c r="G93" i="15"/>
  <c r="C93" i="15"/>
  <c r="S92" i="15"/>
  <c r="O92" i="15"/>
  <c r="K92" i="15"/>
  <c r="G92" i="15"/>
  <c r="C92" i="15"/>
  <c r="S91" i="15"/>
  <c r="O91" i="15"/>
  <c r="K91" i="15"/>
  <c r="G91" i="15"/>
  <c r="C91" i="15"/>
  <c r="S90" i="15"/>
  <c r="O90" i="15"/>
  <c r="K90" i="15"/>
  <c r="G90" i="15"/>
  <c r="C90" i="15"/>
  <c r="S89" i="15"/>
  <c r="O89" i="15"/>
  <c r="K89" i="15"/>
  <c r="G89" i="15"/>
  <c r="C89" i="15"/>
  <c r="S88" i="15"/>
  <c r="O88" i="15"/>
  <c r="K88" i="15"/>
  <c r="G88" i="15"/>
  <c r="C88" i="15"/>
  <c r="S87" i="15"/>
  <c r="O87" i="15"/>
  <c r="K87" i="15"/>
  <c r="G87" i="15"/>
  <c r="C87" i="15"/>
  <c r="S86" i="15"/>
  <c r="O86" i="15"/>
  <c r="K86" i="15"/>
  <c r="G86" i="15"/>
  <c r="C86" i="15"/>
  <c r="S85" i="15"/>
  <c r="O85" i="15"/>
  <c r="K85" i="15"/>
  <c r="G85" i="15"/>
  <c r="C85" i="15"/>
  <c r="S84" i="15"/>
  <c r="O84" i="15"/>
  <c r="K84" i="15"/>
  <c r="G84" i="15"/>
  <c r="C84" i="15"/>
  <c r="S83" i="15"/>
  <c r="O83" i="15"/>
  <c r="K83" i="15"/>
  <c r="G83" i="15"/>
  <c r="C83" i="15"/>
  <c r="S82" i="15"/>
  <c r="O82" i="15"/>
  <c r="K82" i="15"/>
  <c r="G82" i="15"/>
  <c r="C82" i="15"/>
  <c r="S81" i="15"/>
  <c r="O81" i="15"/>
  <c r="K81" i="15"/>
  <c r="G81" i="15"/>
  <c r="C81" i="15"/>
  <c r="S80" i="15"/>
  <c r="O80" i="15"/>
  <c r="K80" i="15"/>
  <c r="G80" i="15"/>
  <c r="C80" i="15"/>
  <c r="S79" i="15"/>
  <c r="O79" i="15"/>
  <c r="K79" i="15"/>
  <c r="G79" i="15"/>
  <c r="C79" i="15"/>
  <c r="S78" i="15"/>
  <c r="O78" i="15"/>
  <c r="K78" i="15"/>
  <c r="G78" i="15"/>
  <c r="C78" i="15"/>
  <c r="S77" i="15"/>
  <c r="O77" i="15"/>
  <c r="K77" i="15"/>
  <c r="G77" i="15"/>
  <c r="C77" i="15"/>
  <c r="S76" i="15"/>
  <c r="O76" i="15"/>
  <c r="K76" i="15"/>
  <c r="G76" i="15"/>
  <c r="C76" i="15"/>
  <c r="S75" i="15"/>
  <c r="O75" i="15"/>
  <c r="K75" i="15"/>
  <c r="G75" i="15"/>
  <c r="C75" i="15"/>
  <c r="S74" i="15"/>
  <c r="O74" i="15"/>
  <c r="K74" i="15"/>
  <c r="G74" i="15"/>
  <c r="C74" i="15"/>
  <c r="S73" i="15"/>
  <c r="O73" i="15"/>
  <c r="K73" i="15"/>
  <c r="G73" i="15"/>
  <c r="C73" i="15"/>
  <c r="S72" i="15"/>
  <c r="O72" i="15"/>
  <c r="K72" i="15"/>
  <c r="G72" i="15"/>
  <c r="C72" i="15"/>
  <c r="S71" i="15"/>
  <c r="O71" i="15"/>
  <c r="K71" i="15"/>
  <c r="G71" i="15"/>
  <c r="C71" i="15"/>
  <c r="S70" i="15"/>
  <c r="O70" i="15"/>
  <c r="K70" i="15"/>
  <c r="G70" i="15"/>
  <c r="C70" i="15"/>
  <c r="S69" i="15"/>
  <c r="O69" i="15"/>
  <c r="K69" i="15"/>
  <c r="G69" i="15"/>
  <c r="C69" i="15"/>
  <c r="S68" i="15"/>
  <c r="O68" i="15"/>
  <c r="K68" i="15"/>
  <c r="G68" i="15"/>
  <c r="C68" i="15"/>
  <c r="S67" i="15"/>
  <c r="O67" i="15"/>
  <c r="K67" i="15"/>
  <c r="G67" i="15"/>
  <c r="C67" i="15"/>
  <c r="S66" i="15"/>
  <c r="O66" i="15"/>
  <c r="K66" i="15"/>
  <c r="G66" i="15"/>
  <c r="C66" i="15"/>
  <c r="S65" i="15"/>
  <c r="O65" i="15"/>
  <c r="K65" i="15"/>
  <c r="G65" i="15"/>
  <c r="C65" i="15"/>
  <c r="S64" i="15"/>
  <c r="O64" i="15"/>
  <c r="K64" i="15"/>
  <c r="G64" i="15"/>
  <c r="C64" i="15"/>
  <c r="S63" i="15"/>
  <c r="O63" i="15"/>
  <c r="K63" i="15"/>
  <c r="G63" i="15"/>
  <c r="C63" i="15"/>
  <c r="S62" i="15"/>
  <c r="O62" i="15"/>
  <c r="K62" i="15"/>
  <c r="G62" i="15"/>
  <c r="C62" i="15"/>
  <c r="S61" i="15"/>
  <c r="O61" i="15"/>
  <c r="K61" i="15"/>
  <c r="G61" i="15"/>
  <c r="C61" i="15"/>
  <c r="S60" i="15"/>
  <c r="O60" i="15"/>
  <c r="K60" i="15"/>
  <c r="G60" i="15"/>
  <c r="C60" i="15"/>
  <c r="S59" i="15"/>
  <c r="O59" i="15"/>
  <c r="K59" i="15"/>
  <c r="G59" i="15"/>
  <c r="C59" i="15"/>
  <c r="S58" i="15"/>
  <c r="O58" i="15"/>
  <c r="K58" i="15"/>
  <c r="G58" i="15"/>
  <c r="C58" i="15"/>
  <c r="S57" i="15"/>
  <c r="O57" i="15"/>
  <c r="K57" i="15"/>
  <c r="G57" i="15"/>
  <c r="C57" i="15"/>
  <c r="S56" i="15"/>
  <c r="O56" i="15"/>
  <c r="K56" i="15"/>
  <c r="G56" i="15"/>
  <c r="C56" i="15"/>
  <c r="S55" i="15"/>
  <c r="O55" i="15"/>
  <c r="K55" i="15"/>
  <c r="G55" i="15"/>
  <c r="C55" i="15"/>
  <c r="S54" i="15"/>
  <c r="O54" i="15"/>
  <c r="K54" i="15"/>
  <c r="G54" i="15"/>
  <c r="C54" i="15"/>
  <c r="S53" i="15"/>
  <c r="O53" i="15"/>
  <c r="K53" i="15"/>
  <c r="G53" i="15"/>
  <c r="C53" i="15"/>
  <c r="S52" i="15"/>
  <c r="O52" i="15"/>
  <c r="K52" i="15"/>
  <c r="G52" i="15"/>
  <c r="C52" i="15"/>
  <c r="S51" i="15"/>
  <c r="O51" i="15"/>
  <c r="K51" i="15"/>
  <c r="G51" i="15"/>
  <c r="C51" i="15"/>
  <c r="S50" i="15"/>
  <c r="O50" i="15"/>
  <c r="K50" i="15"/>
  <c r="G50" i="15"/>
  <c r="C50" i="15"/>
  <c r="S49" i="15"/>
  <c r="O49" i="15"/>
  <c r="K49" i="15"/>
  <c r="G49" i="15"/>
  <c r="C49" i="15"/>
  <c r="S48" i="15"/>
  <c r="O48" i="15"/>
  <c r="K48" i="15"/>
  <c r="G48" i="15"/>
  <c r="C48" i="15"/>
  <c r="S47" i="15"/>
  <c r="O47" i="15"/>
  <c r="K47" i="15"/>
  <c r="G47" i="15"/>
  <c r="C47" i="15"/>
  <c r="S46" i="15"/>
  <c r="O46" i="15"/>
  <c r="K46" i="15"/>
  <c r="G46" i="15"/>
  <c r="C46" i="15"/>
  <c r="S45" i="15"/>
  <c r="O45" i="15"/>
  <c r="K45" i="15"/>
  <c r="G45" i="15"/>
  <c r="C45" i="15"/>
  <c r="S44" i="15"/>
  <c r="O44" i="15"/>
  <c r="K44" i="15"/>
  <c r="G44" i="15"/>
  <c r="C44" i="15"/>
  <c r="S43" i="15"/>
  <c r="O43" i="15"/>
  <c r="K43" i="15"/>
  <c r="G43" i="15"/>
  <c r="C43" i="15"/>
  <c r="S42" i="15"/>
  <c r="O42" i="15"/>
  <c r="K42" i="15"/>
  <c r="G42" i="15"/>
  <c r="C42" i="15"/>
  <c r="S41" i="15"/>
  <c r="O41" i="15"/>
  <c r="K41" i="15"/>
  <c r="G41" i="15"/>
  <c r="C41" i="15"/>
  <c r="S40" i="15"/>
  <c r="O40" i="15"/>
  <c r="K40" i="15"/>
  <c r="G40" i="15"/>
  <c r="C40" i="15"/>
  <c r="S39" i="15"/>
  <c r="O39" i="15"/>
  <c r="K39" i="15"/>
  <c r="G39" i="15"/>
  <c r="C39" i="15"/>
  <c r="S38" i="15"/>
  <c r="O38" i="15"/>
  <c r="K38" i="15"/>
  <c r="G38" i="15"/>
  <c r="C38" i="15"/>
  <c r="S37" i="15"/>
  <c r="O37" i="15"/>
  <c r="K37" i="15"/>
  <c r="G37" i="15"/>
  <c r="C37" i="15"/>
  <c r="S36" i="15"/>
  <c r="O36" i="15"/>
  <c r="K36" i="15"/>
  <c r="G36" i="15"/>
  <c r="C36" i="15"/>
  <c r="S35" i="15"/>
  <c r="O35" i="15"/>
  <c r="K35" i="15"/>
  <c r="G35" i="15"/>
  <c r="C35" i="15"/>
  <c r="S34" i="15"/>
  <c r="O34" i="15"/>
  <c r="K34" i="15"/>
  <c r="G34" i="15"/>
  <c r="C34" i="15"/>
  <c r="S33" i="15"/>
  <c r="O33" i="15"/>
  <c r="K33" i="15"/>
  <c r="G33" i="15"/>
  <c r="C33" i="15"/>
  <c r="S32" i="15"/>
  <c r="O32" i="15"/>
  <c r="K32" i="15"/>
  <c r="G32" i="15"/>
  <c r="C32" i="15"/>
  <c r="S31" i="15"/>
  <c r="O31" i="15"/>
  <c r="K31" i="15"/>
  <c r="G31" i="15"/>
  <c r="C31" i="15"/>
  <c r="S30" i="15"/>
  <c r="O30" i="15"/>
  <c r="K30" i="15"/>
  <c r="G30" i="15"/>
  <c r="C30" i="15"/>
  <c r="S29" i="15"/>
  <c r="O29" i="15"/>
  <c r="K29" i="15"/>
  <c r="G29" i="15"/>
  <c r="C29" i="15"/>
  <c r="S28" i="15"/>
  <c r="O28" i="15"/>
  <c r="K28" i="15"/>
  <c r="G28" i="15"/>
  <c r="C28" i="15"/>
  <c r="S27" i="15"/>
  <c r="O27" i="15"/>
  <c r="K27" i="15"/>
  <c r="G27" i="15"/>
  <c r="C27" i="15"/>
  <c r="S26" i="15"/>
  <c r="O26" i="15"/>
  <c r="K26" i="15"/>
  <c r="G26" i="15"/>
  <c r="C26" i="15"/>
  <c r="S25" i="15"/>
  <c r="O25" i="15"/>
  <c r="K25" i="15"/>
  <c r="G25" i="15"/>
  <c r="C25" i="15"/>
  <c r="S24" i="15"/>
  <c r="O24" i="15"/>
  <c r="K24" i="15"/>
  <c r="G24" i="15"/>
  <c r="C24" i="15"/>
  <c r="S23" i="15"/>
  <c r="O23" i="15"/>
  <c r="K23" i="15"/>
  <c r="G23" i="15"/>
  <c r="C23" i="15"/>
  <c r="S22" i="15"/>
  <c r="O22" i="15"/>
  <c r="K22" i="15"/>
  <c r="G22" i="15"/>
  <c r="C22" i="15"/>
  <c r="S21" i="15"/>
  <c r="O21" i="15"/>
  <c r="K21" i="15"/>
  <c r="G21" i="15"/>
  <c r="C21" i="15"/>
  <c r="S20" i="15"/>
  <c r="O20" i="15"/>
  <c r="K20" i="15"/>
  <c r="G20" i="15"/>
  <c r="C20" i="15"/>
  <c r="S19" i="15"/>
  <c r="O19" i="15"/>
  <c r="K19" i="15"/>
  <c r="G19" i="15"/>
  <c r="C19" i="15"/>
  <c r="S18" i="15"/>
  <c r="O18" i="15"/>
  <c r="K18" i="15"/>
  <c r="G18" i="15"/>
  <c r="C18" i="15"/>
  <c r="S17" i="15"/>
  <c r="O17" i="15"/>
  <c r="K17" i="15"/>
  <c r="G17" i="15"/>
  <c r="C17" i="15"/>
  <c r="S16" i="15"/>
  <c r="O16" i="15"/>
  <c r="K16" i="15"/>
  <c r="G16" i="15"/>
  <c r="C16" i="15"/>
  <c r="S15" i="15"/>
  <c r="O15" i="15"/>
  <c r="K15" i="15"/>
  <c r="G15" i="15"/>
  <c r="C15" i="15"/>
  <c r="S14" i="15"/>
  <c r="O14" i="15"/>
  <c r="K14" i="15"/>
  <c r="G14" i="15"/>
  <c r="C14" i="15"/>
  <c r="S13" i="15"/>
  <c r="O13" i="15"/>
  <c r="K13" i="15"/>
  <c r="G13" i="15"/>
  <c r="C13" i="15"/>
  <c r="S12" i="15"/>
  <c r="O12" i="15"/>
  <c r="K12" i="15"/>
  <c r="G12" i="15"/>
  <c r="C12" i="15"/>
  <c r="S11" i="15"/>
  <c r="O11" i="15"/>
  <c r="K11" i="15"/>
  <c r="G11" i="15"/>
  <c r="C11" i="15"/>
  <c r="S10" i="15"/>
  <c r="O10" i="15"/>
  <c r="K10" i="15"/>
  <c r="G10" i="15"/>
  <c r="C10" i="15"/>
  <c r="R5" i="15"/>
  <c r="N5" i="15"/>
  <c r="J5" i="15"/>
  <c r="F5" i="15"/>
  <c r="B5" i="15"/>
  <c r="AH108" i="14"/>
  <c r="AG108" i="14"/>
  <c r="AF108" i="14"/>
  <c r="AE108" i="14"/>
  <c r="AA108" i="14"/>
  <c r="Z108" i="14"/>
  <c r="Y108" i="14"/>
  <c r="X108" i="14"/>
  <c r="T108" i="14"/>
  <c r="S108" i="14"/>
  <c r="R108" i="14"/>
  <c r="Q108" i="14"/>
  <c r="M108" i="14"/>
  <c r="L108" i="14"/>
  <c r="K108" i="14"/>
  <c r="J108" i="14"/>
  <c r="F108" i="14"/>
  <c r="E108" i="14"/>
  <c r="D108" i="14"/>
  <c r="C108" i="14"/>
  <c r="AH107" i="14"/>
  <c r="AG107" i="14"/>
  <c r="AF107" i="14"/>
  <c r="AE107" i="14"/>
  <c r="AA107" i="14"/>
  <c r="Z107" i="14"/>
  <c r="Y107" i="14"/>
  <c r="X107" i="14"/>
  <c r="T107" i="14"/>
  <c r="S107" i="14"/>
  <c r="R107" i="14"/>
  <c r="Q107" i="14"/>
  <c r="M107" i="14"/>
  <c r="L107" i="14"/>
  <c r="K107" i="14"/>
  <c r="J107" i="14"/>
  <c r="F107" i="14"/>
  <c r="E107" i="14"/>
  <c r="D107" i="14"/>
  <c r="C107" i="14"/>
  <c r="AH106" i="14"/>
  <c r="AG106" i="14"/>
  <c r="AF106" i="14"/>
  <c r="AE106" i="14"/>
  <c r="AA106" i="14"/>
  <c r="Z106" i="14"/>
  <c r="Y106" i="14"/>
  <c r="X106" i="14"/>
  <c r="T106" i="14"/>
  <c r="S106" i="14"/>
  <c r="R106" i="14"/>
  <c r="Q106" i="14"/>
  <c r="M106" i="14"/>
  <c r="L106" i="14"/>
  <c r="K106" i="14"/>
  <c r="J106" i="14"/>
  <c r="F106" i="14"/>
  <c r="E106" i="14"/>
  <c r="D106" i="14"/>
  <c r="C106" i="14"/>
  <c r="AH105" i="14"/>
  <c r="AG105" i="14"/>
  <c r="AF105" i="14"/>
  <c r="AE105" i="14"/>
  <c r="AA105" i="14"/>
  <c r="Z105" i="14"/>
  <c r="Y105" i="14"/>
  <c r="X105" i="14"/>
  <c r="T105" i="14"/>
  <c r="S105" i="14"/>
  <c r="R105" i="14"/>
  <c r="Q105" i="14"/>
  <c r="M105" i="14"/>
  <c r="L105" i="14"/>
  <c r="K105" i="14"/>
  <c r="J105" i="14"/>
  <c r="F105" i="14"/>
  <c r="E105" i="14"/>
  <c r="D105" i="14"/>
  <c r="C105" i="14"/>
  <c r="AH104" i="14"/>
  <c r="AG104" i="14"/>
  <c r="AF104" i="14"/>
  <c r="AE104" i="14"/>
  <c r="AA104" i="14"/>
  <c r="Z104" i="14"/>
  <c r="Y104" i="14"/>
  <c r="X104" i="14"/>
  <c r="T104" i="14"/>
  <c r="S104" i="14"/>
  <c r="R104" i="14"/>
  <c r="Q104" i="14"/>
  <c r="M104" i="14"/>
  <c r="L104" i="14"/>
  <c r="K104" i="14"/>
  <c r="J104" i="14"/>
  <c r="F104" i="14"/>
  <c r="E104" i="14"/>
  <c r="D104" i="14"/>
  <c r="C104" i="14"/>
  <c r="AH103" i="14"/>
  <c r="AG103" i="14"/>
  <c r="AF103" i="14"/>
  <c r="AE103" i="14"/>
  <c r="AA103" i="14"/>
  <c r="Z103" i="14"/>
  <c r="Y103" i="14"/>
  <c r="X103" i="14"/>
  <c r="T103" i="14"/>
  <c r="S103" i="14"/>
  <c r="R103" i="14"/>
  <c r="Q103" i="14"/>
  <c r="M103" i="14"/>
  <c r="L103" i="14"/>
  <c r="K103" i="14"/>
  <c r="J103" i="14"/>
  <c r="F103" i="14"/>
  <c r="E103" i="14"/>
  <c r="D103" i="14"/>
  <c r="C103" i="14"/>
  <c r="AH102" i="14"/>
  <c r="AG102" i="14"/>
  <c r="AF102" i="14"/>
  <c r="AE102" i="14"/>
  <c r="AA102" i="14"/>
  <c r="Z102" i="14"/>
  <c r="Y102" i="14"/>
  <c r="X102" i="14"/>
  <c r="T102" i="14"/>
  <c r="S102" i="14"/>
  <c r="R102" i="14"/>
  <c r="Q102" i="14"/>
  <c r="M102" i="14"/>
  <c r="L102" i="14"/>
  <c r="K102" i="14"/>
  <c r="J102" i="14"/>
  <c r="F102" i="14"/>
  <c r="E102" i="14"/>
  <c r="D102" i="14"/>
  <c r="C102" i="14"/>
  <c r="AH101" i="14"/>
  <c r="AG101" i="14"/>
  <c r="AF101" i="14"/>
  <c r="AE101" i="14"/>
  <c r="AA101" i="14"/>
  <c r="Z101" i="14"/>
  <c r="Y101" i="14"/>
  <c r="X101" i="14"/>
  <c r="T101" i="14"/>
  <c r="S101" i="14"/>
  <c r="R101" i="14"/>
  <c r="Q101" i="14"/>
  <c r="M101" i="14"/>
  <c r="L101" i="14"/>
  <c r="K101" i="14"/>
  <c r="J101" i="14"/>
  <c r="F101" i="14"/>
  <c r="E101" i="14"/>
  <c r="D101" i="14"/>
  <c r="C101" i="14"/>
  <c r="AH100" i="14"/>
  <c r="AG100" i="14"/>
  <c r="AF100" i="14"/>
  <c r="AE100" i="14"/>
  <c r="AA100" i="14"/>
  <c r="Z100" i="14"/>
  <c r="Y100" i="14"/>
  <c r="X100" i="14"/>
  <c r="T100" i="14"/>
  <c r="S100" i="14"/>
  <c r="R100" i="14"/>
  <c r="Q100" i="14"/>
  <c r="M100" i="14"/>
  <c r="L100" i="14"/>
  <c r="K100" i="14"/>
  <c r="J100" i="14"/>
  <c r="F100" i="14"/>
  <c r="E100" i="14"/>
  <c r="D100" i="14"/>
  <c r="C100" i="14"/>
  <c r="AH99" i="14"/>
  <c r="AG99" i="14"/>
  <c r="AF99" i="14"/>
  <c r="AE99" i="14"/>
  <c r="AA99" i="14"/>
  <c r="Z99" i="14"/>
  <c r="Y99" i="14"/>
  <c r="X99" i="14"/>
  <c r="T99" i="14"/>
  <c r="S99" i="14"/>
  <c r="R99" i="14"/>
  <c r="Q99" i="14"/>
  <c r="M99" i="14"/>
  <c r="L99" i="14"/>
  <c r="K99" i="14"/>
  <c r="J99" i="14"/>
  <c r="F99" i="14"/>
  <c r="E99" i="14"/>
  <c r="D99" i="14"/>
  <c r="C99" i="14"/>
  <c r="AH98" i="14"/>
  <c r="AG98" i="14"/>
  <c r="AF98" i="14"/>
  <c r="AE98" i="14"/>
  <c r="AA98" i="14"/>
  <c r="Z98" i="14"/>
  <c r="Y98" i="14"/>
  <c r="X98" i="14"/>
  <c r="T98" i="14"/>
  <c r="S98" i="14"/>
  <c r="R98" i="14"/>
  <c r="Q98" i="14"/>
  <c r="M98" i="14"/>
  <c r="L98" i="14"/>
  <c r="K98" i="14"/>
  <c r="J98" i="14"/>
  <c r="F98" i="14"/>
  <c r="E98" i="14"/>
  <c r="D98" i="14"/>
  <c r="C98" i="14"/>
  <c r="AH97" i="14"/>
  <c r="AG97" i="14"/>
  <c r="AF97" i="14"/>
  <c r="AE97" i="14"/>
  <c r="AA97" i="14"/>
  <c r="Z97" i="14"/>
  <c r="Y97" i="14"/>
  <c r="X97" i="14"/>
  <c r="T97" i="14"/>
  <c r="S97" i="14"/>
  <c r="R97" i="14"/>
  <c r="Q97" i="14"/>
  <c r="M97" i="14"/>
  <c r="L97" i="14"/>
  <c r="K97" i="14"/>
  <c r="J97" i="14"/>
  <c r="F97" i="14"/>
  <c r="E97" i="14"/>
  <c r="D97" i="14"/>
  <c r="C97" i="14"/>
  <c r="AH96" i="14"/>
  <c r="AG96" i="14"/>
  <c r="AF96" i="14"/>
  <c r="AE96" i="14"/>
  <c r="AA96" i="14"/>
  <c r="Z96" i="14"/>
  <c r="Y96" i="14"/>
  <c r="X96" i="14"/>
  <c r="T96" i="14"/>
  <c r="S96" i="14"/>
  <c r="R96" i="14"/>
  <c r="Q96" i="14"/>
  <c r="M96" i="14"/>
  <c r="L96" i="14"/>
  <c r="K96" i="14"/>
  <c r="J96" i="14"/>
  <c r="F96" i="14"/>
  <c r="E96" i="14"/>
  <c r="D96" i="14"/>
  <c r="C96" i="14"/>
  <c r="AH95" i="14"/>
  <c r="AG95" i="14"/>
  <c r="AF95" i="14"/>
  <c r="AE95" i="14"/>
  <c r="AA95" i="14"/>
  <c r="Z95" i="14"/>
  <c r="Y95" i="14"/>
  <c r="X95" i="14"/>
  <c r="T95" i="14"/>
  <c r="S95" i="14"/>
  <c r="R95" i="14"/>
  <c r="Q95" i="14"/>
  <c r="M95" i="14"/>
  <c r="L95" i="14"/>
  <c r="K95" i="14"/>
  <c r="J95" i="14"/>
  <c r="F95" i="14"/>
  <c r="E95" i="14"/>
  <c r="D95" i="14"/>
  <c r="C95" i="14"/>
  <c r="AH94" i="14"/>
  <c r="AG94" i="14"/>
  <c r="AF94" i="14"/>
  <c r="AE94" i="14"/>
  <c r="AA94" i="14"/>
  <c r="Z94" i="14"/>
  <c r="Y94" i="14"/>
  <c r="X94" i="14"/>
  <c r="T94" i="14"/>
  <c r="S94" i="14"/>
  <c r="R94" i="14"/>
  <c r="Q94" i="14"/>
  <c r="M94" i="14"/>
  <c r="L94" i="14"/>
  <c r="K94" i="14"/>
  <c r="J94" i="14"/>
  <c r="F94" i="14"/>
  <c r="E94" i="14"/>
  <c r="D94" i="14"/>
  <c r="C94" i="14"/>
  <c r="AH93" i="14"/>
  <c r="AG93" i="14"/>
  <c r="AF93" i="14"/>
  <c r="AE93" i="14"/>
  <c r="AA93" i="14"/>
  <c r="Z93" i="14"/>
  <c r="Y93" i="14"/>
  <c r="X93" i="14"/>
  <c r="T93" i="14"/>
  <c r="S93" i="14"/>
  <c r="R93" i="14"/>
  <c r="Q93" i="14"/>
  <c r="M93" i="14"/>
  <c r="L93" i="14"/>
  <c r="K93" i="14"/>
  <c r="J93" i="14"/>
  <c r="F93" i="14"/>
  <c r="E93" i="14"/>
  <c r="D93" i="14"/>
  <c r="C93" i="14"/>
  <c r="AH92" i="14"/>
  <c r="AG92" i="14"/>
  <c r="AF92" i="14"/>
  <c r="AE92" i="14"/>
  <c r="AA92" i="14"/>
  <c r="Z92" i="14"/>
  <c r="Y92" i="14"/>
  <c r="X92" i="14"/>
  <c r="T92" i="14"/>
  <c r="S92" i="14"/>
  <c r="R92" i="14"/>
  <c r="Q92" i="14"/>
  <c r="M92" i="14"/>
  <c r="L92" i="14"/>
  <c r="K92" i="14"/>
  <c r="J92" i="14"/>
  <c r="F92" i="14"/>
  <c r="E92" i="14"/>
  <c r="D92" i="14"/>
  <c r="C92" i="14"/>
  <c r="AH91" i="14"/>
  <c r="AG91" i="14"/>
  <c r="AF91" i="14"/>
  <c r="AE91" i="14"/>
  <c r="AA91" i="14"/>
  <c r="Z91" i="14"/>
  <c r="Y91" i="14"/>
  <c r="X91" i="14"/>
  <c r="T91" i="14"/>
  <c r="S91" i="14"/>
  <c r="R91" i="14"/>
  <c r="Q91" i="14"/>
  <c r="M91" i="14"/>
  <c r="L91" i="14"/>
  <c r="K91" i="14"/>
  <c r="J91" i="14"/>
  <c r="F91" i="14"/>
  <c r="E91" i="14"/>
  <c r="D91" i="14"/>
  <c r="C91" i="14"/>
  <c r="AH90" i="14"/>
  <c r="AG90" i="14"/>
  <c r="AF90" i="14"/>
  <c r="AE90" i="14"/>
  <c r="AA90" i="14"/>
  <c r="Z90" i="14"/>
  <c r="Y90" i="14"/>
  <c r="X90" i="14"/>
  <c r="T90" i="14"/>
  <c r="S90" i="14"/>
  <c r="R90" i="14"/>
  <c r="Q90" i="14"/>
  <c r="M90" i="14"/>
  <c r="L90" i="14"/>
  <c r="K90" i="14"/>
  <c r="J90" i="14"/>
  <c r="F90" i="14"/>
  <c r="E90" i="14"/>
  <c r="D90" i="14"/>
  <c r="C90" i="14"/>
  <c r="AH89" i="14"/>
  <c r="AG89" i="14"/>
  <c r="AF89" i="14"/>
  <c r="AE89" i="14"/>
  <c r="AA89" i="14"/>
  <c r="Z89" i="14"/>
  <c r="Y89" i="14"/>
  <c r="X89" i="14"/>
  <c r="T89" i="14"/>
  <c r="S89" i="14"/>
  <c r="R89" i="14"/>
  <c r="Q89" i="14"/>
  <c r="M89" i="14"/>
  <c r="L89" i="14"/>
  <c r="K89" i="14"/>
  <c r="J89" i="14"/>
  <c r="F89" i="14"/>
  <c r="E89" i="14"/>
  <c r="D89" i="14"/>
  <c r="C89" i="14"/>
  <c r="AH88" i="14"/>
  <c r="AG88" i="14"/>
  <c r="AF88" i="14"/>
  <c r="AE88" i="14"/>
  <c r="AA88" i="14"/>
  <c r="Z88" i="14"/>
  <c r="Y88" i="14"/>
  <c r="X88" i="14"/>
  <c r="T88" i="14"/>
  <c r="S88" i="14"/>
  <c r="R88" i="14"/>
  <c r="Q88" i="14"/>
  <c r="M88" i="14"/>
  <c r="L88" i="14"/>
  <c r="K88" i="14"/>
  <c r="J88" i="14"/>
  <c r="F88" i="14"/>
  <c r="E88" i="14"/>
  <c r="D88" i="14"/>
  <c r="C88" i="14"/>
  <c r="AH87" i="14"/>
  <c r="AG87" i="14"/>
  <c r="AF87" i="14"/>
  <c r="AE87" i="14"/>
  <c r="AA87" i="14"/>
  <c r="Z87" i="14"/>
  <c r="Y87" i="14"/>
  <c r="X87" i="14"/>
  <c r="T87" i="14"/>
  <c r="S87" i="14"/>
  <c r="R87" i="14"/>
  <c r="Q87" i="14"/>
  <c r="M87" i="14"/>
  <c r="L87" i="14"/>
  <c r="K87" i="14"/>
  <c r="J87" i="14"/>
  <c r="F87" i="14"/>
  <c r="E87" i="14"/>
  <c r="D87" i="14"/>
  <c r="C87" i="14"/>
  <c r="AH86" i="14"/>
  <c r="AG86" i="14"/>
  <c r="AF86" i="14"/>
  <c r="AE86" i="14"/>
  <c r="AA86" i="14"/>
  <c r="Z86" i="14"/>
  <c r="Y86" i="14"/>
  <c r="X86" i="14"/>
  <c r="T86" i="14"/>
  <c r="S86" i="14"/>
  <c r="R86" i="14"/>
  <c r="Q86" i="14"/>
  <c r="M86" i="14"/>
  <c r="L86" i="14"/>
  <c r="K86" i="14"/>
  <c r="J86" i="14"/>
  <c r="F86" i="14"/>
  <c r="E86" i="14"/>
  <c r="D86" i="14"/>
  <c r="C86" i="14"/>
  <c r="AH85" i="14"/>
  <c r="AG85" i="14"/>
  <c r="AF85" i="14"/>
  <c r="AE85" i="14"/>
  <c r="AA85" i="14"/>
  <c r="Z85" i="14"/>
  <c r="Y85" i="14"/>
  <c r="X85" i="14"/>
  <c r="T85" i="14"/>
  <c r="S85" i="14"/>
  <c r="R85" i="14"/>
  <c r="Q85" i="14"/>
  <c r="M85" i="14"/>
  <c r="L85" i="14"/>
  <c r="K85" i="14"/>
  <c r="J85" i="14"/>
  <c r="F85" i="14"/>
  <c r="E85" i="14"/>
  <c r="D85" i="14"/>
  <c r="C85" i="14"/>
  <c r="AH84" i="14"/>
  <c r="AG84" i="14"/>
  <c r="AF84" i="14"/>
  <c r="AE84" i="14"/>
  <c r="AA84" i="14"/>
  <c r="Z84" i="14"/>
  <c r="Y84" i="14"/>
  <c r="X84" i="14"/>
  <c r="T84" i="14"/>
  <c r="S84" i="14"/>
  <c r="R84" i="14"/>
  <c r="Q84" i="14"/>
  <c r="M84" i="14"/>
  <c r="L84" i="14"/>
  <c r="K84" i="14"/>
  <c r="J84" i="14"/>
  <c r="F84" i="14"/>
  <c r="E84" i="14"/>
  <c r="D84" i="14"/>
  <c r="C84" i="14"/>
  <c r="AH83" i="14"/>
  <c r="AG83" i="14"/>
  <c r="AF83" i="14"/>
  <c r="AE83" i="14"/>
  <c r="AA83" i="14"/>
  <c r="Z83" i="14"/>
  <c r="Y83" i="14"/>
  <c r="X83" i="14"/>
  <c r="T83" i="14"/>
  <c r="S83" i="14"/>
  <c r="R83" i="14"/>
  <c r="Q83" i="14"/>
  <c r="M83" i="14"/>
  <c r="L83" i="14"/>
  <c r="K83" i="14"/>
  <c r="J83" i="14"/>
  <c r="F83" i="14"/>
  <c r="E83" i="14"/>
  <c r="D83" i="14"/>
  <c r="C83" i="14"/>
  <c r="AH82" i="14"/>
  <c r="AG82" i="14"/>
  <c r="AF82" i="14"/>
  <c r="AE82" i="14"/>
  <c r="AA82" i="14"/>
  <c r="Z82" i="14"/>
  <c r="Y82" i="14"/>
  <c r="X82" i="14"/>
  <c r="T82" i="14"/>
  <c r="S82" i="14"/>
  <c r="R82" i="14"/>
  <c r="Q82" i="14"/>
  <c r="M82" i="14"/>
  <c r="L82" i="14"/>
  <c r="K82" i="14"/>
  <c r="J82" i="14"/>
  <c r="F82" i="14"/>
  <c r="E82" i="14"/>
  <c r="D82" i="14"/>
  <c r="C82" i="14"/>
  <c r="AH81" i="14"/>
  <c r="AG81" i="14"/>
  <c r="AF81" i="14"/>
  <c r="AE81" i="14"/>
  <c r="AA81" i="14"/>
  <c r="Z81" i="14"/>
  <c r="Y81" i="14"/>
  <c r="X81" i="14"/>
  <c r="T81" i="14"/>
  <c r="S81" i="14"/>
  <c r="R81" i="14"/>
  <c r="Q81" i="14"/>
  <c r="M81" i="14"/>
  <c r="L81" i="14"/>
  <c r="K81" i="14"/>
  <c r="J81" i="14"/>
  <c r="F81" i="14"/>
  <c r="E81" i="14"/>
  <c r="D81" i="14"/>
  <c r="C81" i="14"/>
  <c r="AH80" i="14"/>
  <c r="AG80" i="14"/>
  <c r="AF80" i="14"/>
  <c r="AE80" i="14"/>
  <c r="AA80" i="14"/>
  <c r="Z80" i="14"/>
  <c r="Y80" i="14"/>
  <c r="X80" i="14"/>
  <c r="T80" i="14"/>
  <c r="S80" i="14"/>
  <c r="R80" i="14"/>
  <c r="Q80" i="14"/>
  <c r="M80" i="14"/>
  <c r="L80" i="14"/>
  <c r="K80" i="14"/>
  <c r="J80" i="14"/>
  <c r="F80" i="14"/>
  <c r="E80" i="14"/>
  <c r="D80" i="14"/>
  <c r="C80" i="14"/>
  <c r="AH79" i="14"/>
  <c r="AG79" i="14"/>
  <c r="AF79" i="14"/>
  <c r="AE79" i="14"/>
  <c r="AA79" i="14"/>
  <c r="Z79" i="14"/>
  <c r="Y79" i="14"/>
  <c r="X79" i="14"/>
  <c r="T79" i="14"/>
  <c r="S79" i="14"/>
  <c r="R79" i="14"/>
  <c r="Q79" i="14"/>
  <c r="M79" i="14"/>
  <c r="L79" i="14"/>
  <c r="K79" i="14"/>
  <c r="J79" i="14"/>
  <c r="F79" i="14"/>
  <c r="E79" i="14"/>
  <c r="D79" i="14"/>
  <c r="C79" i="14"/>
  <c r="AH78" i="14"/>
  <c r="AG78" i="14"/>
  <c r="AF78" i="14"/>
  <c r="AE78" i="14"/>
  <c r="AA78" i="14"/>
  <c r="Z78" i="14"/>
  <c r="Y78" i="14"/>
  <c r="X78" i="14"/>
  <c r="T78" i="14"/>
  <c r="S78" i="14"/>
  <c r="R78" i="14"/>
  <c r="Q78" i="14"/>
  <c r="M78" i="14"/>
  <c r="L78" i="14"/>
  <c r="K78" i="14"/>
  <c r="J78" i="14"/>
  <c r="F78" i="14"/>
  <c r="E78" i="14"/>
  <c r="D78" i="14"/>
  <c r="C78" i="14"/>
  <c r="AH77" i="14"/>
  <c r="AG77" i="14"/>
  <c r="AF77" i="14"/>
  <c r="AE77" i="14"/>
  <c r="AA77" i="14"/>
  <c r="Z77" i="14"/>
  <c r="Y77" i="14"/>
  <c r="X77" i="14"/>
  <c r="T77" i="14"/>
  <c r="S77" i="14"/>
  <c r="R77" i="14"/>
  <c r="Q77" i="14"/>
  <c r="M77" i="14"/>
  <c r="L77" i="14"/>
  <c r="K77" i="14"/>
  <c r="J77" i="14"/>
  <c r="F77" i="14"/>
  <c r="E77" i="14"/>
  <c r="D77" i="14"/>
  <c r="C77" i="14"/>
  <c r="AH76" i="14"/>
  <c r="AG76" i="14"/>
  <c r="AF76" i="14"/>
  <c r="AE76" i="14"/>
  <c r="AA76" i="14"/>
  <c r="Z76" i="14"/>
  <c r="Y76" i="14"/>
  <c r="X76" i="14"/>
  <c r="T76" i="14"/>
  <c r="S76" i="14"/>
  <c r="R76" i="14"/>
  <c r="Q76" i="14"/>
  <c r="M76" i="14"/>
  <c r="L76" i="14"/>
  <c r="K76" i="14"/>
  <c r="J76" i="14"/>
  <c r="F76" i="14"/>
  <c r="E76" i="14"/>
  <c r="D76" i="14"/>
  <c r="C76" i="14"/>
  <c r="AH75" i="14"/>
  <c r="AG75" i="14"/>
  <c r="AF75" i="14"/>
  <c r="AE75" i="14"/>
  <c r="AA75" i="14"/>
  <c r="Z75" i="14"/>
  <c r="Y75" i="14"/>
  <c r="X75" i="14"/>
  <c r="T75" i="14"/>
  <c r="S75" i="14"/>
  <c r="R75" i="14"/>
  <c r="Q75" i="14"/>
  <c r="M75" i="14"/>
  <c r="L75" i="14"/>
  <c r="K75" i="14"/>
  <c r="J75" i="14"/>
  <c r="F75" i="14"/>
  <c r="E75" i="14"/>
  <c r="D75" i="14"/>
  <c r="C75" i="14"/>
  <c r="AH74" i="14"/>
  <c r="AG74" i="14"/>
  <c r="AF74" i="14"/>
  <c r="AE74" i="14"/>
  <c r="AA74" i="14"/>
  <c r="Z74" i="14"/>
  <c r="Y74" i="14"/>
  <c r="X74" i="14"/>
  <c r="T74" i="14"/>
  <c r="S74" i="14"/>
  <c r="R74" i="14"/>
  <c r="Q74" i="14"/>
  <c r="M74" i="14"/>
  <c r="L74" i="14"/>
  <c r="K74" i="14"/>
  <c r="J74" i="14"/>
  <c r="F74" i="14"/>
  <c r="E74" i="14"/>
  <c r="D74" i="14"/>
  <c r="C74" i="14"/>
  <c r="AH73" i="14"/>
  <c r="AG73" i="14"/>
  <c r="AF73" i="14"/>
  <c r="AE73" i="14"/>
  <c r="AA73" i="14"/>
  <c r="Z73" i="14"/>
  <c r="Y73" i="14"/>
  <c r="X73" i="14"/>
  <c r="T73" i="14"/>
  <c r="S73" i="14"/>
  <c r="R73" i="14"/>
  <c r="Q73" i="14"/>
  <c r="M73" i="14"/>
  <c r="L73" i="14"/>
  <c r="K73" i="14"/>
  <c r="J73" i="14"/>
  <c r="F73" i="14"/>
  <c r="E73" i="14"/>
  <c r="D73" i="14"/>
  <c r="C73" i="14"/>
  <c r="AH72" i="14"/>
  <c r="AG72" i="14"/>
  <c r="AF72" i="14"/>
  <c r="AE72" i="14"/>
  <c r="AA72" i="14"/>
  <c r="Z72" i="14"/>
  <c r="Y72" i="14"/>
  <c r="X72" i="14"/>
  <c r="T72" i="14"/>
  <c r="S72" i="14"/>
  <c r="R72" i="14"/>
  <c r="Q72" i="14"/>
  <c r="M72" i="14"/>
  <c r="L72" i="14"/>
  <c r="K72" i="14"/>
  <c r="J72" i="14"/>
  <c r="F72" i="14"/>
  <c r="E72" i="14"/>
  <c r="D72" i="14"/>
  <c r="C72" i="14"/>
  <c r="AH71" i="14"/>
  <c r="AG71" i="14"/>
  <c r="AF71" i="14"/>
  <c r="AE71" i="14"/>
  <c r="AA71" i="14"/>
  <c r="Z71" i="14"/>
  <c r="Y71" i="14"/>
  <c r="X71" i="14"/>
  <c r="T71" i="14"/>
  <c r="S71" i="14"/>
  <c r="R71" i="14"/>
  <c r="Q71" i="14"/>
  <c r="M71" i="14"/>
  <c r="L71" i="14"/>
  <c r="K71" i="14"/>
  <c r="J71" i="14"/>
  <c r="F71" i="14"/>
  <c r="E71" i="14"/>
  <c r="D71" i="14"/>
  <c r="C71" i="14"/>
  <c r="AH70" i="14"/>
  <c r="AG70" i="14"/>
  <c r="AF70" i="14"/>
  <c r="AE70" i="14"/>
  <c r="AA70" i="14"/>
  <c r="Z70" i="14"/>
  <c r="Y70" i="14"/>
  <c r="X70" i="14"/>
  <c r="T70" i="14"/>
  <c r="S70" i="14"/>
  <c r="R70" i="14"/>
  <c r="Q70" i="14"/>
  <c r="M70" i="14"/>
  <c r="L70" i="14"/>
  <c r="K70" i="14"/>
  <c r="J70" i="14"/>
  <c r="F70" i="14"/>
  <c r="E70" i="14"/>
  <c r="D70" i="14"/>
  <c r="C70" i="14"/>
  <c r="AH69" i="14"/>
  <c r="AG69" i="14"/>
  <c r="AF69" i="14"/>
  <c r="AE69" i="14"/>
  <c r="AA69" i="14"/>
  <c r="Z69" i="14"/>
  <c r="Y69" i="14"/>
  <c r="X69" i="14"/>
  <c r="T69" i="14"/>
  <c r="S69" i="14"/>
  <c r="R69" i="14"/>
  <c r="Q69" i="14"/>
  <c r="M69" i="14"/>
  <c r="L69" i="14"/>
  <c r="K69" i="14"/>
  <c r="J69" i="14"/>
  <c r="F69" i="14"/>
  <c r="E69" i="14"/>
  <c r="D69" i="14"/>
  <c r="C69" i="14"/>
  <c r="AH68" i="14"/>
  <c r="AG68" i="14"/>
  <c r="AF68" i="14"/>
  <c r="AE68" i="14"/>
  <c r="AA68" i="14"/>
  <c r="Z68" i="14"/>
  <c r="Y68" i="14"/>
  <c r="X68" i="14"/>
  <c r="T68" i="14"/>
  <c r="S68" i="14"/>
  <c r="R68" i="14"/>
  <c r="Q68" i="14"/>
  <c r="M68" i="14"/>
  <c r="L68" i="14"/>
  <c r="K68" i="14"/>
  <c r="J68" i="14"/>
  <c r="F68" i="14"/>
  <c r="E68" i="14"/>
  <c r="D68" i="14"/>
  <c r="C68" i="14"/>
  <c r="AH67" i="14"/>
  <c r="AG67" i="14"/>
  <c r="AF67" i="14"/>
  <c r="AE67" i="14"/>
  <c r="AA67" i="14"/>
  <c r="Z67" i="14"/>
  <c r="Y67" i="14"/>
  <c r="X67" i="14"/>
  <c r="T67" i="14"/>
  <c r="S67" i="14"/>
  <c r="R67" i="14"/>
  <c r="Q67" i="14"/>
  <c r="M67" i="14"/>
  <c r="L67" i="14"/>
  <c r="K67" i="14"/>
  <c r="J67" i="14"/>
  <c r="F67" i="14"/>
  <c r="E67" i="14"/>
  <c r="D67" i="14"/>
  <c r="C67" i="14"/>
  <c r="AH66" i="14"/>
  <c r="AG66" i="14"/>
  <c r="AF66" i="14"/>
  <c r="AE66" i="14"/>
  <c r="AA66" i="14"/>
  <c r="Z66" i="14"/>
  <c r="Y66" i="14"/>
  <c r="X66" i="14"/>
  <c r="T66" i="14"/>
  <c r="S66" i="14"/>
  <c r="R66" i="14"/>
  <c r="Q66" i="14"/>
  <c r="M66" i="14"/>
  <c r="L66" i="14"/>
  <c r="K66" i="14"/>
  <c r="J66" i="14"/>
  <c r="F66" i="14"/>
  <c r="E66" i="14"/>
  <c r="D66" i="14"/>
  <c r="C66" i="14"/>
  <c r="AH65" i="14"/>
  <c r="AG65" i="14"/>
  <c r="AF65" i="14"/>
  <c r="AE65" i="14"/>
  <c r="AA65" i="14"/>
  <c r="Z65" i="14"/>
  <c r="Y65" i="14"/>
  <c r="X65" i="14"/>
  <c r="T65" i="14"/>
  <c r="S65" i="14"/>
  <c r="R65" i="14"/>
  <c r="Q65" i="14"/>
  <c r="M65" i="14"/>
  <c r="L65" i="14"/>
  <c r="K65" i="14"/>
  <c r="J65" i="14"/>
  <c r="F65" i="14"/>
  <c r="E65" i="14"/>
  <c r="D65" i="14"/>
  <c r="C65" i="14"/>
  <c r="AH64" i="14"/>
  <c r="AG64" i="14"/>
  <c r="AF64" i="14"/>
  <c r="AE64" i="14"/>
  <c r="AA64" i="14"/>
  <c r="Z64" i="14"/>
  <c r="Y64" i="14"/>
  <c r="X64" i="14"/>
  <c r="T64" i="14"/>
  <c r="S64" i="14"/>
  <c r="R64" i="14"/>
  <c r="Q64" i="14"/>
  <c r="M64" i="14"/>
  <c r="L64" i="14"/>
  <c r="K64" i="14"/>
  <c r="J64" i="14"/>
  <c r="F64" i="14"/>
  <c r="E64" i="14"/>
  <c r="D64" i="14"/>
  <c r="C64" i="14"/>
  <c r="AH63" i="14"/>
  <c r="AG63" i="14"/>
  <c r="AF63" i="14"/>
  <c r="AE63" i="14"/>
  <c r="AA63" i="14"/>
  <c r="Z63" i="14"/>
  <c r="Y63" i="14"/>
  <c r="X63" i="14"/>
  <c r="T63" i="14"/>
  <c r="S63" i="14"/>
  <c r="R63" i="14"/>
  <c r="Q63" i="14"/>
  <c r="M63" i="14"/>
  <c r="L63" i="14"/>
  <c r="K63" i="14"/>
  <c r="J63" i="14"/>
  <c r="F63" i="14"/>
  <c r="E63" i="14"/>
  <c r="D63" i="14"/>
  <c r="C63" i="14"/>
  <c r="AH62" i="14"/>
  <c r="AG62" i="14"/>
  <c r="AF62" i="14"/>
  <c r="AE62" i="14"/>
  <c r="AA62" i="14"/>
  <c r="Z62" i="14"/>
  <c r="Y62" i="14"/>
  <c r="X62" i="14"/>
  <c r="T62" i="14"/>
  <c r="S62" i="14"/>
  <c r="R62" i="14"/>
  <c r="Q62" i="14"/>
  <c r="M62" i="14"/>
  <c r="L62" i="14"/>
  <c r="K62" i="14"/>
  <c r="J62" i="14"/>
  <c r="F62" i="14"/>
  <c r="E62" i="14"/>
  <c r="D62" i="14"/>
  <c r="C62" i="14"/>
  <c r="AH61" i="14"/>
  <c r="AG61" i="14"/>
  <c r="AF61" i="14"/>
  <c r="AE61" i="14"/>
  <c r="AA61" i="14"/>
  <c r="Z61" i="14"/>
  <c r="Y61" i="14"/>
  <c r="X61" i="14"/>
  <c r="T61" i="14"/>
  <c r="S61" i="14"/>
  <c r="R61" i="14"/>
  <c r="Q61" i="14"/>
  <c r="M61" i="14"/>
  <c r="L61" i="14"/>
  <c r="K61" i="14"/>
  <c r="J61" i="14"/>
  <c r="F61" i="14"/>
  <c r="E61" i="14"/>
  <c r="D61" i="14"/>
  <c r="C61" i="14"/>
  <c r="AH60" i="14"/>
  <c r="AG60" i="14"/>
  <c r="AF60" i="14"/>
  <c r="AE60" i="14"/>
  <c r="AA60" i="14"/>
  <c r="Z60" i="14"/>
  <c r="Y60" i="14"/>
  <c r="X60" i="14"/>
  <c r="T60" i="14"/>
  <c r="S60" i="14"/>
  <c r="R60" i="14"/>
  <c r="Q60" i="14"/>
  <c r="M60" i="14"/>
  <c r="L60" i="14"/>
  <c r="K60" i="14"/>
  <c r="J60" i="14"/>
  <c r="F60" i="14"/>
  <c r="E60" i="14"/>
  <c r="D60" i="14"/>
  <c r="C60" i="14"/>
  <c r="AH59" i="14"/>
  <c r="AG59" i="14"/>
  <c r="AF59" i="14"/>
  <c r="AE59" i="14"/>
  <c r="AA59" i="14"/>
  <c r="Z59" i="14"/>
  <c r="Y59" i="14"/>
  <c r="X59" i="14"/>
  <c r="T59" i="14"/>
  <c r="S59" i="14"/>
  <c r="R59" i="14"/>
  <c r="Q59" i="14"/>
  <c r="M59" i="14"/>
  <c r="L59" i="14"/>
  <c r="K59" i="14"/>
  <c r="J59" i="14"/>
  <c r="F59" i="14"/>
  <c r="E59" i="14"/>
  <c r="D59" i="14"/>
  <c r="C59" i="14"/>
  <c r="AH58" i="14"/>
  <c r="AG58" i="14"/>
  <c r="AF58" i="14"/>
  <c r="AE58" i="14"/>
  <c r="AA58" i="14"/>
  <c r="Z58" i="14"/>
  <c r="Y58" i="14"/>
  <c r="X58" i="14"/>
  <c r="T58" i="14"/>
  <c r="S58" i="14"/>
  <c r="R58" i="14"/>
  <c r="Q58" i="14"/>
  <c r="M58" i="14"/>
  <c r="L58" i="14"/>
  <c r="K58" i="14"/>
  <c r="J58" i="14"/>
  <c r="F58" i="14"/>
  <c r="E58" i="14"/>
  <c r="D58" i="14"/>
  <c r="C58" i="14"/>
  <c r="AH57" i="14"/>
  <c r="AG57" i="14"/>
  <c r="AF57" i="14"/>
  <c r="AE57" i="14"/>
  <c r="AA57" i="14"/>
  <c r="Z57" i="14"/>
  <c r="Y57" i="14"/>
  <c r="X57" i="14"/>
  <c r="T57" i="14"/>
  <c r="S57" i="14"/>
  <c r="R57" i="14"/>
  <c r="Q57" i="14"/>
  <c r="M57" i="14"/>
  <c r="L57" i="14"/>
  <c r="K57" i="14"/>
  <c r="J57" i="14"/>
  <c r="F57" i="14"/>
  <c r="E57" i="14"/>
  <c r="D57" i="14"/>
  <c r="C57" i="14"/>
  <c r="AH56" i="14"/>
  <c r="AG56" i="14"/>
  <c r="AF56" i="14"/>
  <c r="AE56" i="14"/>
  <c r="AA56" i="14"/>
  <c r="Z56" i="14"/>
  <c r="Y56" i="14"/>
  <c r="X56" i="14"/>
  <c r="T56" i="14"/>
  <c r="S56" i="14"/>
  <c r="R56" i="14"/>
  <c r="Q56" i="14"/>
  <c r="M56" i="14"/>
  <c r="L56" i="14"/>
  <c r="K56" i="14"/>
  <c r="J56" i="14"/>
  <c r="F56" i="14"/>
  <c r="E56" i="14"/>
  <c r="D56" i="14"/>
  <c r="C56" i="14"/>
  <c r="AH55" i="14"/>
  <c r="AG55" i="14"/>
  <c r="AF55" i="14"/>
  <c r="AE55" i="14"/>
  <c r="AA55" i="14"/>
  <c r="Z55" i="14"/>
  <c r="Y55" i="14"/>
  <c r="X55" i="14"/>
  <c r="T55" i="14"/>
  <c r="S55" i="14"/>
  <c r="R55" i="14"/>
  <c r="Q55" i="14"/>
  <c r="M55" i="14"/>
  <c r="L55" i="14"/>
  <c r="K55" i="14"/>
  <c r="J55" i="14"/>
  <c r="F55" i="14"/>
  <c r="E55" i="14"/>
  <c r="D55" i="14"/>
  <c r="C55" i="14"/>
  <c r="AH54" i="14"/>
  <c r="AG54" i="14"/>
  <c r="AF54" i="14"/>
  <c r="AE54" i="14"/>
  <c r="AA54" i="14"/>
  <c r="Z54" i="14"/>
  <c r="Y54" i="14"/>
  <c r="X54" i="14"/>
  <c r="T54" i="14"/>
  <c r="S54" i="14"/>
  <c r="R54" i="14"/>
  <c r="Q54" i="14"/>
  <c r="M54" i="14"/>
  <c r="L54" i="14"/>
  <c r="K54" i="14"/>
  <c r="J54" i="14"/>
  <c r="F54" i="14"/>
  <c r="E54" i="14"/>
  <c r="D54" i="14"/>
  <c r="C54" i="14"/>
  <c r="AH53" i="14"/>
  <c r="AG53" i="14"/>
  <c r="AF53" i="14"/>
  <c r="AE53" i="14"/>
  <c r="AA53" i="14"/>
  <c r="Z53" i="14"/>
  <c r="Y53" i="14"/>
  <c r="X53" i="14"/>
  <c r="T53" i="14"/>
  <c r="S53" i="14"/>
  <c r="R53" i="14"/>
  <c r="Q53" i="14"/>
  <c r="M53" i="14"/>
  <c r="L53" i="14"/>
  <c r="K53" i="14"/>
  <c r="J53" i="14"/>
  <c r="F53" i="14"/>
  <c r="E53" i="14"/>
  <c r="D53" i="14"/>
  <c r="C53" i="14"/>
  <c r="AH52" i="14"/>
  <c r="AG52" i="14"/>
  <c r="AF52" i="14"/>
  <c r="AE52" i="14"/>
  <c r="AA52" i="14"/>
  <c r="Z52" i="14"/>
  <c r="Y52" i="14"/>
  <c r="X52" i="14"/>
  <c r="T52" i="14"/>
  <c r="S52" i="14"/>
  <c r="R52" i="14"/>
  <c r="Q52" i="14"/>
  <c r="M52" i="14"/>
  <c r="L52" i="14"/>
  <c r="K52" i="14"/>
  <c r="J52" i="14"/>
  <c r="F52" i="14"/>
  <c r="E52" i="14"/>
  <c r="D52" i="14"/>
  <c r="C52" i="14"/>
  <c r="AH51" i="14"/>
  <c r="AG51" i="14"/>
  <c r="AF51" i="14"/>
  <c r="AE51" i="14"/>
  <c r="AA51" i="14"/>
  <c r="Z51" i="14"/>
  <c r="Y51" i="14"/>
  <c r="X51" i="14"/>
  <c r="T51" i="14"/>
  <c r="S51" i="14"/>
  <c r="R51" i="14"/>
  <c r="Q51" i="14"/>
  <c r="M51" i="14"/>
  <c r="L51" i="14"/>
  <c r="K51" i="14"/>
  <c r="J51" i="14"/>
  <c r="F51" i="14"/>
  <c r="E51" i="14"/>
  <c r="D51" i="14"/>
  <c r="C51" i="14"/>
  <c r="AH50" i="14"/>
  <c r="AG50" i="14"/>
  <c r="AF50" i="14"/>
  <c r="AE50" i="14"/>
  <c r="AA50" i="14"/>
  <c r="Z50" i="14"/>
  <c r="Y50" i="14"/>
  <c r="X50" i="14"/>
  <c r="T50" i="14"/>
  <c r="S50" i="14"/>
  <c r="R50" i="14"/>
  <c r="Q50" i="14"/>
  <c r="M50" i="14"/>
  <c r="L50" i="14"/>
  <c r="K50" i="14"/>
  <c r="J50" i="14"/>
  <c r="F50" i="14"/>
  <c r="E50" i="14"/>
  <c r="D50" i="14"/>
  <c r="C50" i="14"/>
  <c r="AH49" i="14"/>
  <c r="AG49" i="14"/>
  <c r="AF49" i="14"/>
  <c r="AE49" i="14"/>
  <c r="AA49" i="14"/>
  <c r="Z49" i="14"/>
  <c r="Y49" i="14"/>
  <c r="X49" i="14"/>
  <c r="T49" i="14"/>
  <c r="S49" i="14"/>
  <c r="R49" i="14"/>
  <c r="Q49" i="14"/>
  <c r="M49" i="14"/>
  <c r="L49" i="14"/>
  <c r="K49" i="14"/>
  <c r="J49" i="14"/>
  <c r="F49" i="14"/>
  <c r="E49" i="14"/>
  <c r="D49" i="14"/>
  <c r="C49" i="14"/>
  <c r="AH48" i="14"/>
  <c r="AG48" i="14"/>
  <c r="AF48" i="14"/>
  <c r="AE48" i="14"/>
  <c r="AA48" i="14"/>
  <c r="Z48" i="14"/>
  <c r="Y48" i="14"/>
  <c r="X48" i="14"/>
  <c r="T48" i="14"/>
  <c r="S48" i="14"/>
  <c r="R48" i="14"/>
  <c r="Q48" i="14"/>
  <c r="M48" i="14"/>
  <c r="L48" i="14"/>
  <c r="K48" i="14"/>
  <c r="J48" i="14"/>
  <c r="F48" i="14"/>
  <c r="E48" i="14"/>
  <c r="D48" i="14"/>
  <c r="C48" i="14"/>
  <c r="AH47" i="14"/>
  <c r="AG47" i="14"/>
  <c r="AF47" i="14"/>
  <c r="AE47" i="14"/>
  <c r="AA47" i="14"/>
  <c r="Z47" i="14"/>
  <c r="Y47" i="14"/>
  <c r="X47" i="14"/>
  <c r="T47" i="14"/>
  <c r="S47" i="14"/>
  <c r="R47" i="14"/>
  <c r="Q47" i="14"/>
  <c r="M47" i="14"/>
  <c r="L47" i="14"/>
  <c r="K47" i="14"/>
  <c r="J47" i="14"/>
  <c r="F47" i="14"/>
  <c r="E47" i="14"/>
  <c r="D47" i="14"/>
  <c r="C47" i="14"/>
  <c r="AH46" i="14"/>
  <c r="AG46" i="14"/>
  <c r="AF46" i="14"/>
  <c r="AE46" i="14"/>
  <c r="AA46" i="14"/>
  <c r="Z46" i="14"/>
  <c r="Y46" i="14"/>
  <c r="X46" i="14"/>
  <c r="T46" i="14"/>
  <c r="S46" i="14"/>
  <c r="R46" i="14"/>
  <c r="Q46" i="14"/>
  <c r="M46" i="14"/>
  <c r="L46" i="14"/>
  <c r="K46" i="14"/>
  <c r="J46" i="14"/>
  <c r="F46" i="14"/>
  <c r="E46" i="14"/>
  <c r="D46" i="14"/>
  <c r="C46" i="14"/>
  <c r="AH45" i="14"/>
  <c r="AG45" i="14"/>
  <c r="AF45" i="14"/>
  <c r="AE45" i="14"/>
  <c r="AA45" i="14"/>
  <c r="Z45" i="14"/>
  <c r="Y45" i="14"/>
  <c r="X45" i="14"/>
  <c r="T45" i="14"/>
  <c r="S45" i="14"/>
  <c r="R45" i="14"/>
  <c r="Q45" i="14"/>
  <c r="M45" i="14"/>
  <c r="L45" i="14"/>
  <c r="K45" i="14"/>
  <c r="J45" i="14"/>
  <c r="F45" i="14"/>
  <c r="E45" i="14"/>
  <c r="D45" i="14"/>
  <c r="C45" i="14"/>
  <c r="AH44" i="14"/>
  <c r="AG44" i="14"/>
  <c r="AF44" i="14"/>
  <c r="AE44" i="14"/>
  <c r="AA44" i="14"/>
  <c r="Z44" i="14"/>
  <c r="Y44" i="14"/>
  <c r="X44" i="14"/>
  <c r="T44" i="14"/>
  <c r="S44" i="14"/>
  <c r="R44" i="14"/>
  <c r="Q44" i="14"/>
  <c r="M44" i="14"/>
  <c r="L44" i="14"/>
  <c r="K44" i="14"/>
  <c r="J44" i="14"/>
  <c r="F44" i="14"/>
  <c r="E44" i="14"/>
  <c r="D44" i="14"/>
  <c r="C44" i="14"/>
  <c r="AH43" i="14"/>
  <c r="AG43" i="14"/>
  <c r="AF43" i="14"/>
  <c r="AE43" i="14"/>
  <c r="AA43" i="14"/>
  <c r="Z43" i="14"/>
  <c r="Y43" i="14"/>
  <c r="X43" i="14"/>
  <c r="T43" i="14"/>
  <c r="S43" i="14"/>
  <c r="R43" i="14"/>
  <c r="Q43" i="14"/>
  <c r="M43" i="14"/>
  <c r="L43" i="14"/>
  <c r="K43" i="14"/>
  <c r="J43" i="14"/>
  <c r="F43" i="14"/>
  <c r="E43" i="14"/>
  <c r="D43" i="14"/>
  <c r="C43" i="14"/>
  <c r="AH42" i="14"/>
  <c r="AG42" i="14"/>
  <c r="AF42" i="14"/>
  <c r="AE42" i="14"/>
  <c r="AA42" i="14"/>
  <c r="Z42" i="14"/>
  <c r="Y42" i="14"/>
  <c r="X42" i="14"/>
  <c r="T42" i="14"/>
  <c r="S42" i="14"/>
  <c r="R42" i="14"/>
  <c r="Q42" i="14"/>
  <c r="M42" i="14"/>
  <c r="L42" i="14"/>
  <c r="K42" i="14"/>
  <c r="J42" i="14"/>
  <c r="F42" i="14"/>
  <c r="E42" i="14"/>
  <c r="D42" i="14"/>
  <c r="C42" i="14"/>
  <c r="AH41" i="14"/>
  <c r="AG41" i="14"/>
  <c r="AF41" i="14"/>
  <c r="AE41" i="14"/>
  <c r="AA41" i="14"/>
  <c r="Z41" i="14"/>
  <c r="Y41" i="14"/>
  <c r="X41" i="14"/>
  <c r="T41" i="14"/>
  <c r="S41" i="14"/>
  <c r="R41" i="14"/>
  <c r="Q41" i="14"/>
  <c r="M41" i="14"/>
  <c r="L41" i="14"/>
  <c r="K41" i="14"/>
  <c r="J41" i="14"/>
  <c r="F41" i="14"/>
  <c r="E41" i="14"/>
  <c r="D41" i="14"/>
  <c r="C41" i="14"/>
  <c r="AH40" i="14"/>
  <c r="AG40" i="14"/>
  <c r="AF40" i="14"/>
  <c r="AE40" i="14"/>
  <c r="AA40" i="14"/>
  <c r="Z40" i="14"/>
  <c r="Y40" i="14"/>
  <c r="X40" i="14"/>
  <c r="T40" i="14"/>
  <c r="S40" i="14"/>
  <c r="R40" i="14"/>
  <c r="Q40" i="14"/>
  <c r="M40" i="14"/>
  <c r="L40" i="14"/>
  <c r="K40" i="14"/>
  <c r="J40" i="14"/>
  <c r="F40" i="14"/>
  <c r="E40" i="14"/>
  <c r="D40" i="14"/>
  <c r="C40" i="14"/>
  <c r="AH39" i="14"/>
  <c r="AG39" i="14"/>
  <c r="AF39" i="14"/>
  <c r="AE39" i="14"/>
  <c r="AA39" i="14"/>
  <c r="Z39" i="14"/>
  <c r="Y39" i="14"/>
  <c r="X39" i="14"/>
  <c r="T39" i="14"/>
  <c r="S39" i="14"/>
  <c r="R39" i="14"/>
  <c r="Q39" i="14"/>
  <c r="M39" i="14"/>
  <c r="L39" i="14"/>
  <c r="K39" i="14"/>
  <c r="J39" i="14"/>
  <c r="F39" i="14"/>
  <c r="E39" i="14"/>
  <c r="D39" i="14"/>
  <c r="C39" i="14"/>
  <c r="AH38" i="14"/>
  <c r="AG38" i="14"/>
  <c r="AF38" i="14"/>
  <c r="AE38" i="14"/>
  <c r="AA38" i="14"/>
  <c r="Z38" i="14"/>
  <c r="Y38" i="14"/>
  <c r="X38" i="14"/>
  <c r="T38" i="14"/>
  <c r="S38" i="14"/>
  <c r="R38" i="14"/>
  <c r="Q38" i="14"/>
  <c r="M38" i="14"/>
  <c r="L38" i="14"/>
  <c r="K38" i="14"/>
  <c r="J38" i="14"/>
  <c r="F38" i="14"/>
  <c r="E38" i="14"/>
  <c r="D38" i="14"/>
  <c r="C38" i="14"/>
  <c r="AH37" i="14"/>
  <c r="AG37" i="14"/>
  <c r="AF37" i="14"/>
  <c r="AE37" i="14"/>
  <c r="AA37" i="14"/>
  <c r="Z37" i="14"/>
  <c r="Y37" i="14"/>
  <c r="X37" i="14"/>
  <c r="T37" i="14"/>
  <c r="S37" i="14"/>
  <c r="R37" i="14"/>
  <c r="Q37" i="14"/>
  <c r="M37" i="14"/>
  <c r="L37" i="14"/>
  <c r="K37" i="14"/>
  <c r="J37" i="14"/>
  <c r="F37" i="14"/>
  <c r="E37" i="14"/>
  <c r="D37" i="14"/>
  <c r="C37" i="14"/>
  <c r="AH36" i="14"/>
  <c r="AG36" i="14"/>
  <c r="AF36" i="14"/>
  <c r="AE36" i="14"/>
  <c r="AA36" i="14"/>
  <c r="Z36" i="14"/>
  <c r="Y36" i="14"/>
  <c r="X36" i="14"/>
  <c r="T36" i="14"/>
  <c r="S36" i="14"/>
  <c r="R36" i="14"/>
  <c r="Q36" i="14"/>
  <c r="M36" i="14"/>
  <c r="L36" i="14"/>
  <c r="K36" i="14"/>
  <c r="J36" i="14"/>
  <c r="F36" i="14"/>
  <c r="E36" i="14"/>
  <c r="D36" i="14"/>
  <c r="C36" i="14"/>
  <c r="AH35" i="14"/>
  <c r="AG35" i="14"/>
  <c r="AF35" i="14"/>
  <c r="AE35" i="14"/>
  <c r="AA35" i="14"/>
  <c r="Z35" i="14"/>
  <c r="Y35" i="14"/>
  <c r="X35" i="14"/>
  <c r="T35" i="14"/>
  <c r="S35" i="14"/>
  <c r="R35" i="14"/>
  <c r="Q35" i="14"/>
  <c r="M35" i="14"/>
  <c r="L35" i="14"/>
  <c r="D7" i="9" s="1"/>
  <c r="K35" i="14"/>
  <c r="F35" i="14"/>
  <c r="E35" i="14"/>
  <c r="D35" i="14"/>
  <c r="AH34" i="14"/>
  <c r="AG34" i="14"/>
  <c r="AF34" i="14"/>
  <c r="AA34" i="14"/>
  <c r="Z34" i="14"/>
  <c r="Y34" i="14"/>
  <c r="T34" i="14"/>
  <c r="S34" i="14"/>
  <c r="R34" i="14"/>
  <c r="M34" i="14"/>
  <c r="L34" i="14"/>
  <c r="K34" i="14"/>
  <c r="F34" i="14"/>
  <c r="E34" i="14"/>
  <c r="D34" i="14"/>
  <c r="AH33" i="14"/>
  <c r="AG33" i="14"/>
  <c r="AF33" i="14"/>
  <c r="AA33" i="14"/>
  <c r="Z33" i="14"/>
  <c r="Y33" i="14"/>
  <c r="T33" i="14"/>
  <c r="S33" i="14"/>
  <c r="R33" i="14"/>
  <c r="M33" i="14"/>
  <c r="L33" i="14"/>
  <c r="K33" i="14"/>
  <c r="F33" i="14"/>
  <c r="E33" i="14"/>
  <c r="D33" i="14"/>
  <c r="AH32" i="14"/>
  <c r="AG32" i="14"/>
  <c r="AF32" i="14"/>
  <c r="AA32" i="14"/>
  <c r="Z32" i="14"/>
  <c r="Y32" i="14"/>
  <c r="T32" i="14"/>
  <c r="S32" i="14"/>
  <c r="R32" i="14"/>
  <c r="M32" i="14"/>
  <c r="L32" i="14"/>
  <c r="K32" i="14"/>
  <c r="F32" i="14"/>
  <c r="E32" i="14"/>
  <c r="D32" i="14"/>
  <c r="AH31" i="14"/>
  <c r="AG31" i="14"/>
  <c r="AF31" i="14"/>
  <c r="AA31" i="14"/>
  <c r="Z31" i="14"/>
  <c r="Y31" i="14"/>
  <c r="T31" i="14"/>
  <c r="S31" i="14"/>
  <c r="R31" i="14"/>
  <c r="M31" i="14"/>
  <c r="L31" i="14"/>
  <c r="K31" i="14"/>
  <c r="F31" i="14"/>
  <c r="E31" i="14"/>
  <c r="D31" i="14"/>
  <c r="AH30" i="14"/>
  <c r="AG30" i="14"/>
  <c r="AF30" i="14"/>
  <c r="AA30" i="14"/>
  <c r="Z30" i="14"/>
  <c r="Y30" i="14"/>
  <c r="T30" i="14"/>
  <c r="S30" i="14"/>
  <c r="R30" i="14"/>
  <c r="M30" i="14"/>
  <c r="L30" i="14"/>
  <c r="K30" i="14"/>
  <c r="F30" i="14"/>
  <c r="E30" i="14"/>
  <c r="D30" i="14"/>
  <c r="AH29" i="14"/>
  <c r="AG29" i="14"/>
  <c r="AF29" i="14"/>
  <c r="AA29" i="14"/>
  <c r="Z29" i="14"/>
  <c r="Y29" i="14"/>
  <c r="T29" i="14"/>
  <c r="S29" i="14"/>
  <c r="R29" i="14"/>
  <c r="M29" i="14"/>
  <c r="L29" i="14"/>
  <c r="K29" i="14"/>
  <c r="F29" i="14"/>
  <c r="E29" i="14"/>
  <c r="D29" i="14"/>
  <c r="AH28" i="14"/>
  <c r="AG28" i="14"/>
  <c r="AF28" i="14"/>
  <c r="AA28" i="14"/>
  <c r="Z28" i="14"/>
  <c r="Y28" i="14"/>
  <c r="T28" i="14"/>
  <c r="S28" i="14"/>
  <c r="R28" i="14"/>
  <c r="M28" i="14"/>
  <c r="L28" i="14"/>
  <c r="K28" i="14"/>
  <c r="F28" i="14"/>
  <c r="E28" i="14"/>
  <c r="D28" i="14"/>
  <c r="AH27" i="14"/>
  <c r="AG27" i="14"/>
  <c r="AF27" i="14"/>
  <c r="AA27" i="14"/>
  <c r="Z27" i="14"/>
  <c r="Y27" i="14"/>
  <c r="T27" i="14"/>
  <c r="S27" i="14"/>
  <c r="R27" i="14"/>
  <c r="M27" i="14"/>
  <c r="L27" i="14"/>
  <c r="K27" i="14"/>
  <c r="F27" i="14"/>
  <c r="E27" i="14"/>
  <c r="D27" i="14"/>
  <c r="AH26" i="14"/>
  <c r="AG26" i="14"/>
  <c r="AF26" i="14"/>
  <c r="AA26" i="14"/>
  <c r="Z26" i="14"/>
  <c r="Y26" i="14"/>
  <c r="T26" i="14"/>
  <c r="S26" i="14"/>
  <c r="R26" i="14"/>
  <c r="M26" i="14"/>
  <c r="L26" i="14"/>
  <c r="K26" i="14"/>
  <c r="F26" i="14"/>
  <c r="E26" i="14"/>
  <c r="D26" i="14"/>
  <c r="AH25" i="14"/>
  <c r="AG25" i="14"/>
  <c r="AF25" i="14"/>
  <c r="AA25" i="14"/>
  <c r="Z25" i="14"/>
  <c r="Y25" i="14"/>
  <c r="T25" i="14"/>
  <c r="S25" i="14"/>
  <c r="R25" i="14"/>
  <c r="M25" i="14"/>
  <c r="L25" i="14"/>
  <c r="K25" i="14"/>
  <c r="F25" i="14"/>
  <c r="E25" i="14"/>
  <c r="D25" i="14"/>
  <c r="AH24" i="14"/>
  <c r="AG24" i="14"/>
  <c r="AF24" i="14"/>
  <c r="AA24" i="14"/>
  <c r="Z24" i="14"/>
  <c r="Y24" i="14"/>
  <c r="T24" i="14"/>
  <c r="S24" i="14"/>
  <c r="R24" i="14"/>
  <c r="M24" i="14"/>
  <c r="L24" i="14"/>
  <c r="K24" i="14"/>
  <c r="F24" i="14"/>
  <c r="E24" i="14"/>
  <c r="D24" i="14"/>
  <c r="AH23" i="14"/>
  <c r="AG23" i="14"/>
  <c r="AF23" i="14"/>
  <c r="AA23" i="14"/>
  <c r="Z23" i="14"/>
  <c r="Y23" i="14"/>
  <c r="T23" i="14"/>
  <c r="S23" i="14"/>
  <c r="R23" i="14"/>
  <c r="M23" i="14"/>
  <c r="L23" i="14"/>
  <c r="K23" i="14"/>
  <c r="F23" i="14"/>
  <c r="E23" i="14"/>
  <c r="D23" i="14"/>
  <c r="AH22" i="14"/>
  <c r="AG22" i="14"/>
  <c r="AF22" i="14"/>
  <c r="AA22" i="14"/>
  <c r="Z22" i="14"/>
  <c r="Y22" i="14"/>
  <c r="T22" i="14"/>
  <c r="S22" i="14"/>
  <c r="R22" i="14"/>
  <c r="M22" i="14"/>
  <c r="L22" i="14"/>
  <c r="K22" i="14"/>
  <c r="F22" i="14"/>
  <c r="E22" i="14"/>
  <c r="D22" i="14"/>
  <c r="AH21" i="14"/>
  <c r="AG21" i="14"/>
  <c r="AF21" i="14"/>
  <c r="AA21" i="14"/>
  <c r="Z21" i="14"/>
  <c r="Y21" i="14"/>
  <c r="T21" i="14"/>
  <c r="S21" i="14"/>
  <c r="R21" i="14"/>
  <c r="M21" i="14"/>
  <c r="L21" i="14"/>
  <c r="K21" i="14"/>
  <c r="F21" i="14"/>
  <c r="E21" i="14"/>
  <c r="D21" i="14"/>
  <c r="AH20" i="14"/>
  <c r="AG20" i="14"/>
  <c r="AF20" i="14"/>
  <c r="AA20" i="14"/>
  <c r="Z20" i="14"/>
  <c r="Y20" i="14"/>
  <c r="T20" i="14"/>
  <c r="S20" i="14"/>
  <c r="R20" i="14"/>
  <c r="M20" i="14"/>
  <c r="L20" i="14"/>
  <c r="K20" i="14"/>
  <c r="F20" i="14"/>
  <c r="E20" i="14"/>
  <c r="D20" i="14"/>
  <c r="AH19" i="14"/>
  <c r="AG19" i="14"/>
  <c r="AF19" i="14"/>
  <c r="AA19" i="14"/>
  <c r="Z19" i="14"/>
  <c r="Y19" i="14"/>
  <c r="T19" i="14"/>
  <c r="S19" i="14"/>
  <c r="R19" i="14"/>
  <c r="M19" i="14"/>
  <c r="L19" i="14"/>
  <c r="K19" i="14"/>
  <c r="F19" i="14"/>
  <c r="E19" i="14"/>
  <c r="D19" i="14"/>
  <c r="AH18" i="14"/>
  <c r="AG18" i="14"/>
  <c r="AF18" i="14"/>
  <c r="AA18" i="14"/>
  <c r="Z18" i="14"/>
  <c r="Y18" i="14"/>
  <c r="T18" i="14"/>
  <c r="S18" i="14"/>
  <c r="R18" i="14"/>
  <c r="M18" i="14"/>
  <c r="L18" i="14"/>
  <c r="K18" i="14"/>
  <c r="F18" i="14"/>
  <c r="E18" i="14"/>
  <c r="D18" i="14"/>
  <c r="AH17" i="14"/>
  <c r="AG17" i="14"/>
  <c r="AF17" i="14"/>
  <c r="AA17" i="14"/>
  <c r="Z17" i="14"/>
  <c r="Y17" i="14"/>
  <c r="T17" i="14"/>
  <c r="S17" i="14"/>
  <c r="R17" i="14"/>
  <c r="M17" i="14"/>
  <c r="L17" i="14"/>
  <c r="K17" i="14"/>
  <c r="F17" i="14"/>
  <c r="E17" i="14"/>
  <c r="D17" i="14"/>
  <c r="AH16" i="14"/>
  <c r="AG16" i="14"/>
  <c r="AF16" i="14"/>
  <c r="AA16" i="14"/>
  <c r="Z16" i="14"/>
  <c r="Y16" i="14"/>
  <c r="T16" i="14"/>
  <c r="S16" i="14"/>
  <c r="R16" i="14"/>
  <c r="M16" i="14"/>
  <c r="L16" i="14"/>
  <c r="K16" i="14"/>
  <c r="F16" i="14"/>
  <c r="E16" i="14"/>
  <c r="D16" i="14"/>
  <c r="AH15" i="14"/>
  <c r="AG15" i="14"/>
  <c r="AF15" i="14"/>
  <c r="AA15" i="14"/>
  <c r="Z15" i="14"/>
  <c r="Y15" i="14"/>
  <c r="T15" i="14"/>
  <c r="S15" i="14"/>
  <c r="R15" i="14"/>
  <c r="M15" i="14"/>
  <c r="L15" i="14"/>
  <c r="K15" i="14"/>
  <c r="F15" i="14"/>
  <c r="E15" i="14"/>
  <c r="D15" i="14"/>
  <c r="AH14" i="14"/>
  <c r="AG14" i="14"/>
  <c r="AF14" i="14"/>
  <c r="AA14" i="14"/>
  <c r="Z14" i="14"/>
  <c r="Y14" i="14"/>
  <c r="T14" i="14"/>
  <c r="S14" i="14"/>
  <c r="R14" i="14"/>
  <c r="M14" i="14"/>
  <c r="L14" i="14"/>
  <c r="K14" i="14"/>
  <c r="F14" i="14"/>
  <c r="E14" i="14"/>
  <c r="D14" i="14"/>
  <c r="AH13" i="14"/>
  <c r="AG13" i="14"/>
  <c r="AF13" i="14"/>
  <c r="AA13" i="14"/>
  <c r="Z13" i="14"/>
  <c r="Y13" i="14"/>
  <c r="T13" i="14"/>
  <c r="S13" i="14"/>
  <c r="R13" i="14"/>
  <c r="M13" i="14"/>
  <c r="L13" i="14"/>
  <c r="K13" i="14"/>
  <c r="F13" i="14"/>
  <c r="E13" i="14"/>
  <c r="D13" i="14"/>
  <c r="AH12" i="14"/>
  <c r="AG12" i="14"/>
  <c r="AF12" i="14"/>
  <c r="AA12" i="14"/>
  <c r="Z12" i="14"/>
  <c r="Y12" i="14"/>
  <c r="T12" i="14"/>
  <c r="S12" i="14"/>
  <c r="R12" i="14"/>
  <c r="M12" i="14"/>
  <c r="L12" i="14"/>
  <c r="K12" i="14"/>
  <c r="F12" i="14"/>
  <c r="E12" i="14"/>
  <c r="D12" i="14"/>
  <c r="AH11" i="14"/>
  <c r="AG11" i="14"/>
  <c r="AF11" i="14"/>
  <c r="AA11" i="14"/>
  <c r="Z11" i="14"/>
  <c r="Y11" i="14"/>
  <c r="T11" i="14"/>
  <c r="S11" i="14"/>
  <c r="R11" i="14"/>
  <c r="M11" i="14"/>
  <c r="L11" i="14"/>
  <c r="K11" i="14"/>
  <c r="F11" i="14"/>
  <c r="E11" i="14"/>
  <c r="D11" i="14"/>
  <c r="AH10" i="14"/>
  <c r="AG10" i="14"/>
  <c r="AF10" i="14"/>
  <c r="AA10" i="14"/>
  <c r="Z10" i="14"/>
  <c r="Y10" i="14"/>
  <c r="T10" i="14"/>
  <c r="S10" i="14"/>
  <c r="R10" i="14"/>
  <c r="M10" i="14"/>
  <c r="L10" i="14"/>
  <c r="K10" i="14"/>
  <c r="F10" i="14"/>
  <c r="E10" i="14"/>
  <c r="D10" i="14"/>
  <c r="AH9" i="14"/>
  <c r="AG9" i="14"/>
  <c r="AF9" i="14"/>
  <c r="AA9" i="14"/>
  <c r="Z9" i="14"/>
  <c r="Y9" i="14"/>
  <c r="T9" i="14"/>
  <c r="S9" i="14"/>
  <c r="R9" i="14"/>
  <c r="M9" i="14"/>
  <c r="L9" i="14"/>
  <c r="K9" i="14"/>
  <c r="F9" i="14"/>
  <c r="E9" i="14"/>
  <c r="D9" i="14"/>
  <c r="AD5" i="14"/>
  <c r="AD4" i="14"/>
  <c r="W4" i="14"/>
  <c r="P4" i="14"/>
  <c r="I4" i="14"/>
  <c r="B4" i="14"/>
  <c r="AH108" i="13"/>
  <c r="AG108" i="13"/>
  <c r="AF108" i="13"/>
  <c r="AA108" i="13"/>
  <c r="Z108" i="13"/>
  <c r="Y108" i="13"/>
  <c r="T108" i="13"/>
  <c r="S108" i="13"/>
  <c r="R108" i="13"/>
  <c r="M108" i="13"/>
  <c r="L108" i="13"/>
  <c r="K108" i="13"/>
  <c r="F108" i="13"/>
  <c r="E108" i="13"/>
  <c r="D108" i="13"/>
  <c r="AH107" i="13"/>
  <c r="AG107" i="13"/>
  <c r="AF107" i="13"/>
  <c r="AA107" i="13"/>
  <c r="Z107" i="13"/>
  <c r="Y107" i="13"/>
  <c r="T107" i="13"/>
  <c r="S107" i="13"/>
  <c r="R107" i="13"/>
  <c r="M107" i="13"/>
  <c r="L107" i="13"/>
  <c r="K107" i="13"/>
  <c r="F107" i="13"/>
  <c r="E107" i="13"/>
  <c r="D107" i="13"/>
  <c r="AH106" i="13"/>
  <c r="AG106" i="13"/>
  <c r="AF106" i="13"/>
  <c r="AA106" i="13"/>
  <c r="Z106" i="13"/>
  <c r="Y106" i="13"/>
  <c r="T106" i="13"/>
  <c r="S106" i="13"/>
  <c r="R106" i="13"/>
  <c r="M106" i="13"/>
  <c r="L106" i="13"/>
  <c r="K106" i="13"/>
  <c r="F106" i="13"/>
  <c r="E106" i="13"/>
  <c r="D106" i="13"/>
  <c r="AH105" i="13"/>
  <c r="AG105" i="13"/>
  <c r="AF105" i="13"/>
  <c r="AA105" i="13"/>
  <c r="Z105" i="13"/>
  <c r="Y105" i="13"/>
  <c r="T105" i="13"/>
  <c r="S105" i="13"/>
  <c r="R105" i="13"/>
  <c r="M105" i="13"/>
  <c r="L105" i="13"/>
  <c r="K105" i="13"/>
  <c r="F105" i="13"/>
  <c r="E105" i="13"/>
  <c r="D105" i="13"/>
  <c r="AH104" i="13"/>
  <c r="AG104" i="13"/>
  <c r="AF104" i="13"/>
  <c r="AA104" i="13"/>
  <c r="Z104" i="13"/>
  <c r="Y104" i="13"/>
  <c r="T104" i="13"/>
  <c r="S104" i="13"/>
  <c r="R104" i="13"/>
  <c r="M104" i="13"/>
  <c r="L104" i="13"/>
  <c r="K104" i="13"/>
  <c r="F104" i="13"/>
  <c r="E104" i="13"/>
  <c r="D104" i="13"/>
  <c r="AH103" i="13"/>
  <c r="AG103" i="13"/>
  <c r="AF103" i="13"/>
  <c r="AA103" i="13"/>
  <c r="Z103" i="13"/>
  <c r="Y103" i="13"/>
  <c r="T103" i="13"/>
  <c r="S103" i="13"/>
  <c r="R103" i="13"/>
  <c r="M103" i="13"/>
  <c r="L103" i="13"/>
  <c r="K103" i="13"/>
  <c r="F103" i="13"/>
  <c r="E103" i="13"/>
  <c r="D103" i="13"/>
  <c r="AH102" i="13"/>
  <c r="AG102" i="13"/>
  <c r="AF102" i="13"/>
  <c r="AA102" i="13"/>
  <c r="Z102" i="13"/>
  <c r="Y102" i="13"/>
  <c r="T102" i="13"/>
  <c r="S102" i="13"/>
  <c r="R102" i="13"/>
  <c r="M102" i="13"/>
  <c r="L102" i="13"/>
  <c r="K102" i="13"/>
  <c r="F102" i="13"/>
  <c r="E102" i="13"/>
  <c r="D102" i="13"/>
  <c r="AH101" i="13"/>
  <c r="AG101" i="13"/>
  <c r="AF101" i="13"/>
  <c r="AA101" i="13"/>
  <c r="Z101" i="13"/>
  <c r="Y101" i="13"/>
  <c r="T101" i="13"/>
  <c r="S101" i="13"/>
  <c r="R101" i="13"/>
  <c r="M101" i="13"/>
  <c r="L101" i="13"/>
  <c r="K101" i="13"/>
  <c r="F101" i="13"/>
  <c r="E101" i="13"/>
  <c r="D101" i="13"/>
  <c r="AH100" i="13"/>
  <c r="AG100" i="13"/>
  <c r="AF100" i="13"/>
  <c r="AA100" i="13"/>
  <c r="Z100" i="13"/>
  <c r="Y100" i="13"/>
  <c r="T100" i="13"/>
  <c r="S100" i="13"/>
  <c r="R100" i="13"/>
  <c r="M100" i="13"/>
  <c r="L100" i="13"/>
  <c r="K100" i="13"/>
  <c r="F100" i="13"/>
  <c r="E100" i="13"/>
  <c r="D100" i="13"/>
  <c r="AH99" i="13"/>
  <c r="AG99" i="13"/>
  <c r="AF99" i="13"/>
  <c r="AA99" i="13"/>
  <c r="Z99" i="13"/>
  <c r="Y99" i="13"/>
  <c r="T99" i="13"/>
  <c r="S99" i="13"/>
  <c r="R99" i="13"/>
  <c r="M99" i="13"/>
  <c r="L99" i="13"/>
  <c r="K99" i="13"/>
  <c r="F99" i="13"/>
  <c r="E99" i="13"/>
  <c r="D99" i="13"/>
  <c r="AH98" i="13"/>
  <c r="AG98" i="13"/>
  <c r="AF98" i="13"/>
  <c r="AA98" i="13"/>
  <c r="Z98" i="13"/>
  <c r="Y98" i="13"/>
  <c r="T98" i="13"/>
  <c r="S98" i="13"/>
  <c r="R98" i="13"/>
  <c r="M98" i="13"/>
  <c r="L98" i="13"/>
  <c r="K98" i="13"/>
  <c r="F98" i="13"/>
  <c r="E98" i="13"/>
  <c r="D98" i="13"/>
  <c r="AH97" i="13"/>
  <c r="AG97" i="13"/>
  <c r="AF97" i="13"/>
  <c r="AA97" i="13"/>
  <c r="Z97" i="13"/>
  <c r="Y97" i="13"/>
  <c r="T97" i="13"/>
  <c r="S97" i="13"/>
  <c r="R97" i="13"/>
  <c r="M97" i="13"/>
  <c r="L97" i="13"/>
  <c r="K97" i="13"/>
  <c r="F97" i="13"/>
  <c r="E97" i="13"/>
  <c r="D97" i="13"/>
  <c r="AH96" i="13"/>
  <c r="AG96" i="13"/>
  <c r="AF96" i="13"/>
  <c r="AA96" i="13"/>
  <c r="Z96" i="13"/>
  <c r="Y96" i="13"/>
  <c r="T96" i="13"/>
  <c r="S96" i="13"/>
  <c r="R96" i="13"/>
  <c r="M96" i="13"/>
  <c r="L96" i="13"/>
  <c r="K96" i="13"/>
  <c r="F96" i="13"/>
  <c r="E96" i="13"/>
  <c r="D96" i="13"/>
  <c r="AH95" i="13"/>
  <c r="AG95" i="13"/>
  <c r="AF95" i="13"/>
  <c r="AA95" i="13"/>
  <c r="Z95" i="13"/>
  <c r="Y95" i="13"/>
  <c r="T95" i="13"/>
  <c r="S95" i="13"/>
  <c r="R95" i="13"/>
  <c r="M95" i="13"/>
  <c r="L95" i="13"/>
  <c r="K95" i="13"/>
  <c r="F95" i="13"/>
  <c r="E95" i="13"/>
  <c r="D95" i="13"/>
  <c r="AH94" i="13"/>
  <c r="AG94" i="13"/>
  <c r="AF94" i="13"/>
  <c r="AA94" i="13"/>
  <c r="Z94" i="13"/>
  <c r="Y94" i="13"/>
  <c r="T94" i="13"/>
  <c r="S94" i="13"/>
  <c r="R94" i="13"/>
  <c r="M94" i="13"/>
  <c r="L94" i="13"/>
  <c r="K94" i="13"/>
  <c r="F94" i="13"/>
  <c r="E94" i="13"/>
  <c r="D94" i="13"/>
  <c r="AH93" i="13"/>
  <c r="AG93" i="13"/>
  <c r="AF93" i="13"/>
  <c r="AA93" i="13"/>
  <c r="Z93" i="13"/>
  <c r="Y93" i="13"/>
  <c r="T93" i="13"/>
  <c r="S93" i="13"/>
  <c r="R93" i="13"/>
  <c r="M93" i="13"/>
  <c r="L93" i="13"/>
  <c r="K93" i="13"/>
  <c r="F93" i="13"/>
  <c r="E93" i="13"/>
  <c r="D93" i="13"/>
  <c r="AH92" i="13"/>
  <c r="AG92" i="13"/>
  <c r="AF92" i="13"/>
  <c r="AA92" i="13"/>
  <c r="Z92" i="13"/>
  <c r="Y92" i="13"/>
  <c r="T92" i="13"/>
  <c r="S92" i="13"/>
  <c r="R92" i="13"/>
  <c r="M92" i="13"/>
  <c r="L92" i="13"/>
  <c r="K92" i="13"/>
  <c r="F92" i="13"/>
  <c r="E92" i="13"/>
  <c r="D92" i="13"/>
  <c r="AH91" i="13"/>
  <c r="AG91" i="13"/>
  <c r="AF91" i="13"/>
  <c r="AA91" i="13"/>
  <c r="Z91" i="13"/>
  <c r="Y91" i="13"/>
  <c r="T91" i="13"/>
  <c r="S91" i="13"/>
  <c r="R91" i="13"/>
  <c r="M91" i="13"/>
  <c r="L91" i="13"/>
  <c r="K91" i="13"/>
  <c r="F91" i="13"/>
  <c r="E91" i="13"/>
  <c r="D91" i="13"/>
  <c r="AH90" i="13"/>
  <c r="AG90" i="13"/>
  <c r="AF90" i="13"/>
  <c r="AA90" i="13"/>
  <c r="Z90" i="13"/>
  <c r="Y90" i="13"/>
  <c r="T90" i="13"/>
  <c r="S90" i="13"/>
  <c r="R90" i="13"/>
  <c r="M90" i="13"/>
  <c r="L90" i="13"/>
  <c r="K90" i="13"/>
  <c r="F90" i="13"/>
  <c r="E90" i="13"/>
  <c r="D90" i="13"/>
  <c r="AH89" i="13"/>
  <c r="AG89" i="13"/>
  <c r="AF89" i="13"/>
  <c r="AA89" i="13"/>
  <c r="Z89" i="13"/>
  <c r="Y89" i="13"/>
  <c r="T89" i="13"/>
  <c r="S89" i="13"/>
  <c r="R89" i="13"/>
  <c r="M89" i="13"/>
  <c r="L89" i="13"/>
  <c r="K89" i="13"/>
  <c r="F89" i="13"/>
  <c r="E89" i="13"/>
  <c r="D89" i="13"/>
  <c r="AH88" i="13"/>
  <c r="AG88" i="13"/>
  <c r="AF88" i="13"/>
  <c r="AA88" i="13"/>
  <c r="Z88" i="13"/>
  <c r="Y88" i="13"/>
  <c r="T88" i="13"/>
  <c r="S88" i="13"/>
  <c r="R88" i="13"/>
  <c r="M88" i="13"/>
  <c r="L88" i="13"/>
  <c r="K88" i="13"/>
  <c r="F88" i="13"/>
  <c r="E88" i="13"/>
  <c r="D88" i="13"/>
  <c r="AH87" i="13"/>
  <c r="AG87" i="13"/>
  <c r="AF87" i="13"/>
  <c r="AA87" i="13"/>
  <c r="Z87" i="13"/>
  <c r="Y87" i="13"/>
  <c r="T87" i="13"/>
  <c r="S87" i="13"/>
  <c r="R87" i="13"/>
  <c r="M87" i="13"/>
  <c r="L87" i="13"/>
  <c r="K87" i="13"/>
  <c r="F87" i="13"/>
  <c r="E87" i="13"/>
  <c r="D87" i="13"/>
  <c r="AH86" i="13"/>
  <c r="AG86" i="13"/>
  <c r="AF86" i="13"/>
  <c r="AA86" i="13"/>
  <c r="Z86" i="13"/>
  <c r="Y86" i="13"/>
  <c r="T86" i="13"/>
  <c r="S86" i="13"/>
  <c r="R86" i="13"/>
  <c r="M86" i="13"/>
  <c r="L86" i="13"/>
  <c r="K86" i="13"/>
  <c r="F86" i="13"/>
  <c r="E86" i="13"/>
  <c r="D86" i="13"/>
  <c r="AH85" i="13"/>
  <c r="AG85" i="13"/>
  <c r="AF85" i="13"/>
  <c r="AA85" i="13"/>
  <c r="Z85" i="13"/>
  <c r="Y85" i="13"/>
  <c r="T85" i="13"/>
  <c r="S85" i="13"/>
  <c r="R85" i="13"/>
  <c r="M85" i="13"/>
  <c r="L85" i="13"/>
  <c r="K85" i="13"/>
  <c r="F85" i="13"/>
  <c r="E85" i="13"/>
  <c r="D85" i="13"/>
  <c r="C85" i="13"/>
  <c r="AH84" i="13"/>
  <c r="AG84" i="13"/>
  <c r="AF84" i="13"/>
  <c r="AE84" i="13"/>
  <c r="AA84" i="13"/>
  <c r="Z84" i="13"/>
  <c r="Y84" i="13"/>
  <c r="X84" i="13"/>
  <c r="T84" i="13"/>
  <c r="S84" i="13"/>
  <c r="R84" i="13"/>
  <c r="Q84" i="13"/>
  <c r="M84" i="13"/>
  <c r="L84" i="13"/>
  <c r="K84" i="13"/>
  <c r="J84" i="13"/>
  <c r="F84" i="13"/>
  <c r="E84" i="13"/>
  <c r="D84" i="13"/>
  <c r="C84" i="13"/>
  <c r="AH83" i="13"/>
  <c r="AG83" i="13"/>
  <c r="AF83" i="13"/>
  <c r="AE83" i="13"/>
  <c r="AA83" i="13"/>
  <c r="Z83" i="13"/>
  <c r="Y83" i="13"/>
  <c r="X83" i="13"/>
  <c r="T83" i="13"/>
  <c r="S83" i="13"/>
  <c r="R83" i="13"/>
  <c r="Q83" i="13"/>
  <c r="M83" i="13"/>
  <c r="L83" i="13"/>
  <c r="K83" i="13"/>
  <c r="J83" i="13"/>
  <c r="F83" i="13"/>
  <c r="E83" i="13"/>
  <c r="D83" i="13"/>
  <c r="C83" i="13"/>
  <c r="AH82" i="13"/>
  <c r="AG82" i="13"/>
  <c r="AF82" i="13"/>
  <c r="AE82" i="13"/>
  <c r="AA82" i="13"/>
  <c r="Z82" i="13"/>
  <c r="Y82" i="13"/>
  <c r="X82" i="13"/>
  <c r="T82" i="13"/>
  <c r="S82" i="13"/>
  <c r="R82" i="13"/>
  <c r="Q82" i="13"/>
  <c r="M82" i="13"/>
  <c r="L82" i="13"/>
  <c r="K82" i="13"/>
  <c r="J82" i="13"/>
  <c r="F82" i="13"/>
  <c r="E82" i="13"/>
  <c r="D82" i="13"/>
  <c r="C82" i="13"/>
  <c r="AH81" i="13"/>
  <c r="AG81" i="13"/>
  <c r="AF81" i="13"/>
  <c r="AE81" i="13"/>
  <c r="AA81" i="13"/>
  <c r="Z81" i="13"/>
  <c r="Y81" i="13"/>
  <c r="X81" i="13"/>
  <c r="T81" i="13"/>
  <c r="S81" i="13"/>
  <c r="R81" i="13"/>
  <c r="Q81" i="13"/>
  <c r="M81" i="13"/>
  <c r="L81" i="13"/>
  <c r="K81" i="13"/>
  <c r="J81" i="13"/>
  <c r="F81" i="13"/>
  <c r="E81" i="13"/>
  <c r="D81" i="13"/>
  <c r="C81" i="13"/>
  <c r="AH80" i="13"/>
  <c r="AG80" i="13"/>
  <c r="AF80" i="13"/>
  <c r="AE80" i="13"/>
  <c r="AA80" i="13"/>
  <c r="Z80" i="13"/>
  <c r="Y80" i="13"/>
  <c r="X80" i="13"/>
  <c r="T80" i="13"/>
  <c r="S80" i="13"/>
  <c r="R80" i="13"/>
  <c r="Q80" i="13"/>
  <c r="M80" i="13"/>
  <c r="L80" i="13"/>
  <c r="K80" i="13"/>
  <c r="J80" i="13"/>
  <c r="F80" i="13"/>
  <c r="E80" i="13"/>
  <c r="D80" i="13"/>
  <c r="C80" i="13"/>
  <c r="AH79" i="13"/>
  <c r="AG79" i="13"/>
  <c r="AF79" i="13"/>
  <c r="AE79" i="13"/>
  <c r="AA79" i="13"/>
  <c r="Z79" i="13"/>
  <c r="Y79" i="13"/>
  <c r="X79" i="13"/>
  <c r="T79" i="13"/>
  <c r="S79" i="13"/>
  <c r="R79" i="13"/>
  <c r="Q79" i="13"/>
  <c r="M79" i="13"/>
  <c r="L79" i="13"/>
  <c r="K79" i="13"/>
  <c r="J79" i="13"/>
  <c r="F79" i="13"/>
  <c r="E79" i="13"/>
  <c r="D79" i="13"/>
  <c r="C79" i="13"/>
  <c r="AH78" i="13"/>
  <c r="AG78" i="13"/>
  <c r="AF78" i="13"/>
  <c r="AE78" i="13"/>
  <c r="AA78" i="13"/>
  <c r="Z78" i="13"/>
  <c r="Y78" i="13"/>
  <c r="X78" i="13"/>
  <c r="T78" i="13"/>
  <c r="S78" i="13"/>
  <c r="R78" i="13"/>
  <c r="Q78" i="13"/>
  <c r="M78" i="13"/>
  <c r="L78" i="13"/>
  <c r="K78" i="13"/>
  <c r="J78" i="13"/>
  <c r="F78" i="13"/>
  <c r="E78" i="13"/>
  <c r="D78" i="13"/>
  <c r="C78" i="13"/>
  <c r="AH77" i="13"/>
  <c r="AG77" i="13"/>
  <c r="AF77" i="13"/>
  <c r="AE77" i="13"/>
  <c r="AA77" i="13"/>
  <c r="Z77" i="13"/>
  <c r="Y77" i="13"/>
  <c r="X77" i="13"/>
  <c r="T77" i="13"/>
  <c r="S77" i="13"/>
  <c r="R77" i="13"/>
  <c r="Q77" i="13"/>
  <c r="M77" i="13"/>
  <c r="L77" i="13"/>
  <c r="K77" i="13"/>
  <c r="J77" i="13"/>
  <c r="F77" i="13"/>
  <c r="E77" i="13"/>
  <c r="D77" i="13"/>
  <c r="C77" i="13"/>
  <c r="AH76" i="13"/>
  <c r="AG76" i="13"/>
  <c r="AF76" i="13"/>
  <c r="AE76" i="13"/>
  <c r="AA76" i="13"/>
  <c r="Z76" i="13"/>
  <c r="Y76" i="13"/>
  <c r="X76" i="13"/>
  <c r="T76" i="13"/>
  <c r="S76" i="13"/>
  <c r="R76" i="13"/>
  <c r="Q76" i="13"/>
  <c r="M76" i="13"/>
  <c r="L76" i="13"/>
  <c r="K76" i="13"/>
  <c r="J76" i="13"/>
  <c r="F76" i="13"/>
  <c r="E76" i="13"/>
  <c r="D76" i="13"/>
  <c r="C76" i="13"/>
  <c r="AH75" i="13"/>
  <c r="AG75" i="13"/>
  <c r="AF75" i="13"/>
  <c r="AE75" i="13"/>
  <c r="AA75" i="13"/>
  <c r="Z75" i="13"/>
  <c r="Y75" i="13"/>
  <c r="X75" i="13"/>
  <c r="T75" i="13"/>
  <c r="S75" i="13"/>
  <c r="R75" i="13"/>
  <c r="Q75" i="13"/>
  <c r="M75" i="13"/>
  <c r="L75" i="13"/>
  <c r="K75" i="13"/>
  <c r="J75" i="13"/>
  <c r="F75" i="13"/>
  <c r="E75" i="13"/>
  <c r="D75" i="13"/>
  <c r="C75" i="13"/>
  <c r="AH74" i="13"/>
  <c r="AG74" i="13"/>
  <c r="AF74" i="13"/>
  <c r="AE74" i="13"/>
  <c r="AA74" i="13"/>
  <c r="Z74" i="13"/>
  <c r="Y74" i="13"/>
  <c r="X74" i="13"/>
  <c r="T74" i="13"/>
  <c r="S74" i="13"/>
  <c r="R74" i="13"/>
  <c r="Q74" i="13"/>
  <c r="M74" i="13"/>
  <c r="L74" i="13"/>
  <c r="K74" i="13"/>
  <c r="J74" i="13"/>
  <c r="F74" i="13"/>
  <c r="E74" i="13"/>
  <c r="D74" i="13"/>
  <c r="C74" i="13"/>
  <c r="AH73" i="13"/>
  <c r="AG73" i="13"/>
  <c r="AF73" i="13"/>
  <c r="AE73" i="13"/>
  <c r="AA73" i="13"/>
  <c r="Z73" i="13"/>
  <c r="Y73" i="13"/>
  <c r="X73" i="13"/>
  <c r="T73" i="13"/>
  <c r="S73" i="13"/>
  <c r="R73" i="13"/>
  <c r="Q73" i="13"/>
  <c r="M73" i="13"/>
  <c r="L73" i="13"/>
  <c r="K73" i="13"/>
  <c r="J73" i="13"/>
  <c r="F73" i="13"/>
  <c r="E73" i="13"/>
  <c r="D73" i="13"/>
  <c r="C73" i="13"/>
  <c r="AH72" i="13"/>
  <c r="AG72" i="13"/>
  <c r="AF72" i="13"/>
  <c r="AE72" i="13"/>
  <c r="AA72" i="13"/>
  <c r="Z72" i="13"/>
  <c r="Y72" i="13"/>
  <c r="X72" i="13"/>
  <c r="T72" i="13"/>
  <c r="S72" i="13"/>
  <c r="R72" i="13"/>
  <c r="Q72" i="13"/>
  <c r="M72" i="13"/>
  <c r="L72" i="13"/>
  <c r="K72" i="13"/>
  <c r="J72" i="13"/>
  <c r="F72" i="13"/>
  <c r="E72" i="13"/>
  <c r="D72" i="13"/>
  <c r="C72" i="13"/>
  <c r="AH71" i="13"/>
  <c r="AG71" i="13"/>
  <c r="AF71" i="13"/>
  <c r="AE71" i="13"/>
  <c r="AA71" i="13"/>
  <c r="Z71" i="13"/>
  <c r="Y71" i="13"/>
  <c r="X71" i="13"/>
  <c r="T71" i="13"/>
  <c r="S71" i="13"/>
  <c r="R71" i="13"/>
  <c r="Q71" i="13"/>
  <c r="M71" i="13"/>
  <c r="L71" i="13"/>
  <c r="K71" i="13"/>
  <c r="J71" i="13"/>
  <c r="F71" i="13"/>
  <c r="E71" i="13"/>
  <c r="D71" i="13"/>
  <c r="C71" i="13"/>
  <c r="AH70" i="13"/>
  <c r="AG70" i="13"/>
  <c r="AF70" i="13"/>
  <c r="AE70" i="13"/>
  <c r="AA70" i="13"/>
  <c r="Z70" i="13"/>
  <c r="Y70" i="13"/>
  <c r="X70" i="13"/>
  <c r="T70" i="13"/>
  <c r="S70" i="13"/>
  <c r="R70" i="13"/>
  <c r="Q70" i="13"/>
  <c r="M70" i="13"/>
  <c r="L70" i="13"/>
  <c r="K70" i="13"/>
  <c r="J70" i="13"/>
  <c r="F70" i="13"/>
  <c r="E70" i="13"/>
  <c r="D70" i="13"/>
  <c r="C70" i="13"/>
  <c r="AH69" i="13"/>
  <c r="AG69" i="13"/>
  <c r="AF69" i="13"/>
  <c r="AE69" i="13"/>
  <c r="AA69" i="13"/>
  <c r="Z69" i="13"/>
  <c r="Y69" i="13"/>
  <c r="X69" i="13"/>
  <c r="T69" i="13"/>
  <c r="S69" i="13"/>
  <c r="R69" i="13"/>
  <c r="Q69" i="13"/>
  <c r="M69" i="13"/>
  <c r="L69" i="13"/>
  <c r="K69" i="13"/>
  <c r="J69" i="13"/>
  <c r="F69" i="13"/>
  <c r="E69" i="13"/>
  <c r="D69" i="13"/>
  <c r="C69" i="13"/>
  <c r="AH68" i="13"/>
  <c r="AG68" i="13"/>
  <c r="AF68" i="13"/>
  <c r="AE68" i="13"/>
  <c r="AA68" i="13"/>
  <c r="Z68" i="13"/>
  <c r="Y68" i="13"/>
  <c r="X68" i="13"/>
  <c r="T68" i="13"/>
  <c r="S68" i="13"/>
  <c r="R68" i="13"/>
  <c r="Q68" i="13"/>
  <c r="M68" i="13"/>
  <c r="L68" i="13"/>
  <c r="K68" i="13"/>
  <c r="J68" i="13"/>
  <c r="F68" i="13"/>
  <c r="E68" i="13"/>
  <c r="D68" i="13"/>
  <c r="C68" i="13"/>
  <c r="AH67" i="13"/>
  <c r="AG67" i="13"/>
  <c r="AF67" i="13"/>
  <c r="AE67" i="13"/>
  <c r="AA67" i="13"/>
  <c r="Z67" i="13"/>
  <c r="Y67" i="13"/>
  <c r="X67" i="13"/>
  <c r="T67" i="13"/>
  <c r="S67" i="13"/>
  <c r="R67" i="13"/>
  <c r="Q67" i="13"/>
  <c r="M67" i="13"/>
  <c r="L67" i="13"/>
  <c r="K67" i="13"/>
  <c r="J67" i="13"/>
  <c r="F67" i="13"/>
  <c r="E67" i="13"/>
  <c r="D67" i="13"/>
  <c r="C67" i="13"/>
  <c r="AH66" i="13"/>
  <c r="AG66" i="13"/>
  <c r="AF66" i="13"/>
  <c r="AE66" i="13"/>
  <c r="AA66" i="13"/>
  <c r="Z66" i="13"/>
  <c r="Y66" i="13"/>
  <c r="X66" i="13"/>
  <c r="T66" i="13"/>
  <c r="S66" i="13"/>
  <c r="R66" i="13"/>
  <c r="Q66" i="13"/>
  <c r="M66" i="13"/>
  <c r="L66" i="13"/>
  <c r="K66" i="13"/>
  <c r="J66" i="13"/>
  <c r="F66" i="13"/>
  <c r="E66" i="13"/>
  <c r="D66" i="13"/>
  <c r="C66" i="13"/>
  <c r="AH65" i="13"/>
  <c r="AG65" i="13"/>
  <c r="AF65" i="13"/>
  <c r="AE65" i="13"/>
  <c r="AA65" i="13"/>
  <c r="Z65" i="13"/>
  <c r="Y65" i="13"/>
  <c r="X65" i="13"/>
  <c r="T65" i="13"/>
  <c r="S65" i="13"/>
  <c r="R65" i="13"/>
  <c r="Q65" i="13"/>
  <c r="M65" i="13"/>
  <c r="L65" i="13"/>
  <c r="K65" i="13"/>
  <c r="J65" i="13"/>
  <c r="F65" i="13"/>
  <c r="E65" i="13"/>
  <c r="D65" i="13"/>
  <c r="C65" i="13"/>
  <c r="AH64" i="13"/>
  <c r="AG64" i="13"/>
  <c r="AF64" i="13"/>
  <c r="AE64" i="13"/>
  <c r="AA64" i="13"/>
  <c r="Z64" i="13"/>
  <c r="Y64" i="13"/>
  <c r="X64" i="13"/>
  <c r="T64" i="13"/>
  <c r="S64" i="13"/>
  <c r="R64" i="13"/>
  <c r="Q64" i="13"/>
  <c r="M64" i="13"/>
  <c r="L64" i="13"/>
  <c r="K64" i="13"/>
  <c r="J64" i="13"/>
  <c r="F64" i="13"/>
  <c r="E64" i="13"/>
  <c r="D64" i="13"/>
  <c r="C64" i="13"/>
  <c r="AH63" i="13"/>
  <c r="AG63" i="13"/>
  <c r="AF63" i="13"/>
  <c r="AE63" i="13"/>
  <c r="AA63" i="13"/>
  <c r="Z63" i="13"/>
  <c r="Y63" i="13"/>
  <c r="X63" i="13"/>
  <c r="T63" i="13"/>
  <c r="S63" i="13"/>
  <c r="R63" i="13"/>
  <c r="Q63" i="13"/>
  <c r="M63" i="13"/>
  <c r="L63" i="13"/>
  <c r="K63" i="13"/>
  <c r="J63" i="13"/>
  <c r="F63" i="13"/>
  <c r="E63" i="13"/>
  <c r="D63" i="13"/>
  <c r="C63" i="13"/>
  <c r="AH62" i="13"/>
  <c r="AG62" i="13"/>
  <c r="AF62" i="13"/>
  <c r="AE62" i="13"/>
  <c r="AA62" i="13"/>
  <c r="Z62" i="13"/>
  <c r="Y62" i="13"/>
  <c r="X62" i="13"/>
  <c r="T62" i="13"/>
  <c r="S62" i="13"/>
  <c r="R62" i="13"/>
  <c r="Q62" i="13"/>
  <c r="M62" i="13"/>
  <c r="L62" i="13"/>
  <c r="K62" i="13"/>
  <c r="J62" i="13"/>
  <c r="F62" i="13"/>
  <c r="E62" i="13"/>
  <c r="D62" i="13"/>
  <c r="C62" i="13"/>
  <c r="AH61" i="13"/>
  <c r="AG61" i="13"/>
  <c r="AF61" i="13"/>
  <c r="AE61" i="13"/>
  <c r="AA61" i="13"/>
  <c r="Z61" i="13"/>
  <c r="Y61" i="13"/>
  <c r="X61" i="13"/>
  <c r="T61" i="13"/>
  <c r="S61" i="13"/>
  <c r="R61" i="13"/>
  <c r="Q61" i="13"/>
  <c r="M61" i="13"/>
  <c r="L61" i="13"/>
  <c r="K61" i="13"/>
  <c r="J61" i="13"/>
  <c r="F61" i="13"/>
  <c r="E61" i="13"/>
  <c r="D61" i="13"/>
  <c r="C61" i="13"/>
  <c r="AH60" i="13"/>
  <c r="AG60" i="13"/>
  <c r="AF60" i="13"/>
  <c r="AE60" i="13"/>
  <c r="AA60" i="13"/>
  <c r="Z60" i="13"/>
  <c r="Y60" i="13"/>
  <c r="X60" i="13"/>
  <c r="T60" i="13"/>
  <c r="S60" i="13"/>
  <c r="R60" i="13"/>
  <c r="Q60" i="13"/>
  <c r="M60" i="13"/>
  <c r="L60" i="13"/>
  <c r="K60" i="13"/>
  <c r="J60" i="13"/>
  <c r="F60" i="13"/>
  <c r="E60" i="13"/>
  <c r="D60" i="13"/>
  <c r="C60" i="13"/>
  <c r="AH59" i="13"/>
  <c r="AG59" i="13"/>
  <c r="AF59" i="13"/>
  <c r="AE59" i="13"/>
  <c r="AA59" i="13"/>
  <c r="Z59" i="13"/>
  <c r="Y59" i="13"/>
  <c r="X59" i="13"/>
  <c r="T59" i="13"/>
  <c r="S59" i="13"/>
  <c r="R59" i="13"/>
  <c r="Q59" i="13"/>
  <c r="M59" i="13"/>
  <c r="L59" i="13"/>
  <c r="K59" i="13"/>
  <c r="J59" i="13"/>
  <c r="F59" i="13"/>
  <c r="E59" i="13"/>
  <c r="D59" i="13"/>
  <c r="C59" i="13"/>
  <c r="AH58" i="13"/>
  <c r="AG58" i="13"/>
  <c r="AF58" i="13"/>
  <c r="AE58" i="13"/>
  <c r="AA58" i="13"/>
  <c r="Z58" i="13"/>
  <c r="Y58" i="13"/>
  <c r="X58" i="13"/>
  <c r="T58" i="13"/>
  <c r="S58" i="13"/>
  <c r="R58" i="13"/>
  <c r="Q58" i="13"/>
  <c r="M58" i="13"/>
  <c r="L58" i="13"/>
  <c r="K58" i="13"/>
  <c r="J58" i="13"/>
  <c r="F58" i="13"/>
  <c r="E58" i="13"/>
  <c r="D58" i="13"/>
  <c r="C58" i="13"/>
  <c r="AH57" i="13"/>
  <c r="AG57" i="13"/>
  <c r="AF57" i="13"/>
  <c r="AE57" i="13"/>
  <c r="AA57" i="13"/>
  <c r="Z57" i="13"/>
  <c r="Y57" i="13"/>
  <c r="X57" i="13"/>
  <c r="T57" i="13"/>
  <c r="S57" i="13"/>
  <c r="R57" i="13"/>
  <c r="Q57" i="13"/>
  <c r="M57" i="13"/>
  <c r="L57" i="13"/>
  <c r="K57" i="13"/>
  <c r="J57" i="13"/>
  <c r="F57" i="13"/>
  <c r="E57" i="13"/>
  <c r="D57" i="13"/>
  <c r="C57" i="13"/>
  <c r="AH56" i="13"/>
  <c r="AG56" i="13"/>
  <c r="AF56" i="13"/>
  <c r="AE56" i="13"/>
  <c r="AA56" i="13"/>
  <c r="Z56" i="13"/>
  <c r="Y56" i="13"/>
  <c r="X56" i="13"/>
  <c r="T56" i="13"/>
  <c r="S56" i="13"/>
  <c r="R56" i="13"/>
  <c r="Q56" i="13"/>
  <c r="M56" i="13"/>
  <c r="L56" i="13"/>
  <c r="K56" i="13"/>
  <c r="J56" i="13"/>
  <c r="F56" i="13"/>
  <c r="E56" i="13"/>
  <c r="D56" i="13"/>
  <c r="C56" i="13"/>
  <c r="AH55" i="13"/>
  <c r="AG55" i="13"/>
  <c r="AF55" i="13"/>
  <c r="AE55" i="13"/>
  <c r="AA55" i="13"/>
  <c r="Z55" i="13"/>
  <c r="Y55" i="13"/>
  <c r="X55" i="13"/>
  <c r="T55" i="13"/>
  <c r="S55" i="13"/>
  <c r="R55" i="13"/>
  <c r="Q55" i="13"/>
  <c r="M55" i="13"/>
  <c r="L55" i="13"/>
  <c r="K55" i="13"/>
  <c r="J55" i="13"/>
  <c r="F55" i="13"/>
  <c r="E55" i="13"/>
  <c r="D55" i="13"/>
  <c r="C55" i="13"/>
  <c r="AH54" i="13"/>
  <c r="AG54" i="13"/>
  <c r="AF54" i="13"/>
  <c r="AE54" i="13"/>
  <c r="AA54" i="13"/>
  <c r="Z54" i="13"/>
  <c r="Y54" i="13"/>
  <c r="X54" i="13"/>
  <c r="T54" i="13"/>
  <c r="S54" i="13"/>
  <c r="R54" i="13"/>
  <c r="Q54" i="13"/>
  <c r="M54" i="13"/>
  <c r="L54" i="13"/>
  <c r="K54" i="13"/>
  <c r="J54" i="13"/>
  <c r="F54" i="13"/>
  <c r="E54" i="13"/>
  <c r="D54" i="13"/>
  <c r="C54" i="13"/>
  <c r="AH53" i="13"/>
  <c r="AG53" i="13"/>
  <c r="AF53" i="13"/>
  <c r="AE53" i="13"/>
  <c r="AA53" i="13"/>
  <c r="Z53" i="13"/>
  <c r="Y53" i="13"/>
  <c r="X53" i="13"/>
  <c r="T53" i="13"/>
  <c r="S53" i="13"/>
  <c r="R53" i="13"/>
  <c r="Q53" i="13"/>
  <c r="M53" i="13"/>
  <c r="L53" i="13"/>
  <c r="K53" i="13"/>
  <c r="J53" i="13"/>
  <c r="F53" i="13"/>
  <c r="E53" i="13"/>
  <c r="D53" i="13"/>
  <c r="C53" i="13"/>
  <c r="AH52" i="13"/>
  <c r="AG52" i="13"/>
  <c r="AF52" i="13"/>
  <c r="AE52" i="13"/>
  <c r="AA52" i="13"/>
  <c r="Z52" i="13"/>
  <c r="Y52" i="13"/>
  <c r="X52" i="13"/>
  <c r="T52" i="13"/>
  <c r="S52" i="13"/>
  <c r="R52" i="13"/>
  <c r="Q52" i="13"/>
  <c r="M52" i="13"/>
  <c r="L52" i="13"/>
  <c r="K52" i="13"/>
  <c r="J52" i="13"/>
  <c r="F52" i="13"/>
  <c r="E52" i="13"/>
  <c r="D52" i="13"/>
  <c r="C52" i="13"/>
  <c r="AH51" i="13"/>
  <c r="AG51" i="13"/>
  <c r="AF51" i="13"/>
  <c r="AE51" i="13"/>
  <c r="AA51" i="13"/>
  <c r="Z51" i="13"/>
  <c r="Y51" i="13"/>
  <c r="X51" i="13"/>
  <c r="T51" i="13"/>
  <c r="S51" i="13"/>
  <c r="R51" i="13"/>
  <c r="Q51" i="13"/>
  <c r="M51" i="13"/>
  <c r="L51" i="13"/>
  <c r="K51" i="13"/>
  <c r="J51" i="13"/>
  <c r="F51" i="13"/>
  <c r="E51" i="13"/>
  <c r="D51" i="13"/>
  <c r="C51" i="13"/>
  <c r="AH50" i="13"/>
  <c r="AG50" i="13"/>
  <c r="AF50" i="13"/>
  <c r="AE50" i="13"/>
  <c r="AA50" i="13"/>
  <c r="Z50" i="13"/>
  <c r="Y50" i="13"/>
  <c r="X50" i="13"/>
  <c r="T50" i="13"/>
  <c r="S50" i="13"/>
  <c r="R50" i="13"/>
  <c r="Q50" i="13"/>
  <c r="M50" i="13"/>
  <c r="L50" i="13"/>
  <c r="K50" i="13"/>
  <c r="J50" i="13"/>
  <c r="F50" i="13"/>
  <c r="E50" i="13"/>
  <c r="D50" i="13"/>
  <c r="C50" i="13"/>
  <c r="AH49" i="13"/>
  <c r="AG49" i="13"/>
  <c r="AF49" i="13"/>
  <c r="AE49" i="13"/>
  <c r="AA49" i="13"/>
  <c r="Z49" i="13"/>
  <c r="Y49" i="13"/>
  <c r="X49" i="13"/>
  <c r="T49" i="13"/>
  <c r="S49" i="13"/>
  <c r="R49" i="13"/>
  <c r="Q49" i="13"/>
  <c r="M49" i="13"/>
  <c r="L49" i="13"/>
  <c r="K49" i="13"/>
  <c r="J49" i="13"/>
  <c r="F49" i="13"/>
  <c r="E49" i="13"/>
  <c r="D49" i="13"/>
  <c r="C49" i="13"/>
  <c r="AH48" i="13"/>
  <c r="AG48" i="13"/>
  <c r="AF48" i="13"/>
  <c r="AE48" i="13"/>
  <c r="AA48" i="13"/>
  <c r="Z48" i="13"/>
  <c r="Y48" i="13"/>
  <c r="X48" i="13"/>
  <c r="T48" i="13"/>
  <c r="S48" i="13"/>
  <c r="R48" i="13"/>
  <c r="Q48" i="13"/>
  <c r="M48" i="13"/>
  <c r="L48" i="13"/>
  <c r="K48" i="13"/>
  <c r="J48" i="13"/>
  <c r="F48" i="13"/>
  <c r="E48" i="13"/>
  <c r="D48" i="13"/>
  <c r="C48" i="13"/>
  <c r="AH47" i="13"/>
  <c r="AG47" i="13"/>
  <c r="AF47" i="13"/>
  <c r="AE47" i="13"/>
  <c r="AA47" i="13"/>
  <c r="Z47" i="13"/>
  <c r="Y47" i="13"/>
  <c r="X47" i="13"/>
  <c r="T47" i="13"/>
  <c r="S47" i="13"/>
  <c r="R47" i="13"/>
  <c r="Q47" i="13"/>
  <c r="M47" i="13"/>
  <c r="L47" i="13"/>
  <c r="K47" i="13"/>
  <c r="J47" i="13"/>
  <c r="F47" i="13"/>
  <c r="E47" i="13"/>
  <c r="D47" i="13"/>
  <c r="C47" i="13"/>
  <c r="AH46" i="13"/>
  <c r="AG46" i="13"/>
  <c r="AF46" i="13"/>
  <c r="AE46" i="13"/>
  <c r="AA46" i="13"/>
  <c r="Z46" i="13"/>
  <c r="Y46" i="13"/>
  <c r="X46" i="13"/>
  <c r="T46" i="13"/>
  <c r="S46" i="13"/>
  <c r="R46" i="13"/>
  <c r="Q46" i="13"/>
  <c r="M46" i="13"/>
  <c r="L46" i="13"/>
  <c r="K46" i="13"/>
  <c r="J46" i="13"/>
  <c r="F46" i="13"/>
  <c r="E46" i="13"/>
  <c r="D46" i="13"/>
  <c r="C46" i="13"/>
  <c r="AH45" i="13"/>
  <c r="AG45" i="13"/>
  <c r="AF45" i="13"/>
  <c r="AE45" i="13"/>
  <c r="AA45" i="13"/>
  <c r="Z45" i="13"/>
  <c r="Y45" i="13"/>
  <c r="X45" i="13"/>
  <c r="T45" i="13"/>
  <c r="S45" i="13"/>
  <c r="R45" i="13"/>
  <c r="Q45" i="13"/>
  <c r="M45" i="13"/>
  <c r="L45" i="13"/>
  <c r="K45" i="13"/>
  <c r="J45" i="13"/>
  <c r="F45" i="13"/>
  <c r="E45" i="13"/>
  <c r="D45" i="13"/>
  <c r="C45" i="13"/>
  <c r="AH44" i="13"/>
  <c r="AG44" i="13"/>
  <c r="AF44" i="13"/>
  <c r="AE44" i="13"/>
  <c r="AA44" i="13"/>
  <c r="Z44" i="13"/>
  <c r="Y44" i="13"/>
  <c r="X44" i="13"/>
  <c r="T44" i="13"/>
  <c r="S44" i="13"/>
  <c r="R44" i="13"/>
  <c r="Q44" i="13"/>
  <c r="M44" i="13"/>
  <c r="L44" i="13"/>
  <c r="K44" i="13"/>
  <c r="J44" i="13"/>
  <c r="F44" i="13"/>
  <c r="E44" i="13"/>
  <c r="D44" i="13"/>
  <c r="C44" i="13"/>
  <c r="AH43" i="13"/>
  <c r="AG43" i="13"/>
  <c r="AF43" i="13"/>
  <c r="AE43" i="13"/>
  <c r="AA43" i="13"/>
  <c r="Z43" i="13"/>
  <c r="Y43" i="13"/>
  <c r="X43" i="13"/>
  <c r="T43" i="13"/>
  <c r="S43" i="13"/>
  <c r="R43" i="13"/>
  <c r="Q43" i="13"/>
  <c r="M43" i="13"/>
  <c r="L43" i="13"/>
  <c r="K43" i="13"/>
  <c r="J43" i="13"/>
  <c r="F43" i="13"/>
  <c r="E43" i="13"/>
  <c r="D43" i="13"/>
  <c r="C43" i="13"/>
  <c r="AH42" i="13"/>
  <c r="AG42" i="13"/>
  <c r="AF42" i="13"/>
  <c r="AE42" i="13"/>
  <c r="AA42" i="13"/>
  <c r="Z42" i="13"/>
  <c r="Y42" i="13"/>
  <c r="X42" i="13"/>
  <c r="T42" i="13"/>
  <c r="S42" i="13"/>
  <c r="R42" i="13"/>
  <c r="Q42" i="13"/>
  <c r="M42" i="13"/>
  <c r="L42" i="13"/>
  <c r="K42" i="13"/>
  <c r="J42" i="13"/>
  <c r="F42" i="13"/>
  <c r="E42" i="13"/>
  <c r="D42" i="13"/>
  <c r="C42" i="13"/>
  <c r="AH41" i="13"/>
  <c r="AG41" i="13"/>
  <c r="AF41" i="13"/>
  <c r="AE41" i="13"/>
  <c r="AA41" i="13"/>
  <c r="Z41" i="13"/>
  <c r="Y41" i="13"/>
  <c r="X41" i="13"/>
  <c r="T41" i="13"/>
  <c r="S41" i="13"/>
  <c r="R41" i="13"/>
  <c r="Q41" i="13"/>
  <c r="M41" i="13"/>
  <c r="L41" i="13"/>
  <c r="K41" i="13"/>
  <c r="J41" i="13"/>
  <c r="F41" i="13"/>
  <c r="E41" i="13"/>
  <c r="D41" i="13"/>
  <c r="C41" i="13"/>
  <c r="AH40" i="13"/>
  <c r="AG40" i="13"/>
  <c r="AF40" i="13"/>
  <c r="AE40" i="13"/>
  <c r="AA40" i="13"/>
  <c r="Z40" i="13"/>
  <c r="Y40" i="13"/>
  <c r="X40" i="13"/>
  <c r="T40" i="13"/>
  <c r="S40" i="13"/>
  <c r="R40" i="13"/>
  <c r="Q40" i="13"/>
  <c r="M40" i="13"/>
  <c r="L40" i="13"/>
  <c r="K40" i="13"/>
  <c r="J40" i="13"/>
  <c r="F40" i="13"/>
  <c r="E40" i="13"/>
  <c r="D40" i="13"/>
  <c r="C40" i="13"/>
  <c r="AH39" i="13"/>
  <c r="AG39" i="13"/>
  <c r="AF39" i="13"/>
  <c r="AE39" i="13"/>
  <c r="AA39" i="13"/>
  <c r="Z39" i="13"/>
  <c r="Y39" i="13"/>
  <c r="X39" i="13"/>
  <c r="T39" i="13"/>
  <c r="S39" i="13"/>
  <c r="R39" i="13"/>
  <c r="Q39" i="13"/>
  <c r="M39" i="13"/>
  <c r="L39" i="13"/>
  <c r="K39" i="13"/>
  <c r="J39" i="13"/>
  <c r="F39" i="13"/>
  <c r="E39" i="13"/>
  <c r="D39" i="13"/>
  <c r="C39" i="13"/>
  <c r="AH38" i="13"/>
  <c r="AG38" i="13"/>
  <c r="AF38" i="13"/>
  <c r="AE38" i="13"/>
  <c r="AA38" i="13"/>
  <c r="Z38" i="13"/>
  <c r="Y38" i="13"/>
  <c r="X38" i="13"/>
  <c r="T38" i="13"/>
  <c r="S38" i="13"/>
  <c r="R38" i="13"/>
  <c r="Q38" i="13"/>
  <c r="M38" i="13"/>
  <c r="L38" i="13"/>
  <c r="K38" i="13"/>
  <c r="J38" i="13"/>
  <c r="F38" i="13"/>
  <c r="E38" i="13"/>
  <c r="D38" i="13"/>
  <c r="C38" i="13"/>
  <c r="AH37" i="13"/>
  <c r="AG37" i="13"/>
  <c r="AF37" i="13"/>
  <c r="AE37" i="13"/>
  <c r="AA37" i="13"/>
  <c r="Z37" i="13"/>
  <c r="Y37" i="13"/>
  <c r="X37" i="13"/>
  <c r="T37" i="13"/>
  <c r="S37" i="13"/>
  <c r="R37" i="13"/>
  <c r="Q37" i="13"/>
  <c r="M37" i="13"/>
  <c r="L37" i="13"/>
  <c r="K37" i="13"/>
  <c r="J37" i="13"/>
  <c r="F37" i="13"/>
  <c r="E37" i="13"/>
  <c r="D37" i="13"/>
  <c r="C37" i="13"/>
  <c r="AH36" i="13"/>
  <c r="AG36" i="13"/>
  <c r="AF36" i="13"/>
  <c r="AE36" i="13"/>
  <c r="AA36" i="13"/>
  <c r="Z36" i="13"/>
  <c r="Y36" i="13"/>
  <c r="X36" i="13"/>
  <c r="T36" i="13"/>
  <c r="S36" i="13"/>
  <c r="R36" i="13"/>
  <c r="Q36" i="13"/>
  <c r="M36" i="13"/>
  <c r="L36" i="13"/>
  <c r="K36" i="13"/>
  <c r="J36" i="13"/>
  <c r="F36" i="13"/>
  <c r="E36" i="13"/>
  <c r="D36" i="13"/>
  <c r="C36" i="13"/>
  <c r="AH35" i="13"/>
  <c r="AG35" i="13"/>
  <c r="AF35" i="13"/>
  <c r="AE35" i="13"/>
  <c r="AA35" i="13"/>
  <c r="Z35" i="13"/>
  <c r="Y35" i="13"/>
  <c r="X35" i="13"/>
  <c r="T35" i="13"/>
  <c r="S35" i="13"/>
  <c r="R35" i="13"/>
  <c r="Q35" i="13"/>
  <c r="M35" i="13"/>
  <c r="L35" i="13"/>
  <c r="K35" i="13"/>
  <c r="J35" i="13"/>
  <c r="F35" i="13"/>
  <c r="E35" i="13"/>
  <c r="D35" i="13"/>
  <c r="C35" i="13"/>
  <c r="AH34" i="13"/>
  <c r="AG34" i="13"/>
  <c r="AF34" i="13"/>
  <c r="AE34" i="13"/>
  <c r="AA34" i="13"/>
  <c r="Z34" i="13"/>
  <c r="Y34" i="13"/>
  <c r="X34" i="13"/>
  <c r="T34" i="13"/>
  <c r="S34" i="13"/>
  <c r="R34" i="13"/>
  <c r="Q34" i="13"/>
  <c r="M34" i="13"/>
  <c r="L34" i="13"/>
  <c r="K34" i="13"/>
  <c r="J34" i="13"/>
  <c r="F34" i="13"/>
  <c r="E34" i="13"/>
  <c r="D34" i="13"/>
  <c r="C34" i="13"/>
  <c r="AH33" i="13"/>
  <c r="AG33" i="13"/>
  <c r="AF33" i="13"/>
  <c r="AE33" i="13"/>
  <c r="AA33" i="13"/>
  <c r="Z33" i="13"/>
  <c r="Y33" i="13"/>
  <c r="X33" i="13"/>
  <c r="T33" i="13"/>
  <c r="S33" i="13"/>
  <c r="R33" i="13"/>
  <c r="Q33" i="13"/>
  <c r="M33" i="13"/>
  <c r="L33" i="13"/>
  <c r="K33" i="13"/>
  <c r="J33" i="13"/>
  <c r="F33" i="13"/>
  <c r="E33" i="13"/>
  <c r="D33" i="13"/>
  <c r="C33" i="13"/>
  <c r="AH32" i="13"/>
  <c r="AG32" i="13"/>
  <c r="AF32" i="13"/>
  <c r="AE32" i="13"/>
  <c r="AA32" i="13"/>
  <c r="Z32" i="13"/>
  <c r="Y32" i="13"/>
  <c r="X32" i="13"/>
  <c r="T32" i="13"/>
  <c r="S32" i="13"/>
  <c r="R32" i="13"/>
  <c r="Q32" i="13"/>
  <c r="M32" i="13"/>
  <c r="L32" i="13"/>
  <c r="K32" i="13"/>
  <c r="J32" i="13"/>
  <c r="F32" i="13"/>
  <c r="E32" i="13"/>
  <c r="D32" i="13"/>
  <c r="C32" i="13"/>
  <c r="AH31" i="13"/>
  <c r="AG31" i="13"/>
  <c r="AF31" i="13"/>
  <c r="AE31" i="13"/>
  <c r="AA31" i="13"/>
  <c r="Z31" i="13"/>
  <c r="Y31" i="13"/>
  <c r="X31" i="13"/>
  <c r="T31" i="13"/>
  <c r="S31" i="13"/>
  <c r="R31" i="13"/>
  <c r="Q31" i="13"/>
  <c r="M31" i="13"/>
  <c r="L31" i="13"/>
  <c r="K31" i="13"/>
  <c r="J31" i="13"/>
  <c r="F31" i="13"/>
  <c r="E31" i="13"/>
  <c r="D31" i="13"/>
  <c r="C31" i="13"/>
  <c r="AH30" i="13"/>
  <c r="AG30" i="13"/>
  <c r="AF30" i="13"/>
  <c r="AE30" i="13"/>
  <c r="AA30" i="13"/>
  <c r="Z30" i="13"/>
  <c r="Y30" i="13"/>
  <c r="X30" i="13"/>
  <c r="T30" i="13"/>
  <c r="S30" i="13"/>
  <c r="R30" i="13"/>
  <c r="Q30" i="13"/>
  <c r="M30" i="13"/>
  <c r="L30" i="13"/>
  <c r="K30" i="13"/>
  <c r="J30" i="13"/>
  <c r="F30" i="13"/>
  <c r="E30" i="13"/>
  <c r="D30" i="13"/>
  <c r="C30" i="13"/>
  <c r="AH29" i="13"/>
  <c r="AG29" i="13"/>
  <c r="AF29" i="13"/>
  <c r="AE29" i="13"/>
  <c r="AA29" i="13"/>
  <c r="Z29" i="13"/>
  <c r="Y29" i="13"/>
  <c r="X29" i="13"/>
  <c r="T29" i="13"/>
  <c r="S29" i="13"/>
  <c r="R29" i="13"/>
  <c r="Q29" i="13"/>
  <c r="M29" i="13"/>
  <c r="L29" i="13"/>
  <c r="K29" i="13"/>
  <c r="J29" i="13"/>
  <c r="F29" i="13"/>
  <c r="E29" i="13"/>
  <c r="D29" i="13"/>
  <c r="C29" i="13"/>
  <c r="AH28" i="13"/>
  <c r="AG28" i="13"/>
  <c r="AF28" i="13"/>
  <c r="AE28" i="13"/>
  <c r="AA28" i="13"/>
  <c r="Z28" i="13"/>
  <c r="Y28" i="13"/>
  <c r="X28" i="13"/>
  <c r="T28" i="13"/>
  <c r="S28" i="13"/>
  <c r="R28" i="13"/>
  <c r="Q28" i="13"/>
  <c r="M28" i="13"/>
  <c r="L28" i="13"/>
  <c r="K28" i="13"/>
  <c r="J28" i="13"/>
  <c r="F28" i="13"/>
  <c r="E28" i="13"/>
  <c r="D28" i="13"/>
  <c r="AH27" i="13"/>
  <c r="AG27" i="13"/>
  <c r="AF27" i="13"/>
  <c r="AA27" i="13"/>
  <c r="Z27" i="13"/>
  <c r="Y27" i="13"/>
  <c r="T27" i="13"/>
  <c r="S27" i="13"/>
  <c r="R27" i="13"/>
  <c r="M27" i="13"/>
  <c r="L27" i="13"/>
  <c r="K27" i="13"/>
  <c r="F27" i="13"/>
  <c r="E27" i="13"/>
  <c r="D27" i="13"/>
  <c r="AH26" i="13"/>
  <c r="AG26" i="13"/>
  <c r="AF26" i="13"/>
  <c r="AA26" i="13"/>
  <c r="Z26" i="13"/>
  <c r="Y26" i="13"/>
  <c r="T26" i="13"/>
  <c r="S26" i="13"/>
  <c r="R26" i="13"/>
  <c r="M26" i="13"/>
  <c r="L26" i="13"/>
  <c r="K26" i="13"/>
  <c r="F26" i="13"/>
  <c r="E26" i="13"/>
  <c r="D26" i="13"/>
  <c r="AH25" i="13"/>
  <c r="AG25" i="13"/>
  <c r="AF25" i="13"/>
  <c r="AA25" i="13"/>
  <c r="Z25" i="13"/>
  <c r="Y25" i="13"/>
  <c r="T25" i="13"/>
  <c r="S25" i="13"/>
  <c r="R25" i="13"/>
  <c r="M25" i="13"/>
  <c r="L25" i="13"/>
  <c r="K25" i="13"/>
  <c r="F25" i="13"/>
  <c r="E25" i="13"/>
  <c r="D25" i="13"/>
  <c r="AH24" i="13"/>
  <c r="AG24" i="13"/>
  <c r="AF24" i="13"/>
  <c r="AA24" i="13"/>
  <c r="Z24" i="13"/>
  <c r="Y24" i="13"/>
  <c r="T24" i="13"/>
  <c r="S24" i="13"/>
  <c r="R24" i="13"/>
  <c r="M24" i="13"/>
  <c r="L24" i="13"/>
  <c r="K24" i="13"/>
  <c r="F24" i="13"/>
  <c r="E24" i="13"/>
  <c r="D24" i="13"/>
  <c r="AH23" i="13"/>
  <c r="AG23" i="13"/>
  <c r="AF23" i="13"/>
  <c r="AA23" i="13"/>
  <c r="Z23" i="13"/>
  <c r="Y23" i="13"/>
  <c r="T23" i="13"/>
  <c r="S23" i="13"/>
  <c r="R23" i="13"/>
  <c r="M23" i="13"/>
  <c r="L23" i="13"/>
  <c r="K23" i="13"/>
  <c r="F23" i="13"/>
  <c r="E23" i="13"/>
  <c r="D23" i="13"/>
  <c r="AH22" i="13"/>
  <c r="AG22" i="13"/>
  <c r="AF22" i="13"/>
  <c r="AA22" i="13"/>
  <c r="Z22" i="13"/>
  <c r="Y22" i="13"/>
  <c r="T22" i="13"/>
  <c r="S22" i="13"/>
  <c r="R22" i="13"/>
  <c r="M22" i="13"/>
  <c r="L22" i="13"/>
  <c r="K22" i="13"/>
  <c r="F22" i="13"/>
  <c r="E22" i="13"/>
  <c r="D22" i="13"/>
  <c r="AH21" i="13"/>
  <c r="AG21" i="13"/>
  <c r="AF21" i="13"/>
  <c r="AA21" i="13"/>
  <c r="Z21" i="13"/>
  <c r="Y21" i="13"/>
  <c r="T21" i="13"/>
  <c r="S21" i="13"/>
  <c r="R21" i="13"/>
  <c r="M21" i="13"/>
  <c r="L21" i="13"/>
  <c r="K21" i="13"/>
  <c r="F21" i="13"/>
  <c r="E21" i="13"/>
  <c r="D21" i="13"/>
  <c r="AH20" i="13"/>
  <c r="AG20" i="13"/>
  <c r="AF20" i="13"/>
  <c r="AA20" i="13"/>
  <c r="Z20" i="13"/>
  <c r="Y20" i="13"/>
  <c r="T20" i="13"/>
  <c r="S20" i="13"/>
  <c r="R20" i="13"/>
  <c r="M20" i="13"/>
  <c r="L20" i="13"/>
  <c r="K20" i="13"/>
  <c r="F20" i="13"/>
  <c r="E20" i="13"/>
  <c r="D20" i="13"/>
  <c r="AH19" i="13"/>
  <c r="AG19" i="13"/>
  <c r="AF19" i="13"/>
  <c r="AA19" i="13"/>
  <c r="Z19" i="13"/>
  <c r="Y19" i="13"/>
  <c r="T19" i="13"/>
  <c r="S19" i="13"/>
  <c r="R19" i="13"/>
  <c r="M19" i="13"/>
  <c r="L19" i="13"/>
  <c r="K19" i="13"/>
  <c r="F19" i="13"/>
  <c r="E19" i="13"/>
  <c r="D19" i="13"/>
  <c r="AH18" i="13"/>
  <c r="AG18" i="13"/>
  <c r="AF18" i="13"/>
  <c r="AA18" i="13"/>
  <c r="Z18" i="13"/>
  <c r="Y18" i="13"/>
  <c r="T18" i="13"/>
  <c r="S18" i="13"/>
  <c r="R18" i="13"/>
  <c r="M18" i="13"/>
  <c r="L18" i="13"/>
  <c r="K18" i="13"/>
  <c r="F18" i="13"/>
  <c r="E18" i="13"/>
  <c r="D18" i="13"/>
  <c r="AH17" i="13"/>
  <c r="AG17" i="13"/>
  <c r="AF17" i="13"/>
  <c r="AA17" i="13"/>
  <c r="Z17" i="13"/>
  <c r="Y17" i="13"/>
  <c r="T17" i="13"/>
  <c r="S17" i="13"/>
  <c r="R17" i="13"/>
  <c r="M17" i="13"/>
  <c r="L17" i="13"/>
  <c r="K17" i="13"/>
  <c r="F17" i="13"/>
  <c r="E17" i="13"/>
  <c r="D17" i="13"/>
  <c r="AH16" i="13"/>
  <c r="AG16" i="13"/>
  <c r="AF16" i="13"/>
  <c r="AA16" i="13"/>
  <c r="Z16" i="13"/>
  <c r="Y16" i="13"/>
  <c r="T16" i="13"/>
  <c r="S16" i="13"/>
  <c r="R16" i="13"/>
  <c r="M16" i="13"/>
  <c r="L16" i="13"/>
  <c r="K16" i="13"/>
  <c r="F16" i="13"/>
  <c r="E16" i="13"/>
  <c r="D16" i="13"/>
  <c r="AH15" i="13"/>
  <c r="AG15" i="13"/>
  <c r="AF15" i="13"/>
  <c r="AA15" i="13"/>
  <c r="Z15" i="13"/>
  <c r="Y15" i="13"/>
  <c r="T15" i="13"/>
  <c r="S15" i="13"/>
  <c r="R15" i="13"/>
  <c r="M15" i="13"/>
  <c r="L15" i="13"/>
  <c r="K15" i="13"/>
  <c r="F15" i="13"/>
  <c r="E15" i="13"/>
  <c r="D15" i="13"/>
  <c r="AH14" i="13"/>
  <c r="AG14" i="13"/>
  <c r="AF14" i="13"/>
  <c r="AA14" i="13"/>
  <c r="Z14" i="13"/>
  <c r="Y14" i="13"/>
  <c r="T14" i="13"/>
  <c r="S14" i="13"/>
  <c r="R14" i="13"/>
  <c r="M14" i="13"/>
  <c r="L14" i="13"/>
  <c r="K14" i="13"/>
  <c r="F14" i="13"/>
  <c r="E14" i="13"/>
  <c r="D14" i="13"/>
  <c r="AH13" i="13"/>
  <c r="AG13" i="13"/>
  <c r="AF13" i="13"/>
  <c r="AA13" i="13"/>
  <c r="Z13" i="13"/>
  <c r="Y13" i="13"/>
  <c r="T13" i="13"/>
  <c r="S13" i="13"/>
  <c r="R13" i="13"/>
  <c r="M13" i="13"/>
  <c r="L13" i="13"/>
  <c r="K13" i="13"/>
  <c r="F13" i="13"/>
  <c r="E13" i="13"/>
  <c r="D13" i="13"/>
  <c r="AH12" i="13"/>
  <c r="AG12" i="13"/>
  <c r="AF12" i="13"/>
  <c r="AA12" i="13"/>
  <c r="Z12" i="13"/>
  <c r="Y12" i="13"/>
  <c r="T12" i="13"/>
  <c r="S12" i="13"/>
  <c r="R12" i="13"/>
  <c r="M12" i="13"/>
  <c r="L12" i="13"/>
  <c r="K12" i="13"/>
  <c r="F12" i="13"/>
  <c r="E12" i="13"/>
  <c r="D12" i="13"/>
  <c r="AH11" i="13"/>
  <c r="AG11" i="13"/>
  <c r="AF11" i="13"/>
  <c r="AA11" i="13"/>
  <c r="Z11" i="13"/>
  <c r="Y11" i="13"/>
  <c r="T11" i="13"/>
  <c r="S11" i="13"/>
  <c r="R11" i="13"/>
  <c r="M11" i="13"/>
  <c r="L11" i="13"/>
  <c r="K11" i="13"/>
  <c r="F11" i="13"/>
  <c r="E11" i="13"/>
  <c r="D11" i="13"/>
  <c r="AH10" i="13"/>
  <c r="AG10" i="13"/>
  <c r="AF10" i="13"/>
  <c r="AA10" i="13"/>
  <c r="Z10" i="13"/>
  <c r="Y10" i="13"/>
  <c r="T10" i="13"/>
  <c r="S10" i="13"/>
  <c r="R10" i="13"/>
  <c r="M10" i="13"/>
  <c r="L10" i="13"/>
  <c r="K10" i="13"/>
  <c r="F10" i="13"/>
  <c r="E10" i="13"/>
  <c r="D10" i="13"/>
  <c r="AH9" i="13"/>
  <c r="AG9" i="13"/>
  <c r="AF9" i="13"/>
  <c r="AA9" i="13"/>
  <c r="Z9" i="13"/>
  <c r="Y9" i="13"/>
  <c r="T9" i="13"/>
  <c r="S9" i="13"/>
  <c r="R9" i="13"/>
  <c r="M9" i="13"/>
  <c r="L9" i="13"/>
  <c r="K9" i="13"/>
  <c r="F9" i="13"/>
  <c r="E9" i="13"/>
  <c r="D9" i="13"/>
  <c r="AD5" i="13"/>
  <c r="W5" i="13"/>
  <c r="AD4" i="13"/>
  <c r="W4" i="13"/>
  <c r="P4" i="13"/>
  <c r="I4" i="13"/>
  <c r="B4" i="13"/>
  <c r="AH108" i="12"/>
  <c r="AG108" i="12"/>
  <c r="AF108" i="12"/>
  <c r="AE108" i="12"/>
  <c r="AA108" i="12"/>
  <c r="Z108" i="12"/>
  <c r="Y108" i="12"/>
  <c r="X108" i="12"/>
  <c r="T108" i="12"/>
  <c r="S108" i="12"/>
  <c r="R108" i="12"/>
  <c r="Q108" i="12"/>
  <c r="M108" i="12"/>
  <c r="L108" i="12"/>
  <c r="K108" i="12"/>
  <c r="J108" i="12"/>
  <c r="F108" i="12"/>
  <c r="E108" i="12"/>
  <c r="D108" i="12"/>
  <c r="C108" i="12"/>
  <c r="AH107" i="12"/>
  <c r="AG107" i="12"/>
  <c r="AF107" i="12"/>
  <c r="AE107" i="12"/>
  <c r="AA107" i="12"/>
  <c r="Z107" i="12"/>
  <c r="Y107" i="12"/>
  <c r="X107" i="12"/>
  <c r="T107" i="12"/>
  <c r="S107" i="12"/>
  <c r="R107" i="12"/>
  <c r="Q107" i="12"/>
  <c r="M107" i="12"/>
  <c r="L107" i="12"/>
  <c r="K107" i="12"/>
  <c r="J107" i="12"/>
  <c r="F107" i="12"/>
  <c r="E107" i="12"/>
  <c r="D107" i="12"/>
  <c r="C107" i="12"/>
  <c r="AH106" i="12"/>
  <c r="AG106" i="12"/>
  <c r="AF106" i="12"/>
  <c r="AE106" i="12"/>
  <c r="AA106" i="12"/>
  <c r="Z106" i="12"/>
  <c r="Y106" i="12"/>
  <c r="X106" i="12"/>
  <c r="T106" i="12"/>
  <c r="S106" i="12"/>
  <c r="R106" i="12"/>
  <c r="Q106" i="12"/>
  <c r="M106" i="12"/>
  <c r="L106" i="12"/>
  <c r="K106" i="12"/>
  <c r="J106" i="12"/>
  <c r="F106" i="12"/>
  <c r="E106" i="12"/>
  <c r="D106" i="12"/>
  <c r="C106" i="12"/>
  <c r="AH105" i="12"/>
  <c r="AG105" i="12"/>
  <c r="AF105" i="12"/>
  <c r="AE105" i="12"/>
  <c r="AA105" i="12"/>
  <c r="Z105" i="12"/>
  <c r="Y105" i="12"/>
  <c r="X105" i="12"/>
  <c r="T105" i="12"/>
  <c r="S105" i="12"/>
  <c r="R105" i="12"/>
  <c r="Q105" i="12"/>
  <c r="M105" i="12"/>
  <c r="L105" i="12"/>
  <c r="K105" i="12"/>
  <c r="J105" i="12"/>
  <c r="F105" i="12"/>
  <c r="E105" i="12"/>
  <c r="D105" i="12"/>
  <c r="C105" i="12"/>
  <c r="AH104" i="12"/>
  <c r="AG104" i="12"/>
  <c r="AF104" i="12"/>
  <c r="AE104" i="12"/>
  <c r="AA104" i="12"/>
  <c r="Z104" i="12"/>
  <c r="Y104" i="12"/>
  <c r="X104" i="12"/>
  <c r="T104" i="12"/>
  <c r="S104" i="12"/>
  <c r="R104" i="12"/>
  <c r="Q104" i="12"/>
  <c r="M104" i="12"/>
  <c r="L104" i="12"/>
  <c r="K104" i="12"/>
  <c r="J104" i="12"/>
  <c r="F104" i="12"/>
  <c r="E104" i="12"/>
  <c r="D104" i="12"/>
  <c r="C104" i="12"/>
  <c r="AH103" i="12"/>
  <c r="AG103" i="12"/>
  <c r="AF103" i="12"/>
  <c r="AE103" i="12"/>
  <c r="AA103" i="12"/>
  <c r="Z103" i="12"/>
  <c r="Y103" i="12"/>
  <c r="X103" i="12"/>
  <c r="T103" i="12"/>
  <c r="S103" i="12"/>
  <c r="R103" i="12"/>
  <c r="Q103" i="12"/>
  <c r="M103" i="12"/>
  <c r="L103" i="12"/>
  <c r="K103" i="12"/>
  <c r="J103" i="12"/>
  <c r="F103" i="12"/>
  <c r="E103" i="12"/>
  <c r="D103" i="12"/>
  <c r="C103" i="12"/>
  <c r="AH102" i="12"/>
  <c r="AG102" i="12"/>
  <c r="AF102" i="12"/>
  <c r="AE102" i="12"/>
  <c r="AA102" i="12"/>
  <c r="Z102" i="12"/>
  <c r="Y102" i="12"/>
  <c r="X102" i="12"/>
  <c r="T102" i="12"/>
  <c r="S102" i="12"/>
  <c r="R102" i="12"/>
  <c r="Q102" i="12"/>
  <c r="M102" i="12"/>
  <c r="L102" i="12"/>
  <c r="K102" i="12"/>
  <c r="J102" i="12"/>
  <c r="F102" i="12"/>
  <c r="E102" i="12"/>
  <c r="D102" i="12"/>
  <c r="C102" i="12"/>
  <c r="AH101" i="12"/>
  <c r="AG101" i="12"/>
  <c r="AF101" i="12"/>
  <c r="AE101" i="12"/>
  <c r="AA101" i="12"/>
  <c r="Z101" i="12"/>
  <c r="Y101" i="12"/>
  <c r="X101" i="12"/>
  <c r="T101" i="12"/>
  <c r="S101" i="12"/>
  <c r="R101" i="12"/>
  <c r="Q101" i="12"/>
  <c r="M101" i="12"/>
  <c r="L101" i="12"/>
  <c r="K101" i="12"/>
  <c r="J101" i="12"/>
  <c r="F101" i="12"/>
  <c r="E101" i="12"/>
  <c r="D101" i="12"/>
  <c r="C101" i="12"/>
  <c r="AH100" i="12"/>
  <c r="AG100" i="12"/>
  <c r="AF100" i="12"/>
  <c r="AE100" i="12"/>
  <c r="AA100" i="12"/>
  <c r="Z100" i="12"/>
  <c r="Y100" i="12"/>
  <c r="X100" i="12"/>
  <c r="T100" i="12"/>
  <c r="S100" i="12"/>
  <c r="R100" i="12"/>
  <c r="Q100" i="12"/>
  <c r="M100" i="12"/>
  <c r="L100" i="12"/>
  <c r="K100" i="12"/>
  <c r="J100" i="12"/>
  <c r="F100" i="12"/>
  <c r="E100" i="12"/>
  <c r="D100" i="12"/>
  <c r="C100" i="12"/>
  <c r="AH99" i="12"/>
  <c r="AG99" i="12"/>
  <c r="AF99" i="12"/>
  <c r="AE99" i="12"/>
  <c r="AA99" i="12"/>
  <c r="Z99" i="12"/>
  <c r="Y99" i="12"/>
  <c r="X99" i="12"/>
  <c r="T99" i="12"/>
  <c r="S99" i="12"/>
  <c r="R99" i="12"/>
  <c r="Q99" i="12"/>
  <c r="M99" i="12"/>
  <c r="L99" i="12"/>
  <c r="K99" i="12"/>
  <c r="J99" i="12"/>
  <c r="F99" i="12"/>
  <c r="E99" i="12"/>
  <c r="D99" i="12"/>
  <c r="C99" i="12"/>
  <c r="AH98" i="12"/>
  <c r="AG98" i="12"/>
  <c r="AF98" i="12"/>
  <c r="AE98" i="12"/>
  <c r="AA98" i="12"/>
  <c r="Z98" i="12"/>
  <c r="Y98" i="12"/>
  <c r="X98" i="12"/>
  <c r="T98" i="12"/>
  <c r="S98" i="12"/>
  <c r="R98" i="12"/>
  <c r="Q98" i="12"/>
  <c r="M98" i="12"/>
  <c r="L98" i="12"/>
  <c r="K98" i="12"/>
  <c r="J98" i="12"/>
  <c r="F98" i="12"/>
  <c r="E98" i="12"/>
  <c r="D98" i="12"/>
  <c r="C98" i="12"/>
  <c r="AH97" i="12"/>
  <c r="AG97" i="12"/>
  <c r="AF97" i="12"/>
  <c r="AE97" i="12"/>
  <c r="AA97" i="12"/>
  <c r="Z97" i="12"/>
  <c r="Y97" i="12"/>
  <c r="X97" i="12"/>
  <c r="T97" i="12"/>
  <c r="S97" i="12"/>
  <c r="R97" i="12"/>
  <c r="Q97" i="12"/>
  <c r="M97" i="12"/>
  <c r="L97" i="12"/>
  <c r="K97" i="12"/>
  <c r="J97" i="12"/>
  <c r="F97" i="12"/>
  <c r="E97" i="12"/>
  <c r="D97" i="12"/>
  <c r="C97" i="12"/>
  <c r="AH96" i="12"/>
  <c r="AG96" i="12"/>
  <c r="AF96" i="12"/>
  <c r="AE96" i="12"/>
  <c r="AA96" i="12"/>
  <c r="Z96" i="12"/>
  <c r="Y96" i="12"/>
  <c r="X96" i="12"/>
  <c r="T96" i="12"/>
  <c r="S96" i="12"/>
  <c r="R96" i="12"/>
  <c r="Q96" i="12"/>
  <c r="M96" i="12"/>
  <c r="L96" i="12"/>
  <c r="K96" i="12"/>
  <c r="J96" i="12"/>
  <c r="F96" i="12"/>
  <c r="E96" i="12"/>
  <c r="D96" i="12"/>
  <c r="C96" i="12"/>
  <c r="AH95" i="12"/>
  <c r="AG95" i="12"/>
  <c r="AF95" i="12"/>
  <c r="AE95" i="12"/>
  <c r="AA95" i="12"/>
  <c r="Z95" i="12"/>
  <c r="Y95" i="12"/>
  <c r="X95" i="12"/>
  <c r="T95" i="12"/>
  <c r="S95" i="12"/>
  <c r="R95" i="12"/>
  <c r="Q95" i="12"/>
  <c r="M95" i="12"/>
  <c r="L95" i="12"/>
  <c r="K95" i="12"/>
  <c r="J95" i="12"/>
  <c r="F95" i="12"/>
  <c r="E95" i="12"/>
  <c r="D95" i="12"/>
  <c r="C95" i="12"/>
  <c r="AH94" i="12"/>
  <c r="AG94" i="12"/>
  <c r="AF94" i="12"/>
  <c r="AE94" i="12"/>
  <c r="AA94" i="12"/>
  <c r="Z94" i="12"/>
  <c r="Y94" i="12"/>
  <c r="X94" i="12"/>
  <c r="T94" i="12"/>
  <c r="S94" i="12"/>
  <c r="R94" i="12"/>
  <c r="Q94" i="12"/>
  <c r="M94" i="12"/>
  <c r="L94" i="12"/>
  <c r="K94" i="12"/>
  <c r="J94" i="12"/>
  <c r="F94" i="12"/>
  <c r="E94" i="12"/>
  <c r="D94" i="12"/>
  <c r="C94" i="12"/>
  <c r="AH93" i="12"/>
  <c r="AG93" i="12"/>
  <c r="AF93" i="12"/>
  <c r="AE93" i="12"/>
  <c r="AA93" i="12"/>
  <c r="Z93" i="12"/>
  <c r="Y93" i="12"/>
  <c r="X93" i="12"/>
  <c r="T93" i="12"/>
  <c r="S93" i="12"/>
  <c r="R93" i="12"/>
  <c r="Q93" i="12"/>
  <c r="M93" i="12"/>
  <c r="L93" i="12"/>
  <c r="K93" i="12"/>
  <c r="J93" i="12"/>
  <c r="F93" i="12"/>
  <c r="E93" i="12"/>
  <c r="D93" i="12"/>
  <c r="C93" i="12"/>
  <c r="AH92" i="12"/>
  <c r="AG92" i="12"/>
  <c r="AF92" i="12"/>
  <c r="AE92" i="12"/>
  <c r="AA92" i="12"/>
  <c r="Z92" i="12"/>
  <c r="Y92" i="12"/>
  <c r="X92" i="12"/>
  <c r="T92" i="12"/>
  <c r="S92" i="12"/>
  <c r="R92" i="12"/>
  <c r="Q92" i="12"/>
  <c r="M92" i="12"/>
  <c r="L92" i="12"/>
  <c r="K92" i="12"/>
  <c r="J92" i="12"/>
  <c r="F92" i="12"/>
  <c r="E92" i="12"/>
  <c r="D92" i="12"/>
  <c r="C92" i="12"/>
  <c r="AH91" i="12"/>
  <c r="AG91" i="12"/>
  <c r="AF91" i="12"/>
  <c r="AE91" i="12"/>
  <c r="AA91" i="12"/>
  <c r="Z91" i="12"/>
  <c r="Y91" i="12"/>
  <c r="X91" i="12"/>
  <c r="T91" i="12"/>
  <c r="S91" i="12"/>
  <c r="R91" i="12"/>
  <c r="Q91" i="12"/>
  <c r="M91" i="12"/>
  <c r="L91" i="12"/>
  <c r="K91" i="12"/>
  <c r="J91" i="12"/>
  <c r="F91" i="12"/>
  <c r="E91" i="12"/>
  <c r="D91" i="12"/>
  <c r="C91" i="12"/>
  <c r="AH90" i="12"/>
  <c r="AG90" i="12"/>
  <c r="AF90" i="12"/>
  <c r="AE90" i="12"/>
  <c r="AA90" i="12"/>
  <c r="Z90" i="12"/>
  <c r="Y90" i="12"/>
  <c r="X90" i="12"/>
  <c r="T90" i="12"/>
  <c r="S90" i="12"/>
  <c r="R90" i="12"/>
  <c r="Q90" i="12"/>
  <c r="M90" i="12"/>
  <c r="L90" i="12"/>
  <c r="K90" i="12"/>
  <c r="J90" i="12"/>
  <c r="F90" i="12"/>
  <c r="E90" i="12"/>
  <c r="D90" i="12"/>
  <c r="C90" i="12"/>
  <c r="AH89" i="12"/>
  <c r="AG89" i="12"/>
  <c r="AF89" i="12"/>
  <c r="AE89" i="12"/>
  <c r="AA89" i="12"/>
  <c r="Z89" i="12"/>
  <c r="Y89" i="12"/>
  <c r="X89" i="12"/>
  <c r="T89" i="12"/>
  <c r="S89" i="12"/>
  <c r="R89" i="12"/>
  <c r="Q89" i="12"/>
  <c r="M89" i="12"/>
  <c r="L89" i="12"/>
  <c r="K89" i="12"/>
  <c r="J89" i="12"/>
  <c r="F89" i="12"/>
  <c r="E89" i="12"/>
  <c r="D89" i="12"/>
  <c r="C89" i="12"/>
  <c r="AH88" i="12"/>
  <c r="AG88" i="12"/>
  <c r="AF88" i="12"/>
  <c r="AE88" i="12"/>
  <c r="AA88" i="12"/>
  <c r="Z88" i="12"/>
  <c r="Y88" i="12"/>
  <c r="X88" i="12"/>
  <c r="T88" i="12"/>
  <c r="S88" i="12"/>
  <c r="R88" i="12"/>
  <c r="Q88" i="12"/>
  <c r="M88" i="12"/>
  <c r="L88" i="12"/>
  <c r="K88" i="12"/>
  <c r="J88" i="12"/>
  <c r="F88" i="12"/>
  <c r="E88" i="12"/>
  <c r="D88" i="12"/>
  <c r="C88" i="12"/>
  <c r="AH87" i="12"/>
  <c r="AG87" i="12"/>
  <c r="AF87" i="12"/>
  <c r="AE87" i="12"/>
  <c r="AA87" i="12"/>
  <c r="Z87" i="12"/>
  <c r="Y87" i="12"/>
  <c r="X87" i="12"/>
  <c r="T87" i="12"/>
  <c r="S87" i="12"/>
  <c r="R87" i="12"/>
  <c r="Q87" i="12"/>
  <c r="M87" i="12"/>
  <c r="L87" i="12"/>
  <c r="K87" i="12"/>
  <c r="J87" i="12"/>
  <c r="F87" i="12"/>
  <c r="E87" i="12"/>
  <c r="D87" i="12"/>
  <c r="C87" i="12"/>
  <c r="AH86" i="12"/>
  <c r="AG86" i="12"/>
  <c r="AF86" i="12"/>
  <c r="AE86" i="12"/>
  <c r="AA86" i="12"/>
  <c r="Z86" i="12"/>
  <c r="Y86" i="12"/>
  <c r="X86" i="12"/>
  <c r="T86" i="12"/>
  <c r="S86" i="12"/>
  <c r="R86" i="12"/>
  <c r="Q86" i="12"/>
  <c r="M86" i="12"/>
  <c r="L86" i="12"/>
  <c r="K86" i="12"/>
  <c r="J86" i="12"/>
  <c r="F86" i="12"/>
  <c r="E86" i="12"/>
  <c r="D86" i="12"/>
  <c r="C86" i="12"/>
  <c r="AH85" i="12"/>
  <c r="AG85" i="12"/>
  <c r="AF85" i="12"/>
  <c r="AE85" i="12"/>
  <c r="AA85" i="12"/>
  <c r="Z85" i="12"/>
  <c r="Y85" i="12"/>
  <c r="X85" i="12"/>
  <c r="T85" i="12"/>
  <c r="S85" i="12"/>
  <c r="R85" i="12"/>
  <c r="Q85" i="12"/>
  <c r="M85" i="12"/>
  <c r="L85" i="12"/>
  <c r="K85" i="12"/>
  <c r="J85" i="12"/>
  <c r="F85" i="12"/>
  <c r="E85" i="12"/>
  <c r="D85" i="12"/>
  <c r="C85" i="12"/>
  <c r="AH84" i="12"/>
  <c r="AG84" i="12"/>
  <c r="AF84" i="12"/>
  <c r="AE84" i="12"/>
  <c r="AA84" i="12"/>
  <c r="Z84" i="12"/>
  <c r="Y84" i="12"/>
  <c r="X84" i="12"/>
  <c r="T84" i="12"/>
  <c r="S84" i="12"/>
  <c r="R84" i="12"/>
  <c r="Q84" i="12"/>
  <c r="M84" i="12"/>
  <c r="L84" i="12"/>
  <c r="K84" i="12"/>
  <c r="J84" i="12"/>
  <c r="F84" i="12"/>
  <c r="E84" i="12"/>
  <c r="D84" i="12"/>
  <c r="C84" i="12"/>
  <c r="AH83" i="12"/>
  <c r="AG83" i="12"/>
  <c r="AF83" i="12"/>
  <c r="AE83" i="12"/>
  <c r="AA83" i="12"/>
  <c r="Z83" i="12"/>
  <c r="Y83" i="12"/>
  <c r="X83" i="12"/>
  <c r="T83" i="12"/>
  <c r="S83" i="12"/>
  <c r="R83" i="12"/>
  <c r="Q83" i="12"/>
  <c r="M83" i="12"/>
  <c r="L83" i="12"/>
  <c r="K83" i="12"/>
  <c r="J83" i="12"/>
  <c r="F83" i="12"/>
  <c r="E83" i="12"/>
  <c r="D83" i="12"/>
  <c r="C83" i="12"/>
  <c r="AH82" i="12"/>
  <c r="AG82" i="12"/>
  <c r="AF82" i="12"/>
  <c r="AE82" i="12"/>
  <c r="AA82" i="12"/>
  <c r="Z82" i="12"/>
  <c r="Y82" i="12"/>
  <c r="X82" i="12"/>
  <c r="T82" i="12"/>
  <c r="S82" i="12"/>
  <c r="R82" i="12"/>
  <c r="Q82" i="12"/>
  <c r="M82" i="12"/>
  <c r="L82" i="12"/>
  <c r="K82" i="12"/>
  <c r="J82" i="12"/>
  <c r="F82" i="12"/>
  <c r="E82" i="12"/>
  <c r="D82" i="12"/>
  <c r="C82" i="12"/>
  <c r="AH81" i="12"/>
  <c r="AG81" i="12"/>
  <c r="AF81" i="12"/>
  <c r="AE81" i="12"/>
  <c r="AA81" i="12"/>
  <c r="Z81" i="12"/>
  <c r="Y81" i="12"/>
  <c r="X81" i="12"/>
  <c r="T81" i="12"/>
  <c r="S81" i="12"/>
  <c r="R81" i="12"/>
  <c r="Q81" i="12"/>
  <c r="M81" i="12"/>
  <c r="L81" i="12"/>
  <c r="K81" i="12"/>
  <c r="J81" i="12"/>
  <c r="F81" i="12"/>
  <c r="E81" i="12"/>
  <c r="D81" i="12"/>
  <c r="C81" i="12"/>
  <c r="AH80" i="12"/>
  <c r="AG80" i="12"/>
  <c r="AF80" i="12"/>
  <c r="AE80" i="12"/>
  <c r="AA80" i="12"/>
  <c r="Z80" i="12"/>
  <c r="Y80" i="12"/>
  <c r="X80" i="12"/>
  <c r="T80" i="12"/>
  <c r="S80" i="12"/>
  <c r="R80" i="12"/>
  <c r="Q80" i="12"/>
  <c r="M80" i="12"/>
  <c r="L80" i="12"/>
  <c r="K80" i="12"/>
  <c r="J80" i="12"/>
  <c r="F80" i="12"/>
  <c r="E80" i="12"/>
  <c r="D80" i="12"/>
  <c r="C80" i="12"/>
  <c r="AH79" i="12"/>
  <c r="AG79" i="12"/>
  <c r="AF79" i="12"/>
  <c r="AE79" i="12"/>
  <c r="AA79" i="12"/>
  <c r="Z79" i="12"/>
  <c r="Y79" i="12"/>
  <c r="X79" i="12"/>
  <c r="T79" i="12"/>
  <c r="S79" i="12"/>
  <c r="R79" i="12"/>
  <c r="Q79" i="12"/>
  <c r="M79" i="12"/>
  <c r="L79" i="12"/>
  <c r="K79" i="12"/>
  <c r="J79" i="12"/>
  <c r="F79" i="12"/>
  <c r="E79" i="12"/>
  <c r="D79" i="12"/>
  <c r="C79" i="12"/>
  <c r="AH78" i="12"/>
  <c r="AG78" i="12"/>
  <c r="AF78" i="12"/>
  <c r="AE78" i="12"/>
  <c r="AA78" i="12"/>
  <c r="Z78" i="12"/>
  <c r="Y78" i="12"/>
  <c r="X78" i="12"/>
  <c r="T78" i="12"/>
  <c r="S78" i="12"/>
  <c r="R78" i="12"/>
  <c r="Q78" i="12"/>
  <c r="M78" i="12"/>
  <c r="L78" i="12"/>
  <c r="K78" i="12"/>
  <c r="J78" i="12"/>
  <c r="F78" i="12"/>
  <c r="E78" i="12"/>
  <c r="D78" i="12"/>
  <c r="C78" i="12"/>
  <c r="AH77" i="12"/>
  <c r="AG77" i="12"/>
  <c r="AF77" i="12"/>
  <c r="AE77" i="12"/>
  <c r="AA77" i="12"/>
  <c r="Z77" i="12"/>
  <c r="Y77" i="12"/>
  <c r="X77" i="12"/>
  <c r="T77" i="12"/>
  <c r="S77" i="12"/>
  <c r="R77" i="12"/>
  <c r="Q77" i="12"/>
  <c r="M77" i="12"/>
  <c r="L77" i="12"/>
  <c r="K77" i="12"/>
  <c r="J77" i="12"/>
  <c r="F77" i="12"/>
  <c r="E77" i="12"/>
  <c r="D77" i="12"/>
  <c r="C77" i="12"/>
  <c r="AH76" i="12"/>
  <c r="AG76" i="12"/>
  <c r="AF76" i="12"/>
  <c r="AE76" i="12"/>
  <c r="AA76" i="12"/>
  <c r="Z76" i="12"/>
  <c r="Y76" i="12"/>
  <c r="X76" i="12"/>
  <c r="T76" i="12"/>
  <c r="S76" i="12"/>
  <c r="R76" i="12"/>
  <c r="Q76" i="12"/>
  <c r="M76" i="12"/>
  <c r="L76" i="12"/>
  <c r="K76" i="12"/>
  <c r="J76" i="12"/>
  <c r="F76" i="12"/>
  <c r="E76" i="12"/>
  <c r="D76" i="12"/>
  <c r="C76" i="12"/>
  <c r="AH75" i="12"/>
  <c r="AG75" i="12"/>
  <c r="AF75" i="12"/>
  <c r="AE75" i="12"/>
  <c r="AA75" i="12"/>
  <c r="Z75" i="12"/>
  <c r="Y75" i="12"/>
  <c r="X75" i="12"/>
  <c r="T75" i="12"/>
  <c r="S75" i="12"/>
  <c r="R75" i="12"/>
  <c r="Q75" i="12"/>
  <c r="M75" i="12"/>
  <c r="L75" i="12"/>
  <c r="K75" i="12"/>
  <c r="J75" i="12"/>
  <c r="F75" i="12"/>
  <c r="E75" i="12"/>
  <c r="D75" i="12"/>
  <c r="C75" i="12"/>
  <c r="AH74" i="12"/>
  <c r="AG74" i="12"/>
  <c r="AF74" i="12"/>
  <c r="AE74" i="12"/>
  <c r="AA74" i="12"/>
  <c r="Z74" i="12"/>
  <c r="Y74" i="12"/>
  <c r="X74" i="12"/>
  <c r="T74" i="12"/>
  <c r="S74" i="12"/>
  <c r="R74" i="12"/>
  <c r="Q74" i="12"/>
  <c r="M74" i="12"/>
  <c r="L74" i="12"/>
  <c r="K74" i="12"/>
  <c r="J74" i="12"/>
  <c r="F74" i="12"/>
  <c r="E74" i="12"/>
  <c r="D74" i="12"/>
  <c r="C74" i="12"/>
  <c r="AH73" i="12"/>
  <c r="AG73" i="12"/>
  <c r="AF73" i="12"/>
  <c r="AE73" i="12"/>
  <c r="AA73" i="12"/>
  <c r="Z73" i="12"/>
  <c r="Y73" i="12"/>
  <c r="X73" i="12"/>
  <c r="T73" i="12"/>
  <c r="S73" i="12"/>
  <c r="R73" i="12"/>
  <c r="Q73" i="12"/>
  <c r="M73" i="12"/>
  <c r="L73" i="12"/>
  <c r="K73" i="12"/>
  <c r="J73" i="12"/>
  <c r="F73" i="12"/>
  <c r="E73" i="12"/>
  <c r="D73" i="12"/>
  <c r="C73" i="12"/>
  <c r="AH72" i="12"/>
  <c r="AG72" i="12"/>
  <c r="AF72" i="12"/>
  <c r="AE72" i="12"/>
  <c r="AA72" i="12"/>
  <c r="Z72" i="12"/>
  <c r="Y72" i="12"/>
  <c r="X72" i="12"/>
  <c r="T72" i="12"/>
  <c r="S72" i="12"/>
  <c r="R72" i="12"/>
  <c r="Q72" i="12"/>
  <c r="M72" i="12"/>
  <c r="L72" i="12"/>
  <c r="K72" i="12"/>
  <c r="J72" i="12"/>
  <c r="F72" i="12"/>
  <c r="E72" i="12"/>
  <c r="D72" i="12"/>
  <c r="C72" i="12"/>
  <c r="AH71" i="12"/>
  <c r="AG71" i="12"/>
  <c r="AF71" i="12"/>
  <c r="AE71" i="12"/>
  <c r="AA71" i="12"/>
  <c r="Z71" i="12"/>
  <c r="Y71" i="12"/>
  <c r="X71" i="12"/>
  <c r="T71" i="12"/>
  <c r="S71" i="12"/>
  <c r="R71" i="12"/>
  <c r="Q71" i="12"/>
  <c r="M71" i="12"/>
  <c r="L71" i="12"/>
  <c r="K71" i="12"/>
  <c r="J71" i="12"/>
  <c r="F71" i="12"/>
  <c r="E71" i="12"/>
  <c r="D71" i="12"/>
  <c r="C71" i="12"/>
  <c r="AH70" i="12"/>
  <c r="AG70" i="12"/>
  <c r="AF70" i="12"/>
  <c r="AE70" i="12"/>
  <c r="AA70" i="12"/>
  <c r="Z70" i="12"/>
  <c r="Y70" i="12"/>
  <c r="X70" i="12"/>
  <c r="T70" i="12"/>
  <c r="S70" i="12"/>
  <c r="R70" i="12"/>
  <c r="Q70" i="12"/>
  <c r="M70" i="12"/>
  <c r="L70" i="12"/>
  <c r="K70" i="12"/>
  <c r="J70" i="12"/>
  <c r="F70" i="12"/>
  <c r="E70" i="12"/>
  <c r="D70" i="12"/>
  <c r="C70" i="12"/>
  <c r="AH69" i="12"/>
  <c r="AG69" i="12"/>
  <c r="AF69" i="12"/>
  <c r="AE69" i="12"/>
  <c r="AA69" i="12"/>
  <c r="Z69" i="12"/>
  <c r="Y69" i="12"/>
  <c r="X69" i="12"/>
  <c r="T69" i="12"/>
  <c r="S69" i="12"/>
  <c r="R69" i="12"/>
  <c r="Q69" i="12"/>
  <c r="M69" i="12"/>
  <c r="L69" i="12"/>
  <c r="K69" i="12"/>
  <c r="J69" i="12"/>
  <c r="F69" i="12"/>
  <c r="E69" i="12"/>
  <c r="D69" i="12"/>
  <c r="C69" i="12"/>
  <c r="AH68" i="12"/>
  <c r="AG68" i="12"/>
  <c r="AF68" i="12"/>
  <c r="AE68" i="12"/>
  <c r="AA68" i="12"/>
  <c r="Z68" i="12"/>
  <c r="Y68" i="12"/>
  <c r="X68" i="12"/>
  <c r="T68" i="12"/>
  <c r="S68" i="12"/>
  <c r="R68" i="12"/>
  <c r="Q68" i="12"/>
  <c r="M68" i="12"/>
  <c r="L68" i="12"/>
  <c r="K68" i="12"/>
  <c r="J68" i="12"/>
  <c r="F68" i="12"/>
  <c r="E68" i="12"/>
  <c r="D68" i="12"/>
  <c r="C68" i="12"/>
  <c r="AH67" i="12"/>
  <c r="AG67" i="12"/>
  <c r="AF67" i="12"/>
  <c r="AE67" i="12"/>
  <c r="AA67" i="12"/>
  <c r="Z67" i="12"/>
  <c r="Y67" i="12"/>
  <c r="X67" i="12"/>
  <c r="T67" i="12"/>
  <c r="S67" i="12"/>
  <c r="R67" i="12"/>
  <c r="Q67" i="12"/>
  <c r="M67" i="12"/>
  <c r="L67" i="12"/>
  <c r="K67" i="12"/>
  <c r="J67" i="12"/>
  <c r="F67" i="12"/>
  <c r="E67" i="12"/>
  <c r="D67" i="12"/>
  <c r="C67" i="12"/>
  <c r="AH66" i="12"/>
  <c r="AG66" i="12"/>
  <c r="AF66" i="12"/>
  <c r="AE66" i="12"/>
  <c r="AA66" i="12"/>
  <c r="Z66" i="12"/>
  <c r="Y66" i="12"/>
  <c r="X66" i="12"/>
  <c r="T66" i="12"/>
  <c r="S66" i="12"/>
  <c r="R66" i="12"/>
  <c r="Q66" i="12"/>
  <c r="M66" i="12"/>
  <c r="L66" i="12"/>
  <c r="K66" i="12"/>
  <c r="J66" i="12"/>
  <c r="F66" i="12"/>
  <c r="E66" i="12"/>
  <c r="D66" i="12"/>
  <c r="C66" i="12"/>
  <c r="AH65" i="12"/>
  <c r="AG65" i="12"/>
  <c r="AF65" i="12"/>
  <c r="AE65" i="12"/>
  <c r="AA65" i="12"/>
  <c r="Z65" i="12"/>
  <c r="Y65" i="12"/>
  <c r="X65" i="12"/>
  <c r="T65" i="12"/>
  <c r="S65" i="12"/>
  <c r="R65" i="12"/>
  <c r="Q65" i="12"/>
  <c r="M65" i="12"/>
  <c r="L65" i="12"/>
  <c r="K65" i="12"/>
  <c r="J65" i="12"/>
  <c r="F65" i="12"/>
  <c r="E65" i="12"/>
  <c r="D65" i="12"/>
  <c r="C65" i="12"/>
  <c r="AH64" i="12"/>
  <c r="AG64" i="12"/>
  <c r="AF64" i="12"/>
  <c r="AE64" i="12"/>
  <c r="AA64" i="12"/>
  <c r="Z64" i="12"/>
  <c r="Y64" i="12"/>
  <c r="X64" i="12"/>
  <c r="T64" i="12"/>
  <c r="S64" i="12"/>
  <c r="R64" i="12"/>
  <c r="Q64" i="12"/>
  <c r="M64" i="12"/>
  <c r="L64" i="12"/>
  <c r="K64" i="12"/>
  <c r="J64" i="12"/>
  <c r="F64" i="12"/>
  <c r="E64" i="12"/>
  <c r="D64" i="12"/>
  <c r="C64" i="12"/>
  <c r="AH63" i="12"/>
  <c r="AG63" i="12"/>
  <c r="AF63" i="12"/>
  <c r="AE63" i="12"/>
  <c r="AA63" i="12"/>
  <c r="Z63" i="12"/>
  <c r="Y63" i="12"/>
  <c r="X63" i="12"/>
  <c r="T63" i="12"/>
  <c r="S63" i="12"/>
  <c r="R63" i="12"/>
  <c r="Q63" i="12"/>
  <c r="M63" i="12"/>
  <c r="L63" i="12"/>
  <c r="K63" i="12"/>
  <c r="J63" i="12"/>
  <c r="F63" i="12"/>
  <c r="E63" i="12"/>
  <c r="D63" i="12"/>
  <c r="C63" i="12"/>
  <c r="AH62" i="12"/>
  <c r="AG62" i="12"/>
  <c r="AF62" i="12"/>
  <c r="AE62" i="12"/>
  <c r="AA62" i="12"/>
  <c r="Z62" i="12"/>
  <c r="Y62" i="12"/>
  <c r="X62" i="12"/>
  <c r="T62" i="12"/>
  <c r="S62" i="12"/>
  <c r="R62" i="12"/>
  <c r="Q62" i="12"/>
  <c r="M62" i="12"/>
  <c r="L62" i="12"/>
  <c r="K62" i="12"/>
  <c r="J62" i="12"/>
  <c r="F62" i="12"/>
  <c r="E62" i="12"/>
  <c r="D62" i="12"/>
  <c r="C62" i="12"/>
  <c r="AH61" i="12"/>
  <c r="AG61" i="12"/>
  <c r="AF61" i="12"/>
  <c r="AE61" i="12"/>
  <c r="AA61" i="12"/>
  <c r="Z61" i="12"/>
  <c r="Y61" i="12"/>
  <c r="X61" i="12"/>
  <c r="T61" i="12"/>
  <c r="S61" i="12"/>
  <c r="R61" i="12"/>
  <c r="Q61" i="12"/>
  <c r="M61" i="12"/>
  <c r="L61" i="12"/>
  <c r="K61" i="12"/>
  <c r="J61" i="12"/>
  <c r="F61" i="12"/>
  <c r="E61" i="12"/>
  <c r="D61" i="12"/>
  <c r="C61" i="12"/>
  <c r="AH60" i="12"/>
  <c r="AG60" i="12"/>
  <c r="AF60" i="12"/>
  <c r="AE60" i="12"/>
  <c r="AA60" i="12"/>
  <c r="Z60" i="12"/>
  <c r="Y60" i="12"/>
  <c r="X60" i="12"/>
  <c r="T60" i="12"/>
  <c r="S60" i="12"/>
  <c r="R60" i="12"/>
  <c r="Q60" i="12"/>
  <c r="M60" i="12"/>
  <c r="L60" i="12"/>
  <c r="K60" i="12"/>
  <c r="J60" i="12"/>
  <c r="F60" i="12"/>
  <c r="E60" i="12"/>
  <c r="D60" i="12"/>
  <c r="C60" i="12"/>
  <c r="AH59" i="12"/>
  <c r="AG59" i="12"/>
  <c r="AF59" i="12"/>
  <c r="AE59" i="12"/>
  <c r="AA59" i="12"/>
  <c r="Z59" i="12"/>
  <c r="Y59" i="12"/>
  <c r="X59" i="12"/>
  <c r="T59" i="12"/>
  <c r="S59" i="12"/>
  <c r="R59" i="12"/>
  <c r="Q59" i="12"/>
  <c r="M59" i="12"/>
  <c r="L59" i="12"/>
  <c r="K59" i="12"/>
  <c r="J59" i="12"/>
  <c r="F59" i="12"/>
  <c r="E59" i="12"/>
  <c r="D59" i="12"/>
  <c r="C59" i="12"/>
  <c r="AH58" i="12"/>
  <c r="AG58" i="12"/>
  <c r="AF58" i="12"/>
  <c r="AE58" i="12"/>
  <c r="AA58" i="12"/>
  <c r="Z58" i="12"/>
  <c r="Y58" i="12"/>
  <c r="X58" i="12"/>
  <c r="T58" i="12"/>
  <c r="S58" i="12"/>
  <c r="R58" i="12"/>
  <c r="Q58" i="12"/>
  <c r="M58" i="12"/>
  <c r="L58" i="12"/>
  <c r="K58" i="12"/>
  <c r="J58" i="12"/>
  <c r="F58" i="12"/>
  <c r="E58" i="12"/>
  <c r="D58" i="12"/>
  <c r="C58" i="12"/>
  <c r="AH57" i="12"/>
  <c r="AG57" i="12"/>
  <c r="AF57" i="12"/>
  <c r="AE57" i="12"/>
  <c r="AA57" i="12"/>
  <c r="Z57" i="12"/>
  <c r="Y57" i="12"/>
  <c r="X57" i="12"/>
  <c r="T57" i="12"/>
  <c r="S57" i="12"/>
  <c r="R57" i="12"/>
  <c r="Q57" i="12"/>
  <c r="M57" i="12"/>
  <c r="L57" i="12"/>
  <c r="K57" i="12"/>
  <c r="J57" i="12"/>
  <c r="F57" i="12"/>
  <c r="E57" i="12"/>
  <c r="D57" i="12"/>
  <c r="C57" i="12"/>
  <c r="AH56" i="12"/>
  <c r="AG56" i="12"/>
  <c r="AF56" i="12"/>
  <c r="AE56" i="12"/>
  <c r="AA56" i="12"/>
  <c r="Z56" i="12"/>
  <c r="Y56" i="12"/>
  <c r="X56" i="12"/>
  <c r="T56" i="12"/>
  <c r="S56" i="12"/>
  <c r="R56" i="12"/>
  <c r="Q56" i="12"/>
  <c r="M56" i="12"/>
  <c r="L56" i="12"/>
  <c r="K56" i="12"/>
  <c r="J56" i="12"/>
  <c r="F56" i="12"/>
  <c r="E56" i="12"/>
  <c r="D56" i="12"/>
  <c r="C56" i="12"/>
  <c r="AH55" i="12"/>
  <c r="AG55" i="12"/>
  <c r="AF55" i="12"/>
  <c r="AE55" i="12"/>
  <c r="AA55" i="12"/>
  <c r="Z55" i="12"/>
  <c r="Y55" i="12"/>
  <c r="X55" i="12"/>
  <c r="T55" i="12"/>
  <c r="S55" i="12"/>
  <c r="R55" i="12"/>
  <c r="Q55" i="12"/>
  <c r="M55" i="12"/>
  <c r="L55" i="12"/>
  <c r="K55" i="12"/>
  <c r="J55" i="12"/>
  <c r="F55" i="12"/>
  <c r="E55" i="12"/>
  <c r="D55" i="12"/>
  <c r="C55" i="12"/>
  <c r="AH54" i="12"/>
  <c r="AG54" i="12"/>
  <c r="AF54" i="12"/>
  <c r="AE54" i="12"/>
  <c r="AA54" i="12"/>
  <c r="Z54" i="12"/>
  <c r="Y54" i="12"/>
  <c r="X54" i="12"/>
  <c r="T54" i="12"/>
  <c r="S54" i="12"/>
  <c r="R54" i="12"/>
  <c r="Q54" i="12"/>
  <c r="M54" i="12"/>
  <c r="L54" i="12"/>
  <c r="K54" i="12"/>
  <c r="J54" i="12"/>
  <c r="F54" i="12"/>
  <c r="E54" i="12"/>
  <c r="D54" i="12"/>
  <c r="C54" i="12"/>
  <c r="AH53" i="12"/>
  <c r="AG53" i="12"/>
  <c r="AF53" i="12"/>
  <c r="AE53" i="12"/>
  <c r="AA53" i="12"/>
  <c r="Z53" i="12"/>
  <c r="Y53" i="12"/>
  <c r="X53" i="12"/>
  <c r="T53" i="12"/>
  <c r="S53" i="12"/>
  <c r="R53" i="12"/>
  <c r="Q53" i="12"/>
  <c r="M53" i="12"/>
  <c r="L53" i="12"/>
  <c r="K53" i="12"/>
  <c r="J53" i="12"/>
  <c r="F53" i="12"/>
  <c r="E53" i="12"/>
  <c r="D53" i="12"/>
  <c r="C53" i="12"/>
  <c r="AH52" i="12"/>
  <c r="AG52" i="12"/>
  <c r="AF52" i="12"/>
  <c r="AE52" i="12"/>
  <c r="AA52" i="12"/>
  <c r="Z52" i="12"/>
  <c r="Y52" i="12"/>
  <c r="X52" i="12"/>
  <c r="T52" i="12"/>
  <c r="S52" i="12"/>
  <c r="R52" i="12"/>
  <c r="Q52" i="12"/>
  <c r="M52" i="12"/>
  <c r="L52" i="12"/>
  <c r="K52" i="12"/>
  <c r="J52" i="12"/>
  <c r="F52" i="12"/>
  <c r="E52" i="12"/>
  <c r="D52" i="12"/>
  <c r="C52" i="12"/>
  <c r="AH51" i="12"/>
  <c r="AG51" i="12"/>
  <c r="AF51" i="12"/>
  <c r="AE51" i="12"/>
  <c r="AA51" i="12"/>
  <c r="Z51" i="12"/>
  <c r="Y51" i="12"/>
  <c r="X51" i="12"/>
  <c r="T51" i="12"/>
  <c r="S51" i="12"/>
  <c r="R51" i="12"/>
  <c r="Q51" i="12"/>
  <c r="M51" i="12"/>
  <c r="L51" i="12"/>
  <c r="K51" i="12"/>
  <c r="J51" i="12"/>
  <c r="F51" i="12"/>
  <c r="E51" i="12"/>
  <c r="D51" i="12"/>
  <c r="C51" i="12"/>
  <c r="AH50" i="12"/>
  <c r="AG50" i="12"/>
  <c r="AF50" i="12"/>
  <c r="AE50" i="12"/>
  <c r="AA50" i="12"/>
  <c r="Z50" i="12"/>
  <c r="Y50" i="12"/>
  <c r="X50" i="12"/>
  <c r="T50" i="12"/>
  <c r="S50" i="12"/>
  <c r="R50" i="12"/>
  <c r="Q50" i="12"/>
  <c r="M50" i="12"/>
  <c r="L50" i="12"/>
  <c r="K50" i="12"/>
  <c r="J50" i="12"/>
  <c r="F50" i="12"/>
  <c r="E50" i="12"/>
  <c r="D50" i="12"/>
  <c r="C50" i="12"/>
  <c r="AH49" i="12"/>
  <c r="AG49" i="12"/>
  <c r="AF49" i="12"/>
  <c r="AE49" i="12"/>
  <c r="AA49" i="12"/>
  <c r="Z49" i="12"/>
  <c r="Y49" i="12"/>
  <c r="X49" i="12"/>
  <c r="T49" i="12"/>
  <c r="S49" i="12"/>
  <c r="R49" i="12"/>
  <c r="Q49" i="12"/>
  <c r="M49" i="12"/>
  <c r="L49" i="12"/>
  <c r="K49" i="12"/>
  <c r="J49" i="12"/>
  <c r="F49" i="12"/>
  <c r="E49" i="12"/>
  <c r="D49" i="12"/>
  <c r="C49" i="12"/>
  <c r="AH48" i="12"/>
  <c r="AG48" i="12"/>
  <c r="AF48" i="12"/>
  <c r="AE48" i="12"/>
  <c r="AA48" i="12"/>
  <c r="Z48" i="12"/>
  <c r="Y48" i="12"/>
  <c r="X48" i="12"/>
  <c r="T48" i="12"/>
  <c r="S48" i="12"/>
  <c r="R48" i="12"/>
  <c r="Q48" i="12"/>
  <c r="M48" i="12"/>
  <c r="L48" i="12"/>
  <c r="K48" i="12"/>
  <c r="J48" i="12"/>
  <c r="F48" i="12"/>
  <c r="E48" i="12"/>
  <c r="D48" i="12"/>
  <c r="C48" i="12"/>
  <c r="AH47" i="12"/>
  <c r="AG47" i="12"/>
  <c r="AF47" i="12"/>
  <c r="AE47" i="12"/>
  <c r="AA47" i="12"/>
  <c r="Z47" i="12"/>
  <c r="Y47" i="12"/>
  <c r="X47" i="12"/>
  <c r="T47" i="12"/>
  <c r="S47" i="12"/>
  <c r="R47" i="12"/>
  <c r="Q47" i="12"/>
  <c r="M47" i="12"/>
  <c r="L47" i="12"/>
  <c r="K47" i="12"/>
  <c r="J47" i="12"/>
  <c r="F47" i="12"/>
  <c r="E47" i="12"/>
  <c r="D47" i="12"/>
  <c r="C47" i="12"/>
  <c r="AH46" i="12"/>
  <c r="AG46" i="12"/>
  <c r="AF46" i="12"/>
  <c r="AE46" i="12"/>
  <c r="AA46" i="12"/>
  <c r="Z46" i="12"/>
  <c r="Y46" i="12"/>
  <c r="X46" i="12"/>
  <c r="T46" i="12"/>
  <c r="S46" i="12"/>
  <c r="R46" i="12"/>
  <c r="Q46" i="12"/>
  <c r="M46" i="12"/>
  <c r="L46" i="12"/>
  <c r="K46" i="12"/>
  <c r="J46" i="12"/>
  <c r="F46" i="12"/>
  <c r="E46" i="12"/>
  <c r="D46" i="12"/>
  <c r="C46" i="12"/>
  <c r="AH45" i="12"/>
  <c r="AG45" i="12"/>
  <c r="AF45" i="12"/>
  <c r="AE45" i="12"/>
  <c r="AA45" i="12"/>
  <c r="Z45" i="12"/>
  <c r="Y45" i="12"/>
  <c r="X45" i="12"/>
  <c r="T45" i="12"/>
  <c r="S45" i="12"/>
  <c r="R45" i="12"/>
  <c r="Q45" i="12"/>
  <c r="M45" i="12"/>
  <c r="L45" i="12"/>
  <c r="K45" i="12"/>
  <c r="J45" i="12"/>
  <c r="F45" i="12"/>
  <c r="E45" i="12"/>
  <c r="D45" i="12"/>
  <c r="C45" i="12"/>
  <c r="AH44" i="12"/>
  <c r="AG44" i="12"/>
  <c r="AF44" i="12"/>
  <c r="AE44" i="12"/>
  <c r="AA44" i="12"/>
  <c r="Z44" i="12"/>
  <c r="Y44" i="12"/>
  <c r="X44" i="12"/>
  <c r="T44" i="12"/>
  <c r="S44" i="12"/>
  <c r="R44" i="12"/>
  <c r="Q44" i="12"/>
  <c r="M44" i="12"/>
  <c r="L44" i="12"/>
  <c r="K44" i="12"/>
  <c r="J44" i="12"/>
  <c r="F44" i="12"/>
  <c r="E44" i="12"/>
  <c r="D44" i="12"/>
  <c r="C44" i="12"/>
  <c r="AH43" i="12"/>
  <c r="AG43" i="12"/>
  <c r="AF43" i="12"/>
  <c r="AE43" i="12"/>
  <c r="AA43" i="12"/>
  <c r="Z43" i="12"/>
  <c r="Y43" i="12"/>
  <c r="X43" i="12"/>
  <c r="T43" i="12"/>
  <c r="S43" i="12"/>
  <c r="R43" i="12"/>
  <c r="Q43" i="12"/>
  <c r="M43" i="12"/>
  <c r="L43" i="12"/>
  <c r="K43" i="12"/>
  <c r="J43" i="12"/>
  <c r="F43" i="12"/>
  <c r="E43" i="12"/>
  <c r="D43" i="12"/>
  <c r="C43" i="12"/>
  <c r="AH42" i="12"/>
  <c r="AG42" i="12"/>
  <c r="AF42" i="12"/>
  <c r="AE42" i="12"/>
  <c r="AA42" i="12"/>
  <c r="Z42" i="12"/>
  <c r="Y42" i="12"/>
  <c r="X42" i="12"/>
  <c r="T42" i="12"/>
  <c r="S42" i="12"/>
  <c r="R42" i="12"/>
  <c r="Q42" i="12"/>
  <c r="M42" i="12"/>
  <c r="L42" i="12"/>
  <c r="K42" i="12"/>
  <c r="J42" i="12"/>
  <c r="F42" i="12"/>
  <c r="E42" i="12"/>
  <c r="D42" i="12"/>
  <c r="C42" i="12"/>
  <c r="AH41" i="12"/>
  <c r="AG41" i="12"/>
  <c r="AF41" i="12"/>
  <c r="AE41" i="12"/>
  <c r="AA41" i="12"/>
  <c r="Z41" i="12"/>
  <c r="Y41" i="12"/>
  <c r="X41" i="12"/>
  <c r="T41" i="12"/>
  <c r="S41" i="12"/>
  <c r="R41" i="12"/>
  <c r="Q41" i="12"/>
  <c r="M41" i="12"/>
  <c r="L41" i="12"/>
  <c r="K41" i="12"/>
  <c r="J41" i="12"/>
  <c r="F41" i="12"/>
  <c r="E41" i="12"/>
  <c r="D41" i="12"/>
  <c r="C41" i="12"/>
  <c r="AH40" i="12"/>
  <c r="AG40" i="12"/>
  <c r="AF40" i="12"/>
  <c r="AE40" i="12"/>
  <c r="AA40" i="12"/>
  <c r="Z40" i="12"/>
  <c r="Y40" i="12"/>
  <c r="X40" i="12"/>
  <c r="T40" i="12"/>
  <c r="S40" i="12"/>
  <c r="R40" i="12"/>
  <c r="Q40" i="12"/>
  <c r="M40" i="12"/>
  <c r="L40" i="12"/>
  <c r="K40" i="12"/>
  <c r="J40" i="12"/>
  <c r="F40" i="12"/>
  <c r="E40" i="12"/>
  <c r="D40" i="12"/>
  <c r="C40" i="12"/>
  <c r="AH39" i="12"/>
  <c r="AG39" i="12"/>
  <c r="AF39" i="12"/>
  <c r="AE39" i="12"/>
  <c r="AA39" i="12"/>
  <c r="Z39" i="12"/>
  <c r="Y39" i="12"/>
  <c r="X39" i="12"/>
  <c r="T39" i="12"/>
  <c r="S39" i="12"/>
  <c r="R39" i="12"/>
  <c r="Q39" i="12"/>
  <c r="M39" i="12"/>
  <c r="L39" i="12"/>
  <c r="K39" i="12"/>
  <c r="J39" i="12"/>
  <c r="F39" i="12"/>
  <c r="E39" i="12"/>
  <c r="D39" i="12"/>
  <c r="C39" i="12"/>
  <c r="AH38" i="12"/>
  <c r="AG38" i="12"/>
  <c r="AF38" i="12"/>
  <c r="AE38" i="12"/>
  <c r="AA38" i="12"/>
  <c r="Z38" i="12"/>
  <c r="Y38" i="12"/>
  <c r="X38" i="12"/>
  <c r="T38" i="12"/>
  <c r="S38" i="12"/>
  <c r="R38" i="12"/>
  <c r="Q38" i="12"/>
  <c r="M38" i="12"/>
  <c r="L38" i="12"/>
  <c r="K38" i="12"/>
  <c r="J38" i="12"/>
  <c r="F38" i="12"/>
  <c r="E38" i="12"/>
  <c r="D38" i="12"/>
  <c r="C38" i="12"/>
  <c r="AH37" i="12"/>
  <c r="AG37" i="12"/>
  <c r="AF37" i="12"/>
  <c r="AE37" i="12"/>
  <c r="AA37" i="12"/>
  <c r="Z37" i="12"/>
  <c r="Y37" i="12"/>
  <c r="X37" i="12"/>
  <c r="T37" i="12"/>
  <c r="S37" i="12"/>
  <c r="R37" i="12"/>
  <c r="Q37" i="12"/>
  <c r="M37" i="12"/>
  <c r="L37" i="12"/>
  <c r="K37" i="12"/>
  <c r="J37" i="12"/>
  <c r="F37" i="12"/>
  <c r="E37" i="12"/>
  <c r="D37" i="12"/>
  <c r="C37" i="12"/>
  <c r="AH36" i="12"/>
  <c r="AG36" i="12"/>
  <c r="AF36" i="12"/>
  <c r="AE36" i="12"/>
  <c r="AA36" i="12"/>
  <c r="Z36" i="12"/>
  <c r="Y36" i="12"/>
  <c r="X36" i="12"/>
  <c r="T36" i="12"/>
  <c r="S36" i="12"/>
  <c r="R36" i="12"/>
  <c r="Q36" i="12"/>
  <c r="M36" i="12"/>
  <c r="L36" i="12"/>
  <c r="K36" i="12"/>
  <c r="J36" i="12"/>
  <c r="F36" i="12"/>
  <c r="E36" i="12"/>
  <c r="D36" i="12"/>
  <c r="C36" i="12"/>
  <c r="AH35" i="12"/>
  <c r="AG35" i="12"/>
  <c r="AF35" i="12"/>
  <c r="AE35" i="12"/>
  <c r="AA35" i="12"/>
  <c r="Z35" i="12"/>
  <c r="Y35" i="12"/>
  <c r="X35" i="12"/>
  <c r="T35" i="12"/>
  <c r="S35" i="12"/>
  <c r="R35" i="12"/>
  <c r="Q35" i="12"/>
  <c r="M35" i="12"/>
  <c r="L35" i="12"/>
  <c r="K35" i="12"/>
  <c r="J35" i="12"/>
  <c r="F35" i="12"/>
  <c r="E35" i="12"/>
  <c r="D35" i="12"/>
  <c r="C35" i="12"/>
  <c r="AH34" i="12"/>
  <c r="AG34" i="12"/>
  <c r="AF34" i="12"/>
  <c r="AE34" i="12"/>
  <c r="AA34" i="12"/>
  <c r="Z34" i="12"/>
  <c r="Y34" i="12"/>
  <c r="X34" i="12"/>
  <c r="T34" i="12"/>
  <c r="S34" i="12"/>
  <c r="R34" i="12"/>
  <c r="Q34" i="12"/>
  <c r="M34" i="12"/>
  <c r="L34" i="12"/>
  <c r="K34" i="12"/>
  <c r="J34" i="12"/>
  <c r="F34" i="12"/>
  <c r="E34" i="12"/>
  <c r="D34" i="12"/>
  <c r="C34" i="12"/>
  <c r="AH33" i="12"/>
  <c r="AG33" i="12"/>
  <c r="AF33" i="12"/>
  <c r="AE33" i="12"/>
  <c r="AA33" i="12"/>
  <c r="Z33" i="12"/>
  <c r="Y33" i="12"/>
  <c r="X33" i="12"/>
  <c r="T33" i="12"/>
  <c r="S33" i="12"/>
  <c r="R33" i="12"/>
  <c r="Q33" i="12"/>
  <c r="M33" i="12"/>
  <c r="L33" i="12"/>
  <c r="K33" i="12"/>
  <c r="J33" i="12"/>
  <c r="F33" i="12"/>
  <c r="E33" i="12"/>
  <c r="D33" i="12"/>
  <c r="C33" i="12"/>
  <c r="AH32" i="12"/>
  <c r="AG32" i="12"/>
  <c r="AF32" i="12"/>
  <c r="AE32" i="12"/>
  <c r="AA32" i="12"/>
  <c r="Z32" i="12"/>
  <c r="Y32" i="12"/>
  <c r="X32" i="12"/>
  <c r="T32" i="12"/>
  <c r="S32" i="12"/>
  <c r="R32" i="12"/>
  <c r="Q32" i="12"/>
  <c r="M32" i="12"/>
  <c r="L32" i="12"/>
  <c r="K32" i="12"/>
  <c r="J32" i="12"/>
  <c r="F32" i="12"/>
  <c r="E32" i="12"/>
  <c r="D32" i="12"/>
  <c r="C32" i="12"/>
  <c r="AH31" i="12"/>
  <c r="AG31" i="12"/>
  <c r="AF31" i="12"/>
  <c r="AE31" i="12"/>
  <c r="AA31" i="12"/>
  <c r="Z31" i="12"/>
  <c r="Y31" i="12"/>
  <c r="X31" i="12"/>
  <c r="T31" i="12"/>
  <c r="S31" i="12"/>
  <c r="R31" i="12"/>
  <c r="Q31" i="12"/>
  <c r="M31" i="12"/>
  <c r="L31" i="12"/>
  <c r="K31" i="12"/>
  <c r="J31" i="12"/>
  <c r="F31" i="12"/>
  <c r="E31" i="12"/>
  <c r="D31" i="12"/>
  <c r="C31" i="12"/>
  <c r="AH30" i="12"/>
  <c r="AG30" i="12"/>
  <c r="AF30" i="12"/>
  <c r="AE30" i="12"/>
  <c r="AA30" i="12"/>
  <c r="Z30" i="12"/>
  <c r="Y30" i="12"/>
  <c r="X30" i="12"/>
  <c r="T30" i="12"/>
  <c r="S30" i="12"/>
  <c r="R30" i="12"/>
  <c r="Q30" i="12"/>
  <c r="M30" i="12"/>
  <c r="L30" i="12"/>
  <c r="K30" i="12"/>
  <c r="J30" i="12"/>
  <c r="F30" i="12"/>
  <c r="E30" i="12"/>
  <c r="D30" i="12"/>
  <c r="C30" i="12"/>
  <c r="AH29" i="12"/>
  <c r="AG29" i="12"/>
  <c r="AF29" i="12"/>
  <c r="AE29" i="12"/>
  <c r="AA29" i="12"/>
  <c r="Z29" i="12"/>
  <c r="Y29" i="12"/>
  <c r="X29" i="12"/>
  <c r="T29" i="12"/>
  <c r="S29" i="12"/>
  <c r="R29" i="12"/>
  <c r="Q29" i="12"/>
  <c r="M29" i="12"/>
  <c r="L29" i="12"/>
  <c r="K29" i="12"/>
  <c r="J29" i="12"/>
  <c r="F29" i="12"/>
  <c r="E29" i="12"/>
  <c r="D29" i="12"/>
  <c r="C29" i="12"/>
  <c r="AH28" i="12"/>
  <c r="AG28" i="12"/>
  <c r="AF28" i="12"/>
  <c r="AE28" i="12"/>
  <c r="AA28" i="12"/>
  <c r="Z28" i="12"/>
  <c r="Y28" i="12"/>
  <c r="X28" i="12"/>
  <c r="T28" i="12"/>
  <c r="S28" i="12"/>
  <c r="R28" i="12"/>
  <c r="Q28" i="12"/>
  <c r="M28" i="12"/>
  <c r="L28" i="12"/>
  <c r="K28" i="12"/>
  <c r="J28" i="12"/>
  <c r="F28" i="12"/>
  <c r="E28" i="12"/>
  <c r="D28" i="12"/>
  <c r="C28" i="12"/>
  <c r="AH27" i="12"/>
  <c r="AG27" i="12"/>
  <c r="AF27" i="12"/>
  <c r="AE27" i="12"/>
  <c r="AA27" i="12"/>
  <c r="Z27" i="12"/>
  <c r="Y27" i="12"/>
  <c r="X27" i="12"/>
  <c r="T27" i="12"/>
  <c r="S27" i="12"/>
  <c r="R27" i="12"/>
  <c r="Q27" i="12"/>
  <c r="M27" i="12"/>
  <c r="L27" i="12"/>
  <c r="K27" i="12"/>
  <c r="J27" i="12"/>
  <c r="F27" i="12"/>
  <c r="E27" i="12"/>
  <c r="D27" i="12"/>
  <c r="C27" i="12"/>
  <c r="AH26" i="12"/>
  <c r="AG26" i="12"/>
  <c r="AF26" i="12"/>
  <c r="AE26" i="12"/>
  <c r="AA26" i="12"/>
  <c r="Z26" i="12"/>
  <c r="Y26" i="12"/>
  <c r="X26" i="12"/>
  <c r="T26" i="12"/>
  <c r="S26" i="12"/>
  <c r="R26" i="12"/>
  <c r="Q26" i="12"/>
  <c r="M26" i="12"/>
  <c r="L26" i="12"/>
  <c r="K26" i="12"/>
  <c r="J26" i="12"/>
  <c r="F26" i="12"/>
  <c r="E26" i="12"/>
  <c r="D26" i="12"/>
  <c r="C26" i="12"/>
  <c r="AH25" i="12"/>
  <c r="AG25" i="12"/>
  <c r="AF25" i="12"/>
  <c r="AE25" i="12"/>
  <c r="AA25" i="12"/>
  <c r="Z25" i="12"/>
  <c r="Y25" i="12"/>
  <c r="X25" i="12"/>
  <c r="T25" i="12"/>
  <c r="S25" i="12"/>
  <c r="R25" i="12"/>
  <c r="Q25" i="12"/>
  <c r="M25" i="12"/>
  <c r="L25" i="12"/>
  <c r="K25" i="12"/>
  <c r="J25" i="12"/>
  <c r="F25" i="12"/>
  <c r="E25" i="12"/>
  <c r="D25" i="12"/>
  <c r="C25" i="12"/>
  <c r="AH24" i="12"/>
  <c r="AG24" i="12"/>
  <c r="AF24" i="12"/>
  <c r="AE24" i="12"/>
  <c r="AA24" i="12"/>
  <c r="Z24" i="12"/>
  <c r="Y24" i="12"/>
  <c r="X24" i="12"/>
  <c r="T24" i="12"/>
  <c r="S24" i="12"/>
  <c r="R24" i="12"/>
  <c r="Q24" i="12"/>
  <c r="M24" i="12"/>
  <c r="L24" i="12"/>
  <c r="K24" i="12"/>
  <c r="J24" i="12"/>
  <c r="F24" i="12"/>
  <c r="E24" i="12"/>
  <c r="D24" i="12"/>
  <c r="C24" i="12"/>
  <c r="AH23" i="12"/>
  <c r="AG23" i="12"/>
  <c r="AF23" i="12"/>
  <c r="AE23" i="12"/>
  <c r="AA23" i="12"/>
  <c r="Z23" i="12"/>
  <c r="Y23" i="12"/>
  <c r="X23" i="12"/>
  <c r="T23" i="12"/>
  <c r="S23" i="12"/>
  <c r="R23" i="12"/>
  <c r="Q23" i="12"/>
  <c r="M23" i="12"/>
  <c r="L23" i="12"/>
  <c r="K23" i="12"/>
  <c r="J23" i="12"/>
  <c r="F23" i="12"/>
  <c r="E23" i="12"/>
  <c r="D23" i="12"/>
  <c r="C23" i="12"/>
  <c r="AH22" i="12"/>
  <c r="AG22" i="12"/>
  <c r="AF22" i="12"/>
  <c r="AE22" i="12"/>
  <c r="AA22" i="12"/>
  <c r="Z22" i="12"/>
  <c r="Y22" i="12"/>
  <c r="X22" i="12"/>
  <c r="T22" i="12"/>
  <c r="S22" i="12"/>
  <c r="R22" i="12"/>
  <c r="Q22" i="12"/>
  <c r="M22" i="12"/>
  <c r="L22" i="12"/>
  <c r="K22" i="12"/>
  <c r="J22" i="12"/>
  <c r="F22" i="12"/>
  <c r="E22" i="12"/>
  <c r="D22" i="12"/>
  <c r="C22" i="12"/>
  <c r="AH21" i="12"/>
  <c r="AG21" i="12"/>
  <c r="AF21" i="12"/>
  <c r="AE21" i="12"/>
  <c r="AA21" i="12"/>
  <c r="Z21" i="12"/>
  <c r="Y21" i="12"/>
  <c r="X21" i="12"/>
  <c r="T21" i="12"/>
  <c r="S21" i="12"/>
  <c r="R21" i="12"/>
  <c r="Q21" i="12"/>
  <c r="M21" i="12"/>
  <c r="L21" i="12"/>
  <c r="K21" i="12"/>
  <c r="J21" i="12"/>
  <c r="F21" i="12"/>
  <c r="E21" i="12"/>
  <c r="D21" i="12"/>
  <c r="C21" i="12"/>
  <c r="AH20" i="12"/>
  <c r="AG20" i="12"/>
  <c r="AF20" i="12"/>
  <c r="AA20" i="12"/>
  <c r="Z20" i="12"/>
  <c r="Y20" i="12"/>
  <c r="T20" i="12"/>
  <c r="S20" i="12"/>
  <c r="R20" i="12"/>
  <c r="M20" i="12"/>
  <c r="L20" i="12"/>
  <c r="K20" i="12"/>
  <c r="F20" i="12"/>
  <c r="E20" i="12"/>
  <c r="D20" i="12"/>
  <c r="AH19" i="12"/>
  <c r="AG19" i="12"/>
  <c r="AF19" i="12"/>
  <c r="AA19" i="12"/>
  <c r="Z19" i="12"/>
  <c r="Y19" i="12"/>
  <c r="T19" i="12"/>
  <c r="S19" i="12"/>
  <c r="R19" i="12"/>
  <c r="M19" i="12"/>
  <c r="L19" i="12"/>
  <c r="K19" i="12"/>
  <c r="F19" i="12"/>
  <c r="E19" i="12"/>
  <c r="D19" i="12"/>
  <c r="AH18" i="12"/>
  <c r="AG18" i="12"/>
  <c r="AF18" i="12"/>
  <c r="AA18" i="12"/>
  <c r="Z18" i="12"/>
  <c r="Y18" i="12"/>
  <c r="T18" i="12"/>
  <c r="S18" i="12"/>
  <c r="R18" i="12"/>
  <c r="M18" i="12"/>
  <c r="L18" i="12"/>
  <c r="K18" i="12"/>
  <c r="F18" i="12"/>
  <c r="E18" i="12"/>
  <c r="D18" i="12"/>
  <c r="AH17" i="12"/>
  <c r="AG17" i="12"/>
  <c r="AF17" i="12"/>
  <c r="AA17" i="12"/>
  <c r="Z17" i="12"/>
  <c r="Y17" i="12"/>
  <c r="T17" i="12"/>
  <c r="S17" i="12"/>
  <c r="R17" i="12"/>
  <c r="M17" i="12"/>
  <c r="L17" i="12"/>
  <c r="K17" i="12"/>
  <c r="F17" i="12"/>
  <c r="E17" i="12"/>
  <c r="D17" i="12"/>
  <c r="AH16" i="12"/>
  <c r="AG16" i="12"/>
  <c r="AF16" i="12"/>
  <c r="AA16" i="12"/>
  <c r="Z16" i="12"/>
  <c r="Y16" i="12"/>
  <c r="T16" i="12"/>
  <c r="S16" i="12"/>
  <c r="R16" i="12"/>
  <c r="M16" i="12"/>
  <c r="L16" i="12"/>
  <c r="K16" i="12"/>
  <c r="F16" i="12"/>
  <c r="E16" i="12"/>
  <c r="D16" i="12"/>
  <c r="AH15" i="12"/>
  <c r="AG15" i="12"/>
  <c r="AF15" i="12"/>
  <c r="AA15" i="12"/>
  <c r="Z15" i="12"/>
  <c r="Y15" i="12"/>
  <c r="T15" i="12"/>
  <c r="S15" i="12"/>
  <c r="R15" i="12"/>
  <c r="M15" i="12"/>
  <c r="L15" i="12"/>
  <c r="K15" i="12"/>
  <c r="F15" i="12"/>
  <c r="E15" i="12"/>
  <c r="D15" i="12"/>
  <c r="AH14" i="12"/>
  <c r="AG14" i="12"/>
  <c r="AF14" i="12"/>
  <c r="AA14" i="12"/>
  <c r="Z14" i="12"/>
  <c r="Y14" i="12"/>
  <c r="T14" i="12"/>
  <c r="S14" i="12"/>
  <c r="R14" i="12"/>
  <c r="M14" i="12"/>
  <c r="L14" i="12"/>
  <c r="K14" i="12"/>
  <c r="F14" i="12"/>
  <c r="E14" i="12"/>
  <c r="D14" i="12"/>
  <c r="AH13" i="12"/>
  <c r="AG13" i="12"/>
  <c r="AF13" i="12"/>
  <c r="AA13" i="12"/>
  <c r="Z13" i="12"/>
  <c r="Y13" i="12"/>
  <c r="T13" i="12"/>
  <c r="S13" i="12"/>
  <c r="R13" i="12"/>
  <c r="M13" i="12"/>
  <c r="L13" i="12"/>
  <c r="K13" i="12"/>
  <c r="F13" i="12"/>
  <c r="E13" i="12"/>
  <c r="D13" i="12"/>
  <c r="AH12" i="12"/>
  <c r="AG12" i="12"/>
  <c r="AF12" i="12"/>
  <c r="AA12" i="12"/>
  <c r="Z12" i="12"/>
  <c r="Y12" i="12"/>
  <c r="T12" i="12"/>
  <c r="S12" i="12"/>
  <c r="R12" i="12"/>
  <c r="M12" i="12"/>
  <c r="L12" i="12"/>
  <c r="K12" i="12"/>
  <c r="F12" i="12"/>
  <c r="E12" i="12"/>
  <c r="D12" i="12"/>
  <c r="AH11" i="12"/>
  <c r="AG11" i="12"/>
  <c r="AF11" i="12"/>
  <c r="AA11" i="12"/>
  <c r="Z11" i="12"/>
  <c r="Y11" i="12"/>
  <c r="T11" i="12"/>
  <c r="S11" i="12"/>
  <c r="R11" i="12"/>
  <c r="M11" i="12"/>
  <c r="L11" i="12"/>
  <c r="K11" i="12"/>
  <c r="F11" i="12"/>
  <c r="E11" i="12"/>
  <c r="D11" i="12"/>
  <c r="AH10" i="12"/>
  <c r="AG10" i="12"/>
  <c r="AF10" i="12"/>
  <c r="AA10" i="12"/>
  <c r="Z10" i="12"/>
  <c r="Y10" i="12"/>
  <c r="T10" i="12"/>
  <c r="S10" i="12"/>
  <c r="R10" i="12"/>
  <c r="M10" i="12"/>
  <c r="L10" i="12"/>
  <c r="K10" i="12"/>
  <c r="F10" i="12"/>
  <c r="E10" i="12"/>
  <c r="D10" i="12"/>
  <c r="AH9" i="12"/>
  <c r="AG9" i="12"/>
  <c r="AF9" i="12"/>
  <c r="AA9" i="12"/>
  <c r="Z9" i="12"/>
  <c r="Y9" i="12"/>
  <c r="T9" i="12"/>
  <c r="S9" i="12"/>
  <c r="R9" i="12"/>
  <c r="M9" i="12"/>
  <c r="L9" i="12"/>
  <c r="K9" i="12"/>
  <c r="F9" i="12"/>
  <c r="E9" i="12"/>
  <c r="D9" i="12"/>
  <c r="AD5" i="12"/>
  <c r="W5" i="12"/>
  <c r="AD4" i="12"/>
  <c r="W4" i="12"/>
  <c r="P4" i="12"/>
  <c r="I4" i="12"/>
  <c r="B4" i="12"/>
  <c r="M72" i="10"/>
  <c r="L72" i="10"/>
  <c r="K72" i="10"/>
  <c r="J72" i="10"/>
  <c r="I72" i="10"/>
  <c r="F72" i="10"/>
  <c r="M71" i="10"/>
  <c r="L71" i="10"/>
  <c r="K71" i="10"/>
  <c r="J71" i="10"/>
  <c r="I71" i="10"/>
  <c r="F71" i="10"/>
  <c r="M70" i="10"/>
  <c r="L70" i="10"/>
  <c r="K70" i="10"/>
  <c r="J70" i="10"/>
  <c r="I70" i="10"/>
  <c r="F70" i="10"/>
  <c r="M69" i="10"/>
  <c r="L69" i="10"/>
  <c r="K69" i="10"/>
  <c r="J69" i="10"/>
  <c r="I69" i="10"/>
  <c r="F69" i="10"/>
  <c r="M68" i="10"/>
  <c r="L68" i="10"/>
  <c r="K68" i="10"/>
  <c r="J68" i="10"/>
  <c r="I68" i="10"/>
  <c r="F68" i="10"/>
  <c r="M67" i="10"/>
  <c r="L67" i="10"/>
  <c r="K67" i="10"/>
  <c r="J67" i="10"/>
  <c r="I67" i="10"/>
  <c r="F67" i="10"/>
  <c r="M66" i="10"/>
  <c r="L66" i="10"/>
  <c r="K66" i="10"/>
  <c r="J66" i="10"/>
  <c r="I66" i="10"/>
  <c r="F66" i="10"/>
  <c r="M65" i="10"/>
  <c r="L65" i="10"/>
  <c r="K65" i="10"/>
  <c r="J65" i="10"/>
  <c r="I65" i="10"/>
  <c r="F65" i="10"/>
  <c r="M64" i="10"/>
  <c r="L64" i="10"/>
  <c r="K64" i="10"/>
  <c r="J64" i="10"/>
  <c r="I64" i="10"/>
  <c r="F64" i="10"/>
  <c r="M63" i="10"/>
  <c r="L63" i="10"/>
  <c r="K63" i="10"/>
  <c r="J63" i="10"/>
  <c r="I63" i="10"/>
  <c r="F63" i="10"/>
  <c r="E63" i="10"/>
  <c r="D63" i="10"/>
  <c r="C63" i="10"/>
  <c r="B63" i="10"/>
  <c r="G63" i="10" s="1"/>
  <c r="H63" i="10" s="1"/>
  <c r="M62" i="10"/>
  <c r="L62" i="10"/>
  <c r="K62" i="10"/>
  <c r="J62" i="10"/>
  <c r="I62" i="10"/>
  <c r="F62" i="10"/>
  <c r="E62" i="10"/>
  <c r="D62" i="10"/>
  <c r="C62" i="10"/>
  <c r="B62" i="10"/>
  <c r="G62" i="10" s="1"/>
  <c r="H62" i="10" s="1"/>
  <c r="M61" i="10"/>
  <c r="L61" i="10"/>
  <c r="K61" i="10"/>
  <c r="J61" i="10"/>
  <c r="I61" i="10"/>
  <c r="F61" i="10"/>
  <c r="E61" i="10"/>
  <c r="D61" i="10"/>
  <c r="C61" i="10"/>
  <c r="B61" i="10"/>
  <c r="G61" i="10" s="1"/>
  <c r="H61" i="10" s="1"/>
  <c r="M60" i="10"/>
  <c r="L60" i="10"/>
  <c r="K60" i="10"/>
  <c r="J60" i="10"/>
  <c r="I60" i="10"/>
  <c r="F60" i="10"/>
  <c r="E60" i="10"/>
  <c r="D60" i="10"/>
  <c r="C60" i="10"/>
  <c r="B60" i="10"/>
  <c r="G60" i="10" s="1"/>
  <c r="H60" i="10" s="1"/>
  <c r="M59" i="10"/>
  <c r="L59" i="10"/>
  <c r="K59" i="10"/>
  <c r="J59" i="10"/>
  <c r="I59" i="10"/>
  <c r="F59" i="10"/>
  <c r="E59" i="10"/>
  <c r="D59" i="10"/>
  <c r="C59" i="10"/>
  <c r="B59" i="10"/>
  <c r="G59" i="10" s="1"/>
  <c r="H59" i="10" s="1"/>
  <c r="M58" i="10"/>
  <c r="L58" i="10"/>
  <c r="K58" i="10"/>
  <c r="J58" i="10"/>
  <c r="I58" i="10"/>
  <c r="F58" i="10"/>
  <c r="E58" i="10"/>
  <c r="D58" i="10"/>
  <c r="C58" i="10"/>
  <c r="B58" i="10"/>
  <c r="G58" i="10" s="1"/>
  <c r="H58" i="10" s="1"/>
  <c r="M57" i="10"/>
  <c r="L57" i="10"/>
  <c r="K57" i="10"/>
  <c r="J57" i="10"/>
  <c r="I57" i="10"/>
  <c r="F57" i="10"/>
  <c r="E57" i="10"/>
  <c r="D57" i="10"/>
  <c r="C57" i="10"/>
  <c r="B57" i="10"/>
  <c r="G57" i="10" s="1"/>
  <c r="H57" i="10" s="1"/>
  <c r="M56" i="10"/>
  <c r="L56" i="10"/>
  <c r="K56" i="10"/>
  <c r="J56" i="10"/>
  <c r="I56" i="10"/>
  <c r="F56" i="10"/>
  <c r="E56" i="10"/>
  <c r="D56" i="10"/>
  <c r="C56" i="10"/>
  <c r="B56" i="10"/>
  <c r="G56" i="10" s="1"/>
  <c r="H56" i="10" s="1"/>
  <c r="M55" i="10"/>
  <c r="L55" i="10"/>
  <c r="K55" i="10"/>
  <c r="J55" i="10"/>
  <c r="I55" i="10"/>
  <c r="F55" i="10"/>
  <c r="E55" i="10"/>
  <c r="D55" i="10"/>
  <c r="C55" i="10"/>
  <c r="B55" i="10"/>
  <c r="G55" i="10" s="1"/>
  <c r="H55" i="10" s="1"/>
  <c r="M54" i="10"/>
  <c r="L54" i="10"/>
  <c r="K54" i="10"/>
  <c r="J54" i="10"/>
  <c r="I54" i="10"/>
  <c r="F54" i="10"/>
  <c r="E54" i="10"/>
  <c r="D54" i="10"/>
  <c r="C54" i="10"/>
  <c r="B54" i="10"/>
  <c r="G54" i="10" s="1"/>
  <c r="H54" i="10" s="1"/>
  <c r="F53" i="10"/>
  <c r="E53" i="10"/>
  <c r="D53" i="10"/>
  <c r="C53" i="10"/>
  <c r="B53" i="10"/>
  <c r="M48" i="10"/>
  <c r="L48" i="10"/>
  <c r="K48" i="10"/>
  <c r="J48" i="10"/>
  <c r="I48" i="10"/>
  <c r="F48" i="10"/>
  <c r="E48" i="10"/>
  <c r="D48" i="10"/>
  <c r="C48" i="10"/>
  <c r="B48" i="10"/>
  <c r="G48" i="10" s="1"/>
  <c r="H48" i="10" s="1"/>
  <c r="M47" i="10"/>
  <c r="L47" i="10"/>
  <c r="K47" i="10"/>
  <c r="J47" i="10"/>
  <c r="I47" i="10"/>
  <c r="F47" i="10"/>
  <c r="E47" i="10"/>
  <c r="D47" i="10"/>
  <c r="C47" i="10"/>
  <c r="B47" i="10"/>
  <c r="G47" i="10" s="1"/>
  <c r="H47" i="10" s="1"/>
  <c r="M46" i="10"/>
  <c r="L46" i="10"/>
  <c r="K46" i="10"/>
  <c r="J46" i="10"/>
  <c r="I46" i="10"/>
  <c r="F46" i="10"/>
  <c r="E46" i="10"/>
  <c r="D46" i="10"/>
  <c r="C46" i="10"/>
  <c r="B46" i="10"/>
  <c r="G46" i="10" s="1"/>
  <c r="H46" i="10" s="1"/>
  <c r="M45" i="10"/>
  <c r="L45" i="10"/>
  <c r="K45" i="10"/>
  <c r="J45" i="10"/>
  <c r="I45" i="10"/>
  <c r="F45" i="10"/>
  <c r="E45" i="10"/>
  <c r="D45" i="10"/>
  <c r="C45" i="10"/>
  <c r="B45" i="10"/>
  <c r="G45" i="10" s="1"/>
  <c r="H45" i="10" s="1"/>
  <c r="M44" i="10"/>
  <c r="L44" i="10"/>
  <c r="K44" i="10"/>
  <c r="J44" i="10"/>
  <c r="I44" i="10"/>
  <c r="F44" i="10"/>
  <c r="E44" i="10"/>
  <c r="D44" i="10"/>
  <c r="C44" i="10"/>
  <c r="B44" i="10"/>
  <c r="G44" i="10" s="1"/>
  <c r="H44" i="10" s="1"/>
  <c r="M43" i="10"/>
  <c r="L43" i="10"/>
  <c r="K43" i="10"/>
  <c r="J43" i="10"/>
  <c r="I43" i="10"/>
  <c r="F43" i="10"/>
  <c r="E43" i="10"/>
  <c r="D43" i="10"/>
  <c r="C43" i="10"/>
  <c r="B43" i="10"/>
  <c r="G43" i="10" s="1"/>
  <c r="H43" i="10" s="1"/>
  <c r="M42" i="10"/>
  <c r="L42" i="10"/>
  <c r="K42" i="10"/>
  <c r="J42" i="10"/>
  <c r="I42" i="10"/>
  <c r="F42" i="10"/>
  <c r="E42" i="10"/>
  <c r="D42" i="10"/>
  <c r="C42" i="10"/>
  <c r="B42" i="10"/>
  <c r="G42" i="10" s="1"/>
  <c r="H42" i="10" s="1"/>
  <c r="M41" i="10"/>
  <c r="L41" i="10"/>
  <c r="K41" i="10"/>
  <c r="J41" i="10"/>
  <c r="I41" i="10"/>
  <c r="F41" i="10"/>
  <c r="E41" i="10"/>
  <c r="D41" i="10"/>
  <c r="C41" i="10"/>
  <c r="B41" i="10"/>
  <c r="G41" i="10" s="1"/>
  <c r="H41" i="10" s="1"/>
  <c r="M40" i="10"/>
  <c r="L40" i="10"/>
  <c r="K40" i="10"/>
  <c r="J40" i="10"/>
  <c r="I40" i="10"/>
  <c r="F40" i="10"/>
  <c r="E40" i="10"/>
  <c r="D40" i="10"/>
  <c r="C40" i="10"/>
  <c r="B40" i="10"/>
  <c r="G40" i="10" s="1"/>
  <c r="H40" i="10" s="1"/>
  <c r="M39" i="10"/>
  <c r="L39" i="10"/>
  <c r="K39" i="10"/>
  <c r="J39" i="10"/>
  <c r="I39" i="10"/>
  <c r="F39" i="10"/>
  <c r="E39" i="10"/>
  <c r="D39" i="10"/>
  <c r="C39" i="10"/>
  <c r="B39" i="10"/>
  <c r="G39" i="10" s="1"/>
  <c r="H39" i="10" s="1"/>
  <c r="M38" i="10"/>
  <c r="L38" i="10"/>
  <c r="K38" i="10"/>
  <c r="J38" i="10"/>
  <c r="I38" i="10"/>
  <c r="F38" i="10"/>
  <c r="E38" i="10"/>
  <c r="D38" i="10"/>
  <c r="C38" i="10"/>
  <c r="B38" i="10"/>
  <c r="G38" i="10" s="1"/>
  <c r="H38" i="10" s="1"/>
  <c r="M37" i="10"/>
  <c r="L37" i="10"/>
  <c r="K37" i="10"/>
  <c r="J37" i="10"/>
  <c r="I37" i="10"/>
  <c r="F37" i="10"/>
  <c r="E37" i="10"/>
  <c r="D37" i="10"/>
  <c r="C37" i="10"/>
  <c r="B37" i="10"/>
  <c r="G37" i="10" s="1"/>
  <c r="H37" i="10" s="1"/>
  <c r="M36" i="10"/>
  <c r="L36" i="10"/>
  <c r="K36" i="10"/>
  <c r="J36" i="10"/>
  <c r="I36" i="10"/>
  <c r="F36" i="10"/>
  <c r="E36" i="10"/>
  <c r="D36" i="10"/>
  <c r="C36" i="10"/>
  <c r="B36" i="10"/>
  <c r="G36" i="10" s="1"/>
  <c r="H36" i="10" s="1"/>
  <c r="M35" i="10"/>
  <c r="L35" i="10"/>
  <c r="K35" i="10"/>
  <c r="J35" i="10"/>
  <c r="I35" i="10"/>
  <c r="F35" i="10"/>
  <c r="E35" i="10"/>
  <c r="D35" i="10"/>
  <c r="C35" i="10"/>
  <c r="B35" i="10"/>
  <c r="G35" i="10" s="1"/>
  <c r="H35" i="10" s="1"/>
  <c r="M34" i="10"/>
  <c r="L34" i="10"/>
  <c r="K34" i="10"/>
  <c r="J34" i="10"/>
  <c r="I34" i="10"/>
  <c r="F34" i="10"/>
  <c r="E34" i="10"/>
  <c r="D34" i="10"/>
  <c r="C34" i="10"/>
  <c r="B34" i="10"/>
  <c r="G34" i="10" s="1"/>
  <c r="H34" i="10" s="1"/>
  <c r="M33" i="10"/>
  <c r="L33" i="10"/>
  <c r="K33" i="10"/>
  <c r="J33" i="10"/>
  <c r="I33" i="10"/>
  <c r="F33" i="10"/>
  <c r="E33" i="10"/>
  <c r="D33" i="10"/>
  <c r="C33" i="10"/>
  <c r="B33" i="10"/>
  <c r="G33" i="10" s="1"/>
  <c r="H33" i="10" s="1"/>
  <c r="M32" i="10"/>
  <c r="L32" i="10"/>
  <c r="K32" i="10"/>
  <c r="J32" i="10"/>
  <c r="I32" i="10"/>
  <c r="F32" i="10"/>
  <c r="E32" i="10"/>
  <c r="D32" i="10"/>
  <c r="C32" i="10"/>
  <c r="B32" i="10"/>
  <c r="G32" i="10" s="1"/>
  <c r="H32" i="10" s="1"/>
  <c r="M31" i="10"/>
  <c r="L31" i="10"/>
  <c r="K31" i="10"/>
  <c r="J31" i="10"/>
  <c r="I31" i="10"/>
  <c r="F31" i="10"/>
  <c r="E31" i="10"/>
  <c r="D31" i="10"/>
  <c r="C31" i="10"/>
  <c r="B31" i="10"/>
  <c r="G31" i="10" s="1"/>
  <c r="H31" i="10" s="1"/>
  <c r="M30" i="10"/>
  <c r="L30" i="10"/>
  <c r="K30" i="10"/>
  <c r="J30" i="10"/>
  <c r="I30" i="10"/>
  <c r="F30" i="10"/>
  <c r="E30" i="10"/>
  <c r="D30" i="10"/>
  <c r="C30" i="10"/>
  <c r="B30" i="10"/>
  <c r="G30" i="10" s="1"/>
  <c r="H30" i="10" s="1"/>
  <c r="F29" i="10"/>
  <c r="E29" i="10"/>
  <c r="D29" i="10"/>
  <c r="C29" i="10"/>
  <c r="B29" i="10"/>
  <c r="M24" i="10"/>
  <c r="L24" i="10"/>
  <c r="K24" i="10"/>
  <c r="J24" i="10"/>
  <c r="I24" i="10"/>
  <c r="F24" i="10"/>
  <c r="E24" i="10"/>
  <c r="D24" i="10"/>
  <c r="C24" i="10"/>
  <c r="B24" i="10"/>
  <c r="G24" i="10" s="1"/>
  <c r="H24" i="10" s="1"/>
  <c r="M23" i="10"/>
  <c r="L23" i="10"/>
  <c r="K23" i="10"/>
  <c r="J23" i="10"/>
  <c r="I23" i="10"/>
  <c r="F23" i="10"/>
  <c r="E23" i="10"/>
  <c r="D23" i="10"/>
  <c r="C23" i="10"/>
  <c r="B23" i="10"/>
  <c r="G23" i="10" s="1"/>
  <c r="H23" i="10" s="1"/>
  <c r="M22" i="10"/>
  <c r="L22" i="10"/>
  <c r="K22" i="10"/>
  <c r="J22" i="10"/>
  <c r="I22" i="10"/>
  <c r="F22" i="10"/>
  <c r="E22" i="10"/>
  <c r="D22" i="10"/>
  <c r="C22" i="10"/>
  <c r="B22" i="10"/>
  <c r="G22" i="10" s="1"/>
  <c r="H22" i="10" s="1"/>
  <c r="M21" i="10"/>
  <c r="L21" i="10"/>
  <c r="K21" i="10"/>
  <c r="J21" i="10"/>
  <c r="I21" i="10"/>
  <c r="F21" i="10"/>
  <c r="E21" i="10"/>
  <c r="D21" i="10"/>
  <c r="C21" i="10"/>
  <c r="B21" i="10"/>
  <c r="G21" i="10" s="1"/>
  <c r="H21" i="10" s="1"/>
  <c r="M20" i="10"/>
  <c r="L20" i="10"/>
  <c r="K20" i="10"/>
  <c r="J20" i="10"/>
  <c r="I20" i="10"/>
  <c r="F20" i="10"/>
  <c r="E20" i="10"/>
  <c r="D20" i="10"/>
  <c r="C20" i="10"/>
  <c r="B20" i="10"/>
  <c r="G20" i="10" s="1"/>
  <c r="H20" i="10" s="1"/>
  <c r="M19" i="10"/>
  <c r="L19" i="10"/>
  <c r="K19" i="10"/>
  <c r="J19" i="10"/>
  <c r="I19" i="10"/>
  <c r="F19" i="10"/>
  <c r="E19" i="10"/>
  <c r="D19" i="10"/>
  <c r="C19" i="10"/>
  <c r="B19" i="10"/>
  <c r="G19" i="10" s="1"/>
  <c r="H19" i="10" s="1"/>
  <c r="M18" i="10"/>
  <c r="L18" i="10"/>
  <c r="K18" i="10"/>
  <c r="J18" i="10"/>
  <c r="I18" i="10"/>
  <c r="F18" i="10"/>
  <c r="E18" i="10"/>
  <c r="D18" i="10"/>
  <c r="C18" i="10"/>
  <c r="B18" i="10"/>
  <c r="G18" i="10" s="1"/>
  <c r="H18" i="10" s="1"/>
  <c r="M17" i="10"/>
  <c r="L17" i="10"/>
  <c r="K17" i="10"/>
  <c r="J17" i="10"/>
  <c r="I17" i="10"/>
  <c r="F17" i="10"/>
  <c r="E17" i="10"/>
  <c r="D17" i="10"/>
  <c r="C17" i="10"/>
  <c r="B17" i="10"/>
  <c r="G17" i="10" s="1"/>
  <c r="H17" i="10" s="1"/>
  <c r="M16" i="10"/>
  <c r="L16" i="10"/>
  <c r="K16" i="10"/>
  <c r="J16" i="10"/>
  <c r="I16" i="10"/>
  <c r="F16" i="10"/>
  <c r="E16" i="10"/>
  <c r="D16" i="10"/>
  <c r="C16" i="10"/>
  <c r="B16" i="10"/>
  <c r="G16" i="10" s="1"/>
  <c r="H16" i="10" s="1"/>
  <c r="M15" i="10"/>
  <c r="L15" i="10"/>
  <c r="K15" i="10"/>
  <c r="J15" i="10"/>
  <c r="I15" i="10"/>
  <c r="F15" i="10"/>
  <c r="E15" i="10"/>
  <c r="D15" i="10"/>
  <c r="C15" i="10"/>
  <c r="B15" i="10"/>
  <c r="G15" i="10" s="1"/>
  <c r="H15" i="10" s="1"/>
  <c r="M14" i="10"/>
  <c r="L14" i="10"/>
  <c r="K14" i="10"/>
  <c r="J14" i="10"/>
  <c r="I14" i="10"/>
  <c r="F14" i="10"/>
  <c r="E14" i="10"/>
  <c r="D14" i="10"/>
  <c r="C14" i="10"/>
  <c r="B14" i="10"/>
  <c r="G14" i="10" s="1"/>
  <c r="H14" i="10" s="1"/>
  <c r="M13" i="10"/>
  <c r="L13" i="10"/>
  <c r="K13" i="10"/>
  <c r="J13" i="10"/>
  <c r="I13" i="10"/>
  <c r="F13" i="10"/>
  <c r="E13" i="10"/>
  <c r="D13" i="10"/>
  <c r="C13" i="10"/>
  <c r="B13" i="10"/>
  <c r="G13" i="10" s="1"/>
  <c r="H13" i="10" s="1"/>
  <c r="M12" i="10"/>
  <c r="L12" i="10"/>
  <c r="K12" i="10"/>
  <c r="J12" i="10"/>
  <c r="I12" i="10"/>
  <c r="F12" i="10"/>
  <c r="E12" i="10"/>
  <c r="D12" i="10"/>
  <c r="C12" i="10"/>
  <c r="B12" i="10"/>
  <c r="G12" i="10" s="1"/>
  <c r="H12" i="10" s="1"/>
  <c r="M11" i="10"/>
  <c r="L11" i="10"/>
  <c r="K11" i="10"/>
  <c r="J11" i="10"/>
  <c r="I11" i="10"/>
  <c r="F11" i="10"/>
  <c r="E11" i="10"/>
  <c r="D11" i="10"/>
  <c r="C11" i="10"/>
  <c r="B11" i="10"/>
  <c r="G11" i="10" s="1"/>
  <c r="H11" i="10" s="1"/>
  <c r="M10" i="10"/>
  <c r="L10" i="10"/>
  <c r="K10" i="10"/>
  <c r="J10" i="10"/>
  <c r="I10" i="10"/>
  <c r="F10" i="10"/>
  <c r="E10" i="10"/>
  <c r="D10" i="10"/>
  <c r="C10" i="10"/>
  <c r="B10" i="10"/>
  <c r="G10" i="10" s="1"/>
  <c r="H10" i="10" s="1"/>
  <c r="M9" i="10"/>
  <c r="L9" i="10"/>
  <c r="K9" i="10"/>
  <c r="J9" i="10"/>
  <c r="I9" i="10"/>
  <c r="F9" i="10"/>
  <c r="E9" i="10"/>
  <c r="D9" i="10"/>
  <c r="C9" i="10"/>
  <c r="B9" i="10"/>
  <c r="G9" i="10" s="1"/>
  <c r="H9" i="10" s="1"/>
  <c r="M8" i="10"/>
  <c r="L8" i="10"/>
  <c r="K8" i="10"/>
  <c r="J8" i="10"/>
  <c r="I8" i="10"/>
  <c r="F8" i="10"/>
  <c r="E8" i="10"/>
  <c r="D8" i="10"/>
  <c r="C8" i="10"/>
  <c r="B8" i="10"/>
  <c r="G8" i="10" s="1"/>
  <c r="H8" i="10" s="1"/>
  <c r="M7" i="10"/>
  <c r="L7" i="10"/>
  <c r="K7" i="10"/>
  <c r="J7" i="10"/>
  <c r="I7" i="10"/>
  <c r="F7" i="10"/>
  <c r="E7" i="10"/>
  <c r="D7" i="10"/>
  <c r="C7" i="10"/>
  <c r="B7" i="10"/>
  <c r="G7" i="10" s="1"/>
  <c r="H7" i="10" s="1"/>
  <c r="M6" i="10"/>
  <c r="L6" i="10"/>
  <c r="K6" i="10"/>
  <c r="J6" i="10"/>
  <c r="I6" i="10"/>
  <c r="F6" i="10"/>
  <c r="E6" i="10"/>
  <c r="D6" i="10"/>
  <c r="C6" i="10"/>
  <c r="B6" i="10"/>
  <c r="G6" i="10" s="1"/>
  <c r="H6" i="10" s="1"/>
  <c r="F5" i="10"/>
  <c r="E5" i="10"/>
  <c r="D5" i="10"/>
  <c r="C5" i="10"/>
  <c r="B5" i="10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G18" i="9"/>
  <c r="B18" i="9"/>
  <c r="A18" i="9"/>
  <c r="B17" i="9"/>
  <c r="A17" i="9"/>
  <c r="B16" i="9"/>
  <c r="A16" i="9"/>
  <c r="B15" i="9"/>
  <c r="A15" i="9"/>
  <c r="B14" i="9"/>
  <c r="A14" i="9"/>
  <c r="B13" i="9"/>
  <c r="A13" i="9"/>
  <c r="J7" i="9"/>
  <c r="I7" i="9"/>
  <c r="H7" i="9"/>
  <c r="F7" i="9"/>
  <c r="A7" i="9"/>
  <c r="J6" i="9"/>
  <c r="I6" i="9"/>
  <c r="H6" i="9"/>
  <c r="F6" i="9"/>
  <c r="D6" i="9"/>
  <c r="A6" i="9"/>
  <c r="J5" i="9"/>
  <c r="I5" i="9"/>
  <c r="H5" i="9"/>
  <c r="F5" i="9"/>
  <c r="D5" i="9"/>
  <c r="A5" i="9"/>
  <c r="B7" i="8"/>
  <c r="B4" i="8"/>
  <c r="A29" i="7"/>
  <c r="B17" i="7"/>
  <c r="B7" i="7"/>
  <c r="B6" i="8" s="1"/>
  <c r="B6" i="7"/>
  <c r="B5" i="8" s="1"/>
  <c r="A44" i="6"/>
  <c r="A43" i="6"/>
  <c r="A42" i="6"/>
  <c r="A41" i="6"/>
  <c r="F40" i="6"/>
  <c r="E40" i="6"/>
  <c r="D40" i="6"/>
  <c r="C40" i="6"/>
  <c r="B40" i="6"/>
  <c r="A37" i="6"/>
  <c r="A36" i="6"/>
  <c r="A35" i="6"/>
  <c r="A34" i="6"/>
  <c r="F33" i="6"/>
  <c r="E33" i="6"/>
  <c r="D33" i="6"/>
  <c r="C33" i="6"/>
  <c r="B33" i="6"/>
  <c r="C29" i="6"/>
  <c r="D29" i="6" s="1"/>
  <c r="C28" i="6"/>
  <c r="D28" i="6" s="1"/>
  <c r="C27" i="6"/>
  <c r="D27" i="6" s="1"/>
  <c r="C26" i="6"/>
  <c r="D26" i="6" s="1"/>
  <c r="C25" i="6"/>
  <c r="D25" i="6" s="1"/>
  <c r="C24" i="6"/>
  <c r="D24" i="6" s="1"/>
  <c r="C23" i="6"/>
  <c r="D23" i="6" s="1"/>
  <c r="C22" i="6"/>
  <c r="D22" i="6" s="1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B4" i="6"/>
  <c r="A34" i="5"/>
  <c r="B16" i="5"/>
  <c r="B12" i="5"/>
  <c r="B9" i="5"/>
  <c r="B8" i="5"/>
  <c r="B6" i="6" s="1"/>
  <c r="B7" i="5"/>
  <c r="B5" i="6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4" i="4"/>
  <c r="A30" i="3"/>
  <c r="B14" i="3"/>
  <c r="B10" i="3"/>
  <c r="B7" i="3"/>
  <c r="B6" i="4" s="1"/>
  <c r="B6" i="3"/>
  <c r="B5" i="4" s="1"/>
  <c r="B19" i="1"/>
  <c r="C19" i="1" s="1"/>
  <c r="B18" i="1"/>
  <c r="C18" i="1" s="1"/>
  <c r="B17" i="1"/>
  <c r="C17" i="1" s="1"/>
  <c r="B9" i="1"/>
  <c r="B7" i="1"/>
  <c r="A21" i="2"/>
  <c r="B7" i="2"/>
  <c r="B6" i="2"/>
  <c r="F39" i="18" l="1"/>
  <c r="R6" i="17"/>
  <c r="N6" i="17"/>
  <c r="E39" i="18"/>
  <c r="J6" i="17"/>
  <c r="D39" i="18"/>
  <c r="F6" i="17"/>
  <c r="B39" i="18"/>
  <c r="B6" i="17"/>
  <c r="R6" i="16"/>
  <c r="F22" i="18"/>
  <c r="E22" i="18"/>
  <c r="N6" i="16"/>
  <c r="D22" i="18"/>
  <c r="J6" i="16"/>
  <c r="C22" i="18"/>
  <c r="F6" i="16"/>
  <c r="B22" i="18"/>
  <c r="B6" i="16"/>
  <c r="R6" i="15"/>
  <c r="F5" i="18"/>
  <c r="N6" i="15"/>
  <c r="E5" i="18"/>
  <c r="J6" i="15"/>
  <c r="D5" i="18"/>
  <c r="F6" i="15"/>
  <c r="C5" i="18"/>
  <c r="B6" i="15"/>
  <c r="B5" i="18"/>
  <c r="AE34" i="14"/>
  <c r="AD6" i="14"/>
  <c r="AE23" i="14"/>
  <c r="AE33" i="14"/>
  <c r="AE14" i="14"/>
  <c r="AE22" i="14"/>
  <c r="AE9" i="14"/>
  <c r="AE28" i="14"/>
  <c r="AE19" i="14"/>
  <c r="AE18" i="14"/>
  <c r="AE27" i="14"/>
  <c r="AE13" i="14"/>
  <c r="AE31" i="14"/>
  <c r="AE10" i="14"/>
  <c r="AE21" i="14"/>
  <c r="AE26" i="14"/>
  <c r="AE29" i="14"/>
  <c r="AE12" i="14"/>
  <c r="AE32" i="14"/>
  <c r="AE20" i="14"/>
  <c r="AE25" i="14"/>
  <c r="AE15" i="14"/>
  <c r="AE16" i="14"/>
  <c r="AE11" i="14"/>
  <c r="AE30" i="14"/>
  <c r="AE24" i="14"/>
  <c r="AE17" i="14"/>
  <c r="X12" i="14"/>
  <c r="X25" i="14"/>
  <c r="X34" i="14"/>
  <c r="E69" i="10"/>
  <c r="X10" i="14"/>
  <c r="X9" i="14"/>
  <c r="X33" i="14"/>
  <c r="X24" i="14"/>
  <c r="W6" i="14"/>
  <c r="E64" i="10"/>
  <c r="X32" i="14"/>
  <c r="X11" i="14"/>
  <c r="X23" i="14"/>
  <c r="E65" i="10"/>
  <c r="X31" i="14"/>
  <c r="E66" i="10"/>
  <c r="E67" i="10"/>
  <c r="X22" i="14"/>
  <c r="X30" i="14"/>
  <c r="E68" i="10"/>
  <c r="E70" i="10"/>
  <c r="X29" i="14"/>
  <c r="E71" i="10"/>
  <c r="X21" i="14"/>
  <c r="E72" i="10"/>
  <c r="X28" i="14"/>
  <c r="X20" i="14"/>
  <c r="X19" i="14"/>
  <c r="X18" i="14"/>
  <c r="X27" i="14"/>
  <c r="X17" i="14"/>
  <c r="X16" i="14"/>
  <c r="X15" i="14"/>
  <c r="X26" i="14"/>
  <c r="X14" i="14"/>
  <c r="X13" i="14"/>
  <c r="Q28" i="14"/>
  <c r="Q25" i="14"/>
  <c r="Q34" i="14"/>
  <c r="Q19" i="14"/>
  <c r="Q20" i="14"/>
  <c r="Q33" i="14"/>
  <c r="Q17" i="14"/>
  <c r="Q11" i="14"/>
  <c r="Q32" i="14"/>
  <c r="Q16" i="14"/>
  <c r="Q27" i="14"/>
  <c r="Q31" i="14"/>
  <c r="Q24" i="14"/>
  <c r="Q13" i="14"/>
  <c r="Q26" i="14"/>
  <c r="Q23" i="14"/>
  <c r="Q29" i="14"/>
  <c r="Q15" i="14"/>
  <c r="Q22" i="14"/>
  <c r="Q21" i="14"/>
  <c r="Q14" i="14"/>
  <c r="Q12" i="14"/>
  <c r="P6" i="14"/>
  <c r="Q18" i="14"/>
  <c r="Q10" i="14"/>
  <c r="D65" i="10"/>
  <c r="D64" i="10"/>
  <c r="D66" i="10"/>
  <c r="Q30" i="14"/>
  <c r="D67" i="10"/>
  <c r="D68" i="10"/>
  <c r="D69" i="10"/>
  <c r="D70" i="10"/>
  <c r="D71" i="10"/>
  <c r="Q9" i="14"/>
  <c r="D72" i="10"/>
  <c r="J19" i="14"/>
  <c r="C65" i="10"/>
  <c r="J22" i="14"/>
  <c r="J14" i="14"/>
  <c r="J34" i="14"/>
  <c r="J33" i="14"/>
  <c r="J15" i="14"/>
  <c r="J17" i="14"/>
  <c r="J16" i="14"/>
  <c r="I6" i="14"/>
  <c r="J31" i="14"/>
  <c r="J13" i="14"/>
  <c r="J30" i="14"/>
  <c r="J18" i="14"/>
  <c r="J20" i="14"/>
  <c r="C64" i="10"/>
  <c r="C66" i="10"/>
  <c r="J29" i="14"/>
  <c r="J32" i="14"/>
  <c r="C67" i="10"/>
  <c r="J35" i="14"/>
  <c r="J21" i="14"/>
  <c r="C68" i="10"/>
  <c r="J28" i="14"/>
  <c r="J12" i="14"/>
  <c r="C69" i="10"/>
  <c r="J27" i="14"/>
  <c r="J10" i="14"/>
  <c r="C70" i="10"/>
  <c r="J26" i="14"/>
  <c r="J11" i="14"/>
  <c r="C71" i="10"/>
  <c r="J25" i="14"/>
  <c r="J24" i="14"/>
  <c r="C72" i="10"/>
  <c r="J23" i="14"/>
  <c r="J9" i="14"/>
  <c r="C15" i="14"/>
  <c r="C26" i="14"/>
  <c r="C16" i="14"/>
  <c r="C17" i="14"/>
  <c r="B68" i="10"/>
  <c r="G68" i="10" s="1"/>
  <c r="H68" i="10" s="1"/>
  <c r="C18" i="14"/>
  <c r="C19" i="14"/>
  <c r="C20" i="14"/>
  <c r="B65" i="10"/>
  <c r="G65" i="10" s="1"/>
  <c r="H65" i="10" s="1"/>
  <c r="B66" i="10"/>
  <c r="G66" i="10" s="1"/>
  <c r="H66" i="10" s="1"/>
  <c r="C35" i="14"/>
  <c r="C34" i="14"/>
  <c r="C33" i="14"/>
  <c r="B67" i="10"/>
  <c r="G67" i="10" s="1"/>
  <c r="H67" i="10" s="1"/>
  <c r="C32" i="14"/>
  <c r="C31" i="14"/>
  <c r="C10" i="14"/>
  <c r="C30" i="14"/>
  <c r="C29" i="14"/>
  <c r="C28" i="14"/>
  <c r="C27" i="14"/>
  <c r="B69" i="10"/>
  <c r="G69" i="10" s="1"/>
  <c r="H69" i="10" s="1"/>
  <c r="C25" i="14"/>
  <c r="C24" i="14"/>
  <c r="C23" i="14"/>
  <c r="B70" i="10"/>
  <c r="G70" i="10" s="1"/>
  <c r="H70" i="10" s="1"/>
  <c r="C22" i="14"/>
  <c r="C9" i="14"/>
  <c r="C11" i="14"/>
  <c r="B71" i="10"/>
  <c r="G71" i="10" s="1"/>
  <c r="H71" i="10" s="1"/>
  <c r="B6" i="14"/>
  <c r="C12" i="14"/>
  <c r="B64" i="10"/>
  <c r="G64" i="10" s="1"/>
  <c r="H64" i="10" s="1"/>
  <c r="B72" i="10"/>
  <c r="G72" i="10" s="1"/>
  <c r="H72" i="10" s="1"/>
  <c r="C13" i="14"/>
  <c r="C21" i="14"/>
  <c r="C14" i="14"/>
  <c r="AE104" i="13"/>
  <c r="AE96" i="13"/>
  <c r="AE100" i="13"/>
  <c r="AE91" i="13"/>
  <c r="AE14" i="13"/>
  <c r="AE105" i="13"/>
  <c r="AE103" i="13"/>
  <c r="AE99" i="13"/>
  <c r="AE92" i="13"/>
  <c r="AE106" i="13"/>
  <c r="AE87" i="13"/>
  <c r="AE102" i="13"/>
  <c r="AE98" i="13"/>
  <c r="AE95" i="13"/>
  <c r="AE13" i="13"/>
  <c r="AE85" i="13"/>
  <c r="AE86" i="13"/>
  <c r="AE97" i="13"/>
  <c r="AE93" i="13"/>
  <c r="AE107" i="13"/>
  <c r="AE94" i="13"/>
  <c r="AE108" i="13"/>
  <c r="AE101" i="13"/>
  <c r="AE90" i="13"/>
  <c r="AE88" i="13"/>
  <c r="AE89" i="13"/>
  <c r="AD6" i="13"/>
  <c r="AE9" i="13"/>
  <c r="AE10" i="13"/>
  <c r="AE11" i="13"/>
  <c r="AE12" i="13"/>
  <c r="AE27" i="13"/>
  <c r="AE26" i="13"/>
  <c r="AE25" i="13"/>
  <c r="AE24" i="13"/>
  <c r="AE23" i="13"/>
  <c r="AE22" i="13"/>
  <c r="AE21" i="13"/>
  <c r="AE20" i="13"/>
  <c r="AE19" i="13"/>
  <c r="AE18" i="13"/>
  <c r="AE17" i="13"/>
  <c r="AE16" i="13"/>
  <c r="AE15" i="13"/>
  <c r="X108" i="13"/>
  <c r="X107" i="13"/>
  <c r="X106" i="13"/>
  <c r="X104" i="13"/>
  <c r="X103" i="13"/>
  <c r="X102" i="13"/>
  <c r="X101" i="13"/>
  <c r="X100" i="13"/>
  <c r="W6" i="13"/>
  <c r="X99" i="13"/>
  <c r="X9" i="13"/>
  <c r="X98" i="13"/>
  <c r="X10" i="13"/>
  <c r="X97" i="13"/>
  <c r="X11" i="13"/>
  <c r="X96" i="13"/>
  <c r="X12" i="13"/>
  <c r="X95" i="13"/>
  <c r="X105" i="13"/>
  <c r="X27" i="13"/>
  <c r="X94" i="13"/>
  <c r="X26" i="13"/>
  <c r="X15" i="13"/>
  <c r="X93" i="13"/>
  <c r="X25" i="13"/>
  <c r="X92" i="13"/>
  <c r="X24" i="13"/>
  <c r="X91" i="13"/>
  <c r="X23" i="13"/>
  <c r="X90" i="13"/>
  <c r="X22" i="13"/>
  <c r="X89" i="13"/>
  <c r="X21" i="13"/>
  <c r="X88" i="13"/>
  <c r="X20" i="13"/>
  <c r="X87" i="13"/>
  <c r="X19" i="13"/>
  <c r="X86" i="13"/>
  <c r="X18" i="13"/>
  <c r="X85" i="13"/>
  <c r="X17" i="13"/>
  <c r="X14" i="13"/>
  <c r="X16" i="13"/>
  <c r="X13" i="13"/>
  <c r="Q106" i="13"/>
  <c r="Q98" i="13"/>
  <c r="Q23" i="13"/>
  <c r="Q107" i="13"/>
  <c r="Q16" i="13"/>
  <c r="Q24" i="13"/>
  <c r="Q108" i="13"/>
  <c r="Q94" i="13"/>
  <c r="Q92" i="13"/>
  <c r="Q27" i="13"/>
  <c r="Q105" i="13"/>
  <c r="Q9" i="13"/>
  <c r="Q85" i="13"/>
  <c r="Q91" i="13"/>
  <c r="Q25" i="13"/>
  <c r="Q17" i="13"/>
  <c r="Q96" i="13"/>
  <c r="Q18" i="13"/>
  <c r="Q90" i="13"/>
  <c r="Q100" i="13"/>
  <c r="Q104" i="13"/>
  <c r="Q19" i="13"/>
  <c r="Q95" i="13"/>
  <c r="Q89" i="13"/>
  <c r="Q14" i="13"/>
  <c r="Q103" i="13"/>
  <c r="Q10" i="13"/>
  <c r="Q15" i="13"/>
  <c r="Q88" i="13"/>
  <c r="Q12" i="13"/>
  <c r="Q20" i="13"/>
  <c r="Q97" i="13"/>
  <c r="Q93" i="13"/>
  <c r="Q87" i="13"/>
  <c r="Q99" i="13"/>
  <c r="Q21" i="13"/>
  <c r="Q102" i="13"/>
  <c r="Q13" i="13"/>
  <c r="Q86" i="13"/>
  <c r="Q11" i="13"/>
  <c r="Q22" i="13"/>
  <c r="Q101" i="13"/>
  <c r="Q26" i="13"/>
  <c r="P6" i="13"/>
  <c r="J106" i="13"/>
  <c r="J107" i="13"/>
  <c r="J108" i="13"/>
  <c r="J92" i="13"/>
  <c r="J96" i="13"/>
  <c r="J94" i="13"/>
  <c r="J91" i="13"/>
  <c r="J90" i="13"/>
  <c r="J89" i="13"/>
  <c r="J97" i="13"/>
  <c r="J95" i="13"/>
  <c r="J88" i="13"/>
  <c r="J87" i="13"/>
  <c r="J93" i="13"/>
  <c r="J86" i="13"/>
  <c r="I6" i="13"/>
  <c r="J98" i="13"/>
  <c r="J9" i="13"/>
  <c r="J10" i="13"/>
  <c r="J15" i="13"/>
  <c r="J11" i="13"/>
  <c r="J12" i="13"/>
  <c r="J85" i="13"/>
  <c r="J13" i="13"/>
  <c r="J14" i="13"/>
  <c r="J27" i="13"/>
  <c r="J99" i="13"/>
  <c r="J25" i="13"/>
  <c r="J100" i="13"/>
  <c r="J24" i="13"/>
  <c r="J101" i="13"/>
  <c r="J23" i="13"/>
  <c r="J22" i="13"/>
  <c r="J104" i="13"/>
  <c r="J102" i="13"/>
  <c r="J21" i="13"/>
  <c r="J103" i="13"/>
  <c r="J20" i="13"/>
  <c r="J19" i="13"/>
  <c r="J26" i="13"/>
  <c r="J18" i="13"/>
  <c r="J105" i="13"/>
  <c r="J17" i="13"/>
  <c r="J16" i="13"/>
  <c r="C107" i="13"/>
  <c r="C24" i="13"/>
  <c r="C101" i="13"/>
  <c r="C27" i="13"/>
  <c r="C93" i="13"/>
  <c r="C95" i="13"/>
  <c r="C23" i="13"/>
  <c r="B6" i="13"/>
  <c r="C102" i="13"/>
  <c r="C86" i="13"/>
  <c r="C99" i="13"/>
  <c r="C15" i="13"/>
  <c r="C96" i="13"/>
  <c r="C98" i="13"/>
  <c r="C87" i="13"/>
  <c r="C26" i="13"/>
  <c r="C21" i="13"/>
  <c r="C103" i="13"/>
  <c r="C11" i="13"/>
  <c r="C88" i="13"/>
  <c r="C100" i="13"/>
  <c r="C20" i="13"/>
  <c r="C89" i="13"/>
  <c r="C104" i="13"/>
  <c r="C97" i="13"/>
  <c r="C13" i="13"/>
  <c r="C19" i="13"/>
  <c r="C14" i="13"/>
  <c r="C90" i="13"/>
  <c r="C94" i="13"/>
  <c r="C25" i="13"/>
  <c r="C18" i="13"/>
  <c r="C105" i="13"/>
  <c r="C12" i="13"/>
  <c r="C91" i="13"/>
  <c r="C10" i="13"/>
  <c r="C17" i="13"/>
  <c r="C92" i="13"/>
  <c r="C106" i="13"/>
  <c r="C108" i="13"/>
  <c r="C9" i="13"/>
  <c r="C16" i="13"/>
  <c r="C28" i="13"/>
  <c r="C22" i="13"/>
  <c r="AE17" i="12"/>
  <c r="AE16" i="12"/>
  <c r="AE15" i="12"/>
  <c r="AE14" i="12"/>
  <c r="AE12" i="12"/>
  <c r="AE11" i="12"/>
  <c r="AE10" i="12"/>
  <c r="AE9" i="12"/>
  <c r="AD6" i="12"/>
  <c r="AE13" i="12"/>
  <c r="AE20" i="12"/>
  <c r="AE19" i="12"/>
  <c r="AE18" i="12"/>
  <c r="X16" i="12"/>
  <c r="X17" i="12"/>
  <c r="X10" i="12"/>
  <c r="X20" i="12"/>
  <c r="X9" i="12"/>
  <c r="X14" i="12"/>
  <c r="X15" i="12"/>
  <c r="W6" i="12"/>
  <c r="X12" i="12"/>
  <c r="X11" i="12"/>
  <c r="X13" i="12"/>
  <c r="X19" i="12"/>
  <c r="X18" i="12"/>
  <c r="Q9" i="12"/>
  <c r="Q17" i="12"/>
  <c r="P6" i="12"/>
  <c r="Q20" i="12"/>
  <c r="Q14" i="12"/>
  <c r="Q16" i="12"/>
  <c r="Q12" i="12"/>
  <c r="Q10" i="12"/>
  <c r="Q13" i="12"/>
  <c r="Q19" i="12"/>
  <c r="Q15" i="12"/>
  <c r="Q11" i="12"/>
  <c r="Q18" i="12"/>
  <c r="J16" i="12"/>
  <c r="J15" i="12"/>
  <c r="J10" i="12"/>
  <c r="J11" i="12"/>
  <c r="J9" i="12"/>
  <c r="I6" i="12"/>
  <c r="J20" i="12"/>
  <c r="J14" i="12"/>
  <c r="J17" i="12"/>
  <c r="J19" i="12"/>
  <c r="J13" i="12"/>
  <c r="J12" i="12"/>
  <c r="J18" i="12"/>
  <c r="C15" i="12"/>
  <c r="C16" i="12"/>
  <c r="C12" i="12"/>
  <c r="C20" i="12"/>
  <c r="C17" i="12"/>
  <c r="C10" i="12"/>
  <c r="C11" i="12"/>
  <c r="C9" i="12"/>
  <c r="C13" i="12"/>
  <c r="B6" i="12"/>
  <c r="C19" i="12"/>
  <c r="C14" i="12"/>
  <c r="C18" i="12"/>
  <c r="W27" i="9"/>
  <c r="I27" i="9" s="1"/>
  <c r="L27" i="9"/>
  <c r="C27" i="9"/>
  <c r="M27" i="9"/>
  <c r="Q27" i="9"/>
  <c r="R27" i="9" s="1"/>
  <c r="X27" i="9"/>
  <c r="K27" i="9" s="1"/>
  <c r="V27" i="9"/>
  <c r="H27" i="9" s="1"/>
  <c r="P27" i="9"/>
  <c r="G27" i="9"/>
  <c r="D27" i="9"/>
  <c r="Q26" i="9"/>
  <c r="R26" i="9" s="1"/>
  <c r="M26" i="9"/>
  <c r="C26" i="9"/>
  <c r="D26" i="9"/>
  <c r="G26" i="9"/>
  <c r="V26" i="9"/>
  <c r="H26" i="9" s="1"/>
  <c r="W26" i="9"/>
  <c r="I26" i="9" s="1"/>
  <c r="X26" i="9"/>
  <c r="K26" i="9" s="1"/>
  <c r="C25" i="9"/>
  <c r="D25" i="9"/>
  <c r="X25" i="9"/>
  <c r="K25" i="9" s="1"/>
  <c r="M25" i="9"/>
  <c r="Q25" i="9"/>
  <c r="R25" i="9" s="1"/>
  <c r="V25" i="9"/>
  <c r="H25" i="9" s="1"/>
  <c r="W25" i="9"/>
  <c r="I25" i="9" s="1"/>
  <c r="G25" i="9"/>
  <c r="V24" i="9"/>
  <c r="H24" i="9" s="1"/>
  <c r="C24" i="9"/>
  <c r="M24" i="9"/>
  <c r="D24" i="9"/>
  <c r="G24" i="9"/>
  <c r="Q24" i="9"/>
  <c r="R24" i="9" s="1"/>
  <c r="X24" i="9"/>
  <c r="K24" i="9" s="1"/>
  <c r="W24" i="9"/>
  <c r="I24" i="9" s="1"/>
  <c r="X23" i="9"/>
  <c r="K23" i="9" s="1"/>
  <c r="V23" i="9"/>
  <c r="H23" i="9" s="1"/>
  <c r="C23" i="9"/>
  <c r="D23" i="9"/>
  <c r="Q23" i="9"/>
  <c r="R23" i="9" s="1"/>
  <c r="G23" i="9"/>
  <c r="W23" i="9"/>
  <c r="I23" i="9" s="1"/>
  <c r="M23" i="9"/>
  <c r="C22" i="9"/>
  <c r="D22" i="9"/>
  <c r="M22" i="9"/>
  <c r="Q22" i="9"/>
  <c r="R22" i="9" s="1"/>
  <c r="V22" i="9"/>
  <c r="H22" i="9" s="1"/>
  <c r="X22" i="9"/>
  <c r="K22" i="9" s="1"/>
  <c r="G22" i="9"/>
  <c r="W22" i="9"/>
  <c r="I22" i="9" s="1"/>
  <c r="L22" i="9"/>
  <c r="N22" i="9" s="1"/>
  <c r="P22" i="9"/>
  <c r="M21" i="9"/>
  <c r="Q21" i="9"/>
  <c r="R21" i="9" s="1"/>
  <c r="V21" i="9"/>
  <c r="H21" i="9" s="1"/>
  <c r="X21" i="9"/>
  <c r="K21" i="9" s="1"/>
  <c r="P21" i="9"/>
  <c r="L21" i="9"/>
  <c r="D21" i="9"/>
  <c r="G21" i="9"/>
  <c r="C21" i="9"/>
  <c r="W21" i="9"/>
  <c r="I21" i="9" s="1"/>
  <c r="V20" i="9"/>
  <c r="H20" i="9" s="1"/>
  <c r="X20" i="9"/>
  <c r="K20" i="9" s="1"/>
  <c r="W20" i="9"/>
  <c r="I20" i="9" s="1"/>
  <c r="C20" i="9"/>
  <c r="G20" i="9"/>
  <c r="M20" i="9"/>
  <c r="Q20" i="9"/>
  <c r="R20" i="9" s="1"/>
  <c r="D20" i="9"/>
  <c r="Q19" i="9"/>
  <c r="R19" i="9" s="1"/>
  <c r="G19" i="9"/>
  <c r="C19" i="9"/>
  <c r="W19" i="9"/>
  <c r="I19" i="9" s="1"/>
  <c r="M19" i="9"/>
  <c r="X19" i="9"/>
  <c r="K19" i="9" s="1"/>
  <c r="D19" i="9"/>
  <c r="V19" i="9"/>
  <c r="H19" i="9" s="1"/>
  <c r="W18" i="9"/>
  <c r="I18" i="9" s="1"/>
  <c r="X18" i="9"/>
  <c r="K18" i="9" s="1"/>
  <c r="V18" i="9"/>
  <c r="H18" i="9" s="1"/>
  <c r="Q18" i="9"/>
  <c r="R18" i="9" s="1"/>
  <c r="M18" i="9"/>
  <c r="C18" i="9"/>
  <c r="D18" i="9"/>
  <c r="G17" i="9"/>
  <c r="D17" i="9"/>
  <c r="C17" i="9"/>
  <c r="L17" i="9"/>
  <c r="Q17" i="9"/>
  <c r="R17" i="9" s="1"/>
  <c r="W17" i="9"/>
  <c r="I17" i="9" s="1"/>
  <c r="M17" i="9"/>
  <c r="X17" i="9"/>
  <c r="K17" i="9" s="1"/>
  <c r="V17" i="9"/>
  <c r="H17" i="9" s="1"/>
  <c r="P17" i="9"/>
  <c r="M16" i="9"/>
  <c r="Q16" i="9"/>
  <c r="R16" i="9" s="1"/>
  <c r="L16" i="9"/>
  <c r="N16" i="9" s="1"/>
  <c r="C16" i="9"/>
  <c r="D16" i="9"/>
  <c r="W16" i="9"/>
  <c r="I16" i="9" s="1"/>
  <c r="G16" i="9"/>
  <c r="X16" i="9"/>
  <c r="K16" i="9" s="1"/>
  <c r="V16" i="9"/>
  <c r="H16" i="9" s="1"/>
  <c r="P16" i="9"/>
  <c r="W15" i="9"/>
  <c r="I15" i="9" s="1"/>
  <c r="D15" i="9"/>
  <c r="C15" i="9"/>
  <c r="X15" i="9"/>
  <c r="K15" i="9" s="1"/>
  <c r="V15" i="9"/>
  <c r="H15" i="9" s="1"/>
  <c r="Q15" i="9"/>
  <c r="R15" i="9" s="1"/>
  <c r="M15" i="9"/>
  <c r="G15" i="9"/>
  <c r="C14" i="9"/>
  <c r="D14" i="9"/>
  <c r="X14" i="9"/>
  <c r="K14" i="9" s="1"/>
  <c r="W14" i="9"/>
  <c r="I14" i="9" s="1"/>
  <c r="V14" i="9"/>
  <c r="H14" i="9" s="1"/>
  <c r="Q14" i="9"/>
  <c r="R14" i="9" s="1"/>
  <c r="M14" i="9"/>
  <c r="G14" i="9"/>
  <c r="W13" i="9"/>
  <c r="I13" i="9" s="1"/>
  <c r="Q13" i="9"/>
  <c r="R13" i="9" s="1"/>
  <c r="G13" i="9"/>
  <c r="X13" i="9"/>
  <c r="K13" i="9" s="1"/>
  <c r="V13" i="9"/>
  <c r="H13" i="9" s="1"/>
  <c r="M13" i="9"/>
  <c r="C13" i="9"/>
  <c r="D13" i="9"/>
  <c r="B23" i="5"/>
  <c r="B13" i="5"/>
  <c r="B14" i="5"/>
  <c r="B22" i="5"/>
  <c r="B24" i="5"/>
  <c r="B7" i="6"/>
  <c r="B19" i="5"/>
  <c r="B21" i="5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9" i="6"/>
  <c r="AK27" i="6"/>
  <c r="AK28" i="6"/>
  <c r="H19" i="4"/>
  <c r="H18" i="4"/>
  <c r="H17" i="4"/>
  <c r="H16" i="4"/>
  <c r="H15" i="4"/>
  <c r="H14" i="4"/>
  <c r="H13" i="4"/>
  <c r="H12" i="4"/>
  <c r="H11" i="4"/>
  <c r="H10" i="4"/>
  <c r="H9" i="4"/>
  <c r="B19" i="3"/>
  <c r="B18" i="3"/>
  <c r="B12" i="3"/>
  <c r="B11" i="3"/>
  <c r="AJ9" i="4"/>
  <c r="AJ10" i="4"/>
  <c r="AJ11" i="4"/>
  <c r="AJ12" i="4"/>
  <c r="AJ13" i="4"/>
  <c r="AJ14" i="4"/>
  <c r="AJ15" i="4"/>
  <c r="AJ16" i="4"/>
  <c r="AJ17" i="4"/>
  <c r="AJ18" i="4"/>
  <c r="AJ19" i="4"/>
  <c r="B5" i="14"/>
  <c r="I5" i="14"/>
  <c r="P5" i="14"/>
  <c r="W5" i="14"/>
  <c r="B5" i="13"/>
  <c r="I5" i="13"/>
  <c r="P5" i="13"/>
  <c r="B5" i="12"/>
  <c r="I5" i="12"/>
  <c r="P5" i="12"/>
  <c r="P20" i="2"/>
  <c r="O20" i="2"/>
  <c r="N20" i="2"/>
  <c r="M20" i="2"/>
  <c r="L20" i="2"/>
  <c r="K20" i="2"/>
  <c r="J20" i="2"/>
  <c r="B10" i="2"/>
  <c r="Y20" i="2"/>
  <c r="X20" i="2"/>
  <c r="R20" i="2"/>
  <c r="Q20" i="2"/>
  <c r="S20" i="2"/>
  <c r="G20" i="2"/>
  <c r="H20" i="2"/>
  <c r="T20" i="2"/>
  <c r="U20" i="2"/>
  <c r="I20" i="2"/>
  <c r="V20" i="2"/>
  <c r="W20" i="2"/>
  <c r="B9" i="2"/>
  <c r="F41" i="18" l="1"/>
  <c r="M45" i="18"/>
  <c r="F45" i="18" s="1"/>
  <c r="M49" i="18"/>
  <c r="F49" i="18" s="1"/>
  <c r="M52" i="18"/>
  <c r="F52" i="18" s="1"/>
  <c r="F40" i="18"/>
  <c r="M42" i="18"/>
  <c r="F42" i="18" s="1"/>
  <c r="M43" i="18"/>
  <c r="F43" i="18" s="1"/>
  <c r="M46" i="18"/>
  <c r="F46" i="18" s="1"/>
  <c r="M48" i="18"/>
  <c r="F48" i="18" s="1"/>
  <c r="M51" i="18"/>
  <c r="F51" i="18" s="1"/>
  <c r="M44" i="18"/>
  <c r="F44" i="18" s="1"/>
  <c r="M47" i="18"/>
  <c r="F47" i="18" s="1"/>
  <c r="M50" i="18"/>
  <c r="F50" i="18" s="1"/>
  <c r="E40" i="18"/>
  <c r="L42" i="18"/>
  <c r="E42" i="18" s="1"/>
  <c r="L43" i="18"/>
  <c r="E43" i="18" s="1"/>
  <c r="L46" i="18"/>
  <c r="E46" i="18" s="1"/>
  <c r="L50" i="18"/>
  <c r="E50" i="18" s="1"/>
  <c r="L51" i="18"/>
  <c r="E51" i="18" s="1"/>
  <c r="L52" i="18"/>
  <c r="E52" i="18" s="1"/>
  <c r="L44" i="18"/>
  <c r="E44" i="18" s="1"/>
  <c r="E41" i="18"/>
  <c r="L45" i="18"/>
  <c r="E45" i="18" s="1"/>
  <c r="L47" i="18"/>
  <c r="E47" i="18" s="1"/>
  <c r="L49" i="18"/>
  <c r="E49" i="18" s="1"/>
  <c r="L48" i="18"/>
  <c r="E48" i="18" s="1"/>
  <c r="K48" i="18"/>
  <c r="D48" i="18" s="1"/>
  <c r="K51" i="18"/>
  <c r="D51" i="18" s="1"/>
  <c r="K45" i="18"/>
  <c r="D45" i="18" s="1"/>
  <c r="D41" i="18"/>
  <c r="K42" i="18"/>
  <c r="D42" i="18" s="1"/>
  <c r="K43" i="18"/>
  <c r="D43" i="18" s="1"/>
  <c r="K44" i="18"/>
  <c r="D44" i="18" s="1"/>
  <c r="K49" i="18"/>
  <c r="D49" i="18" s="1"/>
  <c r="D40" i="18"/>
  <c r="K46" i="18"/>
  <c r="D46" i="18" s="1"/>
  <c r="K47" i="18"/>
  <c r="D47" i="18" s="1"/>
  <c r="K50" i="18"/>
  <c r="D50" i="18" s="1"/>
  <c r="K52" i="18"/>
  <c r="D52" i="18" s="1"/>
  <c r="C41" i="18"/>
  <c r="C40" i="18"/>
  <c r="J47" i="18"/>
  <c r="C47" i="18" s="1"/>
  <c r="J50" i="18"/>
  <c r="C50" i="18" s="1"/>
  <c r="J51" i="18"/>
  <c r="C51" i="18" s="1"/>
  <c r="J52" i="18"/>
  <c r="C52" i="18" s="1"/>
  <c r="J42" i="18"/>
  <c r="C42" i="18" s="1"/>
  <c r="J43" i="18"/>
  <c r="C43" i="18" s="1"/>
  <c r="J45" i="18"/>
  <c r="C45" i="18" s="1"/>
  <c r="J48" i="18"/>
  <c r="C48" i="18" s="1"/>
  <c r="J49" i="18"/>
  <c r="C49" i="18" s="1"/>
  <c r="J44" i="18"/>
  <c r="C44" i="18" s="1"/>
  <c r="J46" i="18"/>
  <c r="C46" i="18" s="1"/>
  <c r="I45" i="18"/>
  <c r="B45" i="18" s="1"/>
  <c r="I46" i="18"/>
  <c r="B46" i="18" s="1"/>
  <c r="I48" i="18"/>
  <c r="B48" i="18" s="1"/>
  <c r="B41" i="18"/>
  <c r="I42" i="18"/>
  <c r="B42" i="18" s="1"/>
  <c r="I43" i="18"/>
  <c r="B43" i="18" s="1"/>
  <c r="I49" i="18"/>
  <c r="B49" i="18" s="1"/>
  <c r="I50" i="18"/>
  <c r="B50" i="18" s="1"/>
  <c r="I51" i="18"/>
  <c r="B51" i="18" s="1"/>
  <c r="I52" i="18"/>
  <c r="B52" i="18" s="1"/>
  <c r="D16" i="19"/>
  <c r="B40" i="18"/>
  <c r="G16" i="19" s="1"/>
  <c r="H16" i="19" s="1"/>
  <c r="I16" i="19" s="1"/>
  <c r="I44" i="18"/>
  <c r="B44" i="18" s="1"/>
  <c r="I47" i="18"/>
  <c r="B47" i="18" s="1"/>
  <c r="F24" i="18"/>
  <c r="M26" i="18"/>
  <c r="F26" i="18" s="1"/>
  <c r="M27" i="18"/>
  <c r="F27" i="18" s="1"/>
  <c r="M29" i="18"/>
  <c r="F29" i="18" s="1"/>
  <c r="M32" i="18"/>
  <c r="F32" i="18" s="1"/>
  <c r="M33" i="18"/>
  <c r="F33" i="18" s="1"/>
  <c r="M35" i="18"/>
  <c r="F35" i="18" s="1"/>
  <c r="F23" i="18"/>
  <c r="M31" i="18"/>
  <c r="F31" i="18" s="1"/>
  <c r="M25" i="18"/>
  <c r="F25" i="18" s="1"/>
  <c r="M28" i="18"/>
  <c r="F28" i="18" s="1"/>
  <c r="M34" i="18"/>
  <c r="F34" i="18" s="1"/>
  <c r="M30" i="18"/>
  <c r="F30" i="18" s="1"/>
  <c r="E24" i="18"/>
  <c r="L27" i="18"/>
  <c r="E27" i="18" s="1"/>
  <c r="L29" i="18"/>
  <c r="E29" i="18" s="1"/>
  <c r="L31" i="18"/>
  <c r="E31" i="18" s="1"/>
  <c r="L32" i="18"/>
  <c r="E32" i="18" s="1"/>
  <c r="L35" i="18"/>
  <c r="E35" i="18" s="1"/>
  <c r="L28" i="18"/>
  <c r="E28" i="18" s="1"/>
  <c r="L34" i="18"/>
  <c r="E34" i="18" s="1"/>
  <c r="L25" i="18"/>
  <c r="E25" i="18" s="1"/>
  <c r="L26" i="18"/>
  <c r="E26" i="18" s="1"/>
  <c r="E23" i="18"/>
  <c r="L30" i="18"/>
  <c r="E30" i="18" s="1"/>
  <c r="L33" i="18"/>
  <c r="E33" i="18" s="1"/>
  <c r="D24" i="18"/>
  <c r="K26" i="18"/>
  <c r="D26" i="18" s="1"/>
  <c r="K27" i="18"/>
  <c r="D27" i="18" s="1"/>
  <c r="K29" i="18"/>
  <c r="D29" i="18" s="1"/>
  <c r="K31" i="18"/>
  <c r="D31" i="18" s="1"/>
  <c r="K25" i="18"/>
  <c r="D25" i="18" s="1"/>
  <c r="K33" i="18"/>
  <c r="D33" i="18" s="1"/>
  <c r="K35" i="18"/>
  <c r="D35" i="18" s="1"/>
  <c r="D23" i="18"/>
  <c r="K30" i="18"/>
  <c r="D30" i="18" s="1"/>
  <c r="K32" i="18"/>
  <c r="D32" i="18" s="1"/>
  <c r="K28" i="18"/>
  <c r="D28" i="18" s="1"/>
  <c r="K34" i="18"/>
  <c r="D34" i="18" s="1"/>
  <c r="J25" i="18"/>
  <c r="C25" i="18" s="1"/>
  <c r="J30" i="18"/>
  <c r="C30" i="18" s="1"/>
  <c r="J32" i="18"/>
  <c r="C32" i="18" s="1"/>
  <c r="J34" i="18"/>
  <c r="C34" i="18" s="1"/>
  <c r="C23" i="18"/>
  <c r="C24" i="18"/>
  <c r="J28" i="18"/>
  <c r="C28" i="18" s="1"/>
  <c r="J26" i="18"/>
  <c r="C26" i="18" s="1"/>
  <c r="J27" i="18"/>
  <c r="C27" i="18" s="1"/>
  <c r="J29" i="18"/>
  <c r="C29" i="18" s="1"/>
  <c r="J31" i="18"/>
  <c r="C31" i="18" s="1"/>
  <c r="J33" i="18"/>
  <c r="C33" i="18" s="1"/>
  <c r="J35" i="18"/>
  <c r="C35" i="18" s="1"/>
  <c r="B24" i="18"/>
  <c r="I28" i="18"/>
  <c r="B28" i="18" s="1"/>
  <c r="G28" i="18" s="1"/>
  <c r="H28" i="18" s="1"/>
  <c r="I32" i="18"/>
  <c r="B32" i="18" s="1"/>
  <c r="G32" i="18" s="1"/>
  <c r="H32" i="18" s="1"/>
  <c r="I27" i="18"/>
  <c r="B27" i="18" s="1"/>
  <c r="G27" i="18" s="1"/>
  <c r="H27" i="18" s="1"/>
  <c r="B23" i="18"/>
  <c r="G15" i="19" s="1"/>
  <c r="H15" i="19" s="1"/>
  <c r="I15" i="19" s="1"/>
  <c r="I33" i="18"/>
  <c r="B33" i="18" s="1"/>
  <c r="G33" i="18" s="1"/>
  <c r="H33" i="18" s="1"/>
  <c r="I35" i="18"/>
  <c r="B35" i="18" s="1"/>
  <c r="G35" i="18" s="1"/>
  <c r="H35" i="18" s="1"/>
  <c r="I25" i="18"/>
  <c r="B25" i="18" s="1"/>
  <c r="G25" i="18" s="1"/>
  <c r="H25" i="18" s="1"/>
  <c r="I26" i="18"/>
  <c r="B26" i="18" s="1"/>
  <c r="I29" i="18"/>
  <c r="B29" i="18" s="1"/>
  <c r="I30" i="18"/>
  <c r="B30" i="18" s="1"/>
  <c r="I31" i="18"/>
  <c r="B31" i="18" s="1"/>
  <c r="I34" i="18"/>
  <c r="B34" i="18" s="1"/>
  <c r="D15" i="19"/>
  <c r="M13" i="18"/>
  <c r="F13" i="18" s="1"/>
  <c r="M16" i="18"/>
  <c r="F16" i="18" s="1"/>
  <c r="M17" i="18"/>
  <c r="F17" i="18" s="1"/>
  <c r="M18" i="18"/>
  <c r="F18" i="18" s="1"/>
  <c r="F7" i="18"/>
  <c r="M10" i="18"/>
  <c r="F10" i="18" s="1"/>
  <c r="M12" i="18"/>
  <c r="F12" i="18" s="1"/>
  <c r="M14" i="18"/>
  <c r="F14" i="18" s="1"/>
  <c r="M8" i="18"/>
  <c r="F8" i="18" s="1"/>
  <c r="M11" i="18"/>
  <c r="F11" i="18" s="1"/>
  <c r="F6" i="18"/>
  <c r="M9" i="18"/>
  <c r="F9" i="18" s="1"/>
  <c r="M15" i="18"/>
  <c r="F15" i="18" s="1"/>
  <c r="L9" i="18"/>
  <c r="E9" i="18" s="1"/>
  <c r="L15" i="18"/>
  <c r="E15" i="18" s="1"/>
  <c r="L16" i="18"/>
  <c r="E16" i="18" s="1"/>
  <c r="L8" i="18"/>
  <c r="E8" i="18" s="1"/>
  <c r="E7" i="18"/>
  <c r="L10" i="18"/>
  <c r="E10" i="18" s="1"/>
  <c r="L11" i="18"/>
  <c r="E11" i="18" s="1"/>
  <c r="L12" i="18"/>
  <c r="E12" i="18" s="1"/>
  <c r="L14" i="18"/>
  <c r="E14" i="18" s="1"/>
  <c r="L17" i="18"/>
  <c r="E17" i="18" s="1"/>
  <c r="E6" i="18"/>
  <c r="L13" i="18"/>
  <c r="E13" i="18" s="1"/>
  <c r="L18" i="18"/>
  <c r="E18" i="18" s="1"/>
  <c r="K8" i="18"/>
  <c r="D8" i="18" s="1"/>
  <c r="K9" i="18"/>
  <c r="D9" i="18" s="1"/>
  <c r="K16" i="18"/>
  <c r="D16" i="18" s="1"/>
  <c r="K17" i="18"/>
  <c r="D17" i="18" s="1"/>
  <c r="K18" i="18"/>
  <c r="D18" i="18" s="1"/>
  <c r="K11" i="18"/>
  <c r="D11" i="18" s="1"/>
  <c r="K15" i="18"/>
  <c r="D15" i="18" s="1"/>
  <c r="D6" i="18"/>
  <c r="D7" i="18"/>
  <c r="K10" i="18"/>
  <c r="D10" i="18" s="1"/>
  <c r="K12" i="18"/>
  <c r="D12" i="18" s="1"/>
  <c r="K13" i="18"/>
  <c r="D13" i="18" s="1"/>
  <c r="K14" i="18"/>
  <c r="D14" i="18" s="1"/>
  <c r="C7" i="18"/>
  <c r="J9" i="18"/>
  <c r="C9" i="18" s="1"/>
  <c r="J10" i="18"/>
  <c r="C10" i="18" s="1"/>
  <c r="J12" i="18"/>
  <c r="C12" i="18" s="1"/>
  <c r="J14" i="18"/>
  <c r="C14" i="18" s="1"/>
  <c r="J16" i="18"/>
  <c r="C16" i="18" s="1"/>
  <c r="J8" i="18"/>
  <c r="C8" i="18" s="1"/>
  <c r="J18" i="18"/>
  <c r="C18" i="18" s="1"/>
  <c r="J11" i="18"/>
  <c r="C11" i="18" s="1"/>
  <c r="C6" i="18"/>
  <c r="J13" i="18"/>
  <c r="C13" i="18" s="1"/>
  <c r="J15" i="18"/>
  <c r="C15" i="18" s="1"/>
  <c r="J17" i="18"/>
  <c r="C17" i="18" s="1"/>
  <c r="B7" i="18"/>
  <c r="I10" i="18"/>
  <c r="B10" i="18" s="1"/>
  <c r="G10" i="18" s="1"/>
  <c r="H10" i="18" s="1"/>
  <c r="I12" i="18"/>
  <c r="B12" i="18" s="1"/>
  <c r="G12" i="18" s="1"/>
  <c r="H12" i="18" s="1"/>
  <c r="I14" i="18"/>
  <c r="B14" i="18" s="1"/>
  <c r="G14" i="18" s="1"/>
  <c r="H14" i="18" s="1"/>
  <c r="I18" i="18"/>
  <c r="B18" i="18" s="1"/>
  <c r="B6" i="18"/>
  <c r="G14" i="19" s="1"/>
  <c r="H14" i="19" s="1"/>
  <c r="I14" i="19" s="1"/>
  <c r="I8" i="18"/>
  <c r="B8" i="18" s="1"/>
  <c r="G8" i="18" s="1"/>
  <c r="H8" i="18" s="1"/>
  <c r="I15" i="18"/>
  <c r="B15" i="18" s="1"/>
  <c r="G15" i="18" s="1"/>
  <c r="H15" i="18" s="1"/>
  <c r="I9" i="18"/>
  <c r="B9" i="18" s="1"/>
  <c r="G9" i="18" s="1"/>
  <c r="H9" i="18" s="1"/>
  <c r="I11" i="18"/>
  <c r="B11" i="18" s="1"/>
  <c r="G11" i="18" s="1"/>
  <c r="H11" i="18" s="1"/>
  <c r="I13" i="18"/>
  <c r="B13" i="18" s="1"/>
  <c r="G13" i="18" s="1"/>
  <c r="H13" i="18" s="1"/>
  <c r="I16" i="18"/>
  <c r="B16" i="18" s="1"/>
  <c r="G16" i="18" s="1"/>
  <c r="H16" i="18" s="1"/>
  <c r="I17" i="18"/>
  <c r="B17" i="18" s="1"/>
  <c r="D14" i="19"/>
  <c r="T27" i="9"/>
  <c r="S27" i="9"/>
  <c r="U27" i="9"/>
  <c r="E27" i="9"/>
  <c r="O27" i="9"/>
  <c r="S26" i="9"/>
  <c r="U26" i="9"/>
  <c r="T26" i="9"/>
  <c r="L26" i="9" s="1"/>
  <c r="E26" i="9"/>
  <c r="O26" i="9"/>
  <c r="O25" i="9"/>
  <c r="E25" i="9"/>
  <c r="U25" i="9"/>
  <c r="T25" i="9"/>
  <c r="S25" i="9"/>
  <c r="E24" i="9"/>
  <c r="O24" i="9"/>
  <c r="U24" i="9"/>
  <c r="S24" i="9"/>
  <c r="T24" i="9"/>
  <c r="L24" i="9" s="1"/>
  <c r="E23" i="9"/>
  <c r="O23" i="9"/>
  <c r="T23" i="9"/>
  <c r="S23" i="9"/>
  <c r="U23" i="9"/>
  <c r="E22" i="9"/>
  <c r="O22" i="9"/>
  <c r="U22" i="9"/>
  <c r="S22" i="9"/>
  <c r="T22" i="9"/>
  <c r="U21" i="9"/>
  <c r="S21" i="9"/>
  <c r="T21" i="9"/>
  <c r="E21" i="9"/>
  <c r="O21" i="9"/>
  <c r="U20" i="9"/>
  <c r="S20" i="9"/>
  <c r="T20" i="9"/>
  <c r="L20" i="9" s="1"/>
  <c r="O20" i="9"/>
  <c r="E20" i="9"/>
  <c r="T19" i="9"/>
  <c r="S19" i="9"/>
  <c r="U19" i="9"/>
  <c r="E19" i="9"/>
  <c r="O19" i="9"/>
  <c r="U18" i="9"/>
  <c r="S18" i="9"/>
  <c r="T18" i="9"/>
  <c r="L18" i="9" s="1"/>
  <c r="E18" i="9"/>
  <c r="O18" i="9"/>
  <c r="E17" i="9"/>
  <c r="O17" i="9"/>
  <c r="U17" i="9"/>
  <c r="S17" i="9"/>
  <c r="T17" i="9"/>
  <c r="S16" i="9"/>
  <c r="T16" i="9"/>
  <c r="U16" i="9"/>
  <c r="E16" i="9"/>
  <c r="O16" i="9"/>
  <c r="E15" i="9"/>
  <c r="O15" i="9"/>
  <c r="S15" i="9"/>
  <c r="T15" i="9"/>
  <c r="U15" i="9"/>
  <c r="O14" i="9"/>
  <c r="E14" i="9"/>
  <c r="S14" i="9"/>
  <c r="T14" i="9"/>
  <c r="U14" i="9"/>
  <c r="T13" i="9"/>
  <c r="S13" i="9"/>
  <c r="U13" i="9"/>
  <c r="E13" i="9"/>
  <c r="O13" i="9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8" i="6"/>
  <c r="I29" i="6"/>
  <c r="I27" i="6"/>
  <c r="B13" i="3"/>
  <c r="B20" i="3"/>
  <c r="N27" i="9"/>
  <c r="N21" i="9"/>
  <c r="N17" i="9"/>
  <c r="B15" i="5"/>
  <c r="P24" i="9"/>
  <c r="N24" i="9"/>
  <c r="P20" i="9"/>
  <c r="N20" i="9"/>
  <c r="P18" i="9"/>
  <c r="N18" i="9"/>
  <c r="L14" i="6"/>
  <c r="L13" i="6"/>
  <c r="L11" i="6"/>
  <c r="L10" i="6"/>
  <c r="L12" i="6"/>
  <c r="G43" i="18" l="1"/>
  <c r="H43" i="18" s="1"/>
  <c r="G47" i="18"/>
  <c r="H47" i="18" s="1"/>
  <c r="G42" i="18"/>
  <c r="H42" i="18" s="1"/>
  <c r="G50" i="18"/>
  <c r="H50" i="18" s="1"/>
  <c r="G44" i="18"/>
  <c r="H44" i="18" s="1"/>
  <c r="G48" i="18"/>
  <c r="H48" i="18" s="1"/>
  <c r="G46" i="18"/>
  <c r="H46" i="18" s="1"/>
  <c r="G49" i="18"/>
  <c r="H49" i="18" s="1"/>
  <c r="G52" i="18"/>
  <c r="H52" i="18" s="1"/>
  <c r="G51" i="18"/>
  <c r="H51" i="18" s="1"/>
  <c r="E16" i="19"/>
  <c r="F16" i="19"/>
  <c r="J16" i="19"/>
  <c r="E15" i="19"/>
  <c r="F15" i="19"/>
  <c r="J15" i="19"/>
  <c r="F14" i="19"/>
  <c r="J14" i="19"/>
  <c r="B10" i="19"/>
  <c r="E14" i="19"/>
  <c r="J27" i="9"/>
  <c r="F27" i="9"/>
  <c r="J26" i="9"/>
  <c r="F26" i="9"/>
  <c r="J25" i="9"/>
  <c r="F25" i="9"/>
  <c r="J24" i="9"/>
  <c r="F24" i="9"/>
  <c r="J23" i="9"/>
  <c r="B7" i="9"/>
  <c r="F23" i="9"/>
  <c r="J22" i="9"/>
  <c r="F22" i="9"/>
  <c r="J21" i="9"/>
  <c r="F21" i="9"/>
  <c r="J20" i="9"/>
  <c r="F20" i="9"/>
  <c r="J19" i="9"/>
  <c r="F19" i="9"/>
  <c r="J18" i="9"/>
  <c r="F18" i="9"/>
  <c r="B6" i="9"/>
  <c r="J17" i="9"/>
  <c r="F17" i="9"/>
  <c r="J16" i="9"/>
  <c r="F16" i="9"/>
  <c r="J15" i="9"/>
  <c r="F15" i="9"/>
  <c r="J14" i="9"/>
  <c r="F14" i="9"/>
  <c r="J13" i="9"/>
  <c r="F13" i="9"/>
  <c r="B5" i="9"/>
  <c r="B17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G18" i="18"/>
  <c r="H18" i="18" s="1"/>
  <c r="G45" i="18"/>
  <c r="H45" i="18" s="1"/>
  <c r="G26" i="18"/>
  <c r="H26" i="18" s="1"/>
  <c r="G29" i="18"/>
  <c r="H29" i="18" s="1"/>
  <c r="G30" i="18"/>
  <c r="H30" i="18" s="1"/>
  <c r="G31" i="18"/>
  <c r="H31" i="18" s="1"/>
  <c r="G34" i="18"/>
  <c r="H34" i="18" s="1"/>
  <c r="L25" i="9"/>
  <c r="L23" i="9"/>
  <c r="L19" i="9"/>
  <c r="L15" i="9"/>
  <c r="L14" i="9"/>
  <c r="L13" i="9"/>
  <c r="G17" i="18"/>
  <c r="H17" i="18" s="1"/>
  <c r="P26" i="9"/>
  <c r="N26" i="9"/>
  <c r="B20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B10" i="7" l="1"/>
  <c r="B10" i="8"/>
  <c r="B11" i="8"/>
  <c r="B14" i="8"/>
  <c r="B12" i="8"/>
  <c r="B13" i="8"/>
  <c r="B15" i="8"/>
  <c r="B16" i="8"/>
  <c r="B17" i="8"/>
  <c r="E7" i="9"/>
  <c r="G7" i="9"/>
  <c r="C7" i="9"/>
  <c r="E6" i="9"/>
  <c r="C6" i="9"/>
  <c r="G6" i="9"/>
  <c r="B8" i="2"/>
  <c r="E5" i="9"/>
  <c r="C5" i="9"/>
  <c r="G5" i="9"/>
  <c r="N25" i="9"/>
  <c r="P25" i="9"/>
  <c r="N23" i="9"/>
  <c r="P23" i="9"/>
  <c r="N19" i="9"/>
  <c r="P19" i="9"/>
  <c r="N15" i="9"/>
  <c r="P15" i="9"/>
  <c r="N14" i="9"/>
  <c r="P14" i="9"/>
  <c r="N13" i="9"/>
  <c r="P13" i="9"/>
  <c r="B11" i="7" l="1"/>
  <c r="AE10" i="8"/>
  <c r="AJ10" i="8"/>
  <c r="AD10" i="8"/>
  <c r="AI10" i="8"/>
  <c r="C10" i="8"/>
  <c r="AI11" i="8"/>
  <c r="AE11" i="8"/>
  <c r="AJ11" i="8"/>
  <c r="AD11" i="8"/>
  <c r="C11" i="8"/>
  <c r="AE14" i="8"/>
  <c r="AI14" i="8"/>
  <c r="AJ14" i="8"/>
  <c r="AD14" i="8"/>
  <c r="C14" i="8"/>
  <c r="AD12" i="8"/>
  <c r="AE12" i="8"/>
  <c r="AI12" i="8"/>
  <c r="AJ12" i="8"/>
  <c r="C12" i="8"/>
  <c r="AI13" i="8"/>
  <c r="AJ13" i="8"/>
  <c r="AE13" i="8"/>
  <c r="AD13" i="8"/>
  <c r="C13" i="8"/>
  <c r="AE15" i="8"/>
  <c r="AD15" i="8"/>
  <c r="AI15" i="8"/>
  <c r="AJ15" i="8"/>
  <c r="C15" i="8"/>
  <c r="AJ16" i="8"/>
  <c r="AE16" i="8"/>
  <c r="AI16" i="8"/>
  <c r="AD16" i="8"/>
  <c r="C16" i="8"/>
  <c r="AE17" i="8"/>
  <c r="AI17" i="8"/>
  <c r="AD17" i="8"/>
  <c r="AJ17" i="8"/>
  <c r="C17" i="8"/>
  <c r="B17" i="5"/>
  <c r="B18" i="5" s="1"/>
  <c r="D14" i="4"/>
  <c r="E14" i="4" s="1"/>
  <c r="F14" i="4" s="1"/>
  <c r="D15" i="4"/>
  <c r="E15" i="4" s="1"/>
  <c r="F15" i="4" s="1"/>
  <c r="D16" i="4"/>
  <c r="E16" i="4" s="1"/>
  <c r="F16" i="4" s="1"/>
  <c r="D17" i="4"/>
  <c r="E17" i="4" s="1"/>
  <c r="F17" i="4" s="1"/>
  <c r="D18" i="4"/>
  <c r="E18" i="4" s="1"/>
  <c r="F18" i="4" s="1"/>
  <c r="D19" i="4"/>
  <c r="E19" i="4" s="1"/>
  <c r="F19" i="4" s="1"/>
  <c r="E23" i="6"/>
  <c r="F23" i="6" s="1"/>
  <c r="G23" i="6" s="1"/>
  <c r="E27" i="6"/>
  <c r="F27" i="6" s="1"/>
  <c r="G27" i="6" s="1"/>
  <c r="E12" i="6"/>
  <c r="F12" i="6" s="1"/>
  <c r="G12" i="6" s="1"/>
  <c r="E24" i="6"/>
  <c r="F24" i="6" s="1"/>
  <c r="G24" i="6" s="1"/>
  <c r="E29" i="6"/>
  <c r="F29" i="6" s="1"/>
  <c r="G29" i="6" s="1"/>
  <c r="E14" i="6"/>
  <c r="F14" i="6" s="1"/>
  <c r="G14" i="6" s="1"/>
  <c r="E19" i="6"/>
  <c r="F19" i="6" s="1"/>
  <c r="G19" i="6" s="1"/>
  <c r="E18" i="6"/>
  <c r="F18" i="6" s="1"/>
  <c r="G18" i="6" s="1"/>
  <c r="E13" i="6"/>
  <c r="F13" i="6" s="1"/>
  <c r="G13" i="6" s="1"/>
  <c r="E17" i="6"/>
  <c r="F17" i="6" s="1"/>
  <c r="G17" i="6" s="1"/>
  <c r="E22" i="6"/>
  <c r="F22" i="6" s="1"/>
  <c r="G22" i="6" s="1"/>
  <c r="E28" i="6"/>
  <c r="F28" i="6" s="1"/>
  <c r="G28" i="6" s="1"/>
  <c r="B29" i="2"/>
  <c r="B28" i="2"/>
  <c r="B27" i="2"/>
  <c r="B26" i="2"/>
  <c r="B25" i="2"/>
  <c r="B24" i="2"/>
  <c r="B23" i="2"/>
  <c r="B22" i="2"/>
  <c r="B21" i="2"/>
  <c r="B15" i="3"/>
  <c r="B16" i="3" s="1"/>
  <c r="D9" i="4"/>
  <c r="E9" i="4" s="1"/>
  <c r="F9" i="4" s="1"/>
  <c r="D10" i="4"/>
  <c r="E10" i="4" s="1"/>
  <c r="F10" i="4" s="1"/>
  <c r="D11" i="4"/>
  <c r="E11" i="4" s="1"/>
  <c r="F11" i="4" s="1"/>
  <c r="D12" i="4"/>
  <c r="E12" i="4" s="1"/>
  <c r="F12" i="4" s="1"/>
  <c r="D13" i="4"/>
  <c r="E13" i="4" s="1"/>
  <c r="F13" i="4" s="1"/>
  <c r="E10" i="6"/>
  <c r="F10" i="6" s="1"/>
  <c r="G10" i="6" s="1"/>
  <c r="E26" i="6"/>
  <c r="F26" i="6" s="1"/>
  <c r="G26" i="6" s="1"/>
  <c r="E11" i="6"/>
  <c r="F11" i="6" s="1"/>
  <c r="G11" i="6" s="1"/>
  <c r="E15" i="6"/>
  <c r="F15" i="6" s="1"/>
  <c r="G15" i="6" s="1"/>
  <c r="E20" i="6"/>
  <c r="F20" i="6" s="1"/>
  <c r="G20" i="6" s="1"/>
  <c r="E16" i="6"/>
  <c r="F16" i="6" s="1"/>
  <c r="G16" i="6" s="1"/>
  <c r="E21" i="6"/>
  <c r="F21" i="6" s="1"/>
  <c r="G21" i="6" s="1"/>
  <c r="E25" i="6"/>
  <c r="F25" i="6" s="1"/>
  <c r="G25" i="6" s="1"/>
  <c r="AL11" i="8" l="1"/>
  <c r="AG15" i="8"/>
  <c r="AG17" i="8"/>
  <c r="AL14" i="8"/>
  <c r="AG16" i="8"/>
  <c r="AG10" i="8"/>
  <c r="AL12" i="8"/>
  <c r="AG11" i="8"/>
  <c r="AG13" i="8"/>
  <c r="AG14" i="8"/>
  <c r="AL13" i="8"/>
  <c r="AG12" i="8"/>
  <c r="AL10" i="8"/>
  <c r="AL15" i="8"/>
  <c r="AL17" i="8"/>
  <c r="AL16" i="8"/>
  <c r="Y29" i="7"/>
  <c r="AC29" i="7"/>
  <c r="AD29" i="7"/>
  <c r="X29" i="7"/>
  <c r="Y30" i="7"/>
  <c r="AA30" i="7" s="1"/>
  <c r="X31" i="7"/>
  <c r="AC31" i="7"/>
  <c r="X32" i="7"/>
  <c r="Y33" i="7"/>
  <c r="AA33" i="7" s="1"/>
  <c r="X36" i="7"/>
  <c r="AD37" i="7"/>
  <c r="B12" i="7"/>
  <c r="AD30" i="7"/>
  <c r="AF30" i="7" s="1"/>
  <c r="AC32" i="7"/>
  <c r="AD33" i="7"/>
  <c r="Y34" i="7"/>
  <c r="AA34" i="7" s="1"/>
  <c r="AC34" i="7"/>
  <c r="X35" i="7"/>
  <c r="AC35" i="7"/>
  <c r="Y36" i="7"/>
  <c r="AA36" i="7" s="1"/>
  <c r="AD36" i="7"/>
  <c r="Y37" i="7"/>
  <c r="AC37" i="7"/>
  <c r="B13" i="7"/>
  <c r="X30" i="7"/>
  <c r="AC30" i="7"/>
  <c r="Y31" i="7"/>
  <c r="AA31" i="7" s="1"/>
  <c r="AD31" i="7"/>
  <c r="AF31" i="7" s="1"/>
  <c r="Y32" i="7"/>
  <c r="AA32" i="7" s="1"/>
  <c r="AD32" i="7"/>
  <c r="AF32" i="7" s="1"/>
  <c r="X33" i="7"/>
  <c r="AC33" i="7"/>
  <c r="X34" i="7"/>
  <c r="AD34" i="7"/>
  <c r="AF34" i="7" s="1"/>
  <c r="Y35" i="7"/>
  <c r="AA35" i="7" s="1"/>
  <c r="AD35" i="7"/>
  <c r="AF35" i="7" s="1"/>
  <c r="AC36" i="7"/>
  <c r="X37" i="7"/>
  <c r="AH10" i="8"/>
  <c r="AF10" i="8"/>
  <c r="AM10" i="8"/>
  <c r="AK10" i="8"/>
  <c r="AK11" i="8"/>
  <c r="AM11" i="8"/>
  <c r="AH11" i="8"/>
  <c r="AF11" i="8"/>
  <c r="AM14" i="8"/>
  <c r="AK14" i="8"/>
  <c r="AH14" i="8"/>
  <c r="AF14" i="8"/>
  <c r="AH12" i="8"/>
  <c r="AF12" i="8"/>
  <c r="AM12" i="8"/>
  <c r="AK12" i="8"/>
  <c r="AM13" i="8"/>
  <c r="AK13" i="8"/>
  <c r="AH13" i="8"/>
  <c r="AF13" i="8"/>
  <c r="AH15" i="8"/>
  <c r="AF15" i="8"/>
  <c r="AM15" i="8"/>
  <c r="AK15" i="8"/>
  <c r="AM16" i="8"/>
  <c r="AK16" i="8"/>
  <c r="AH16" i="8"/>
  <c r="AF16" i="8"/>
  <c r="AM17" i="8"/>
  <c r="AK17" i="8"/>
  <c r="AH17" i="8"/>
  <c r="AF17" i="8"/>
  <c r="B34" i="5"/>
  <c r="B42" i="5"/>
  <c r="B41" i="5"/>
  <c r="B40" i="5"/>
  <c r="B39" i="5"/>
  <c r="B38" i="5"/>
  <c r="B37" i="5"/>
  <c r="B36" i="5"/>
  <c r="B35" i="5"/>
  <c r="AD14" i="4"/>
  <c r="AC14" i="4"/>
  <c r="AB14" i="4"/>
  <c r="AA14" i="4"/>
  <c r="J14" i="4" s="1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G14" i="4"/>
  <c r="AD15" i="4"/>
  <c r="AC15" i="4"/>
  <c r="AB15" i="4"/>
  <c r="AA15" i="4"/>
  <c r="J15" i="4" s="1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G15" i="4"/>
  <c r="AD16" i="4"/>
  <c r="AC16" i="4"/>
  <c r="AB16" i="4"/>
  <c r="AA16" i="4"/>
  <c r="J16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AE16" i="4" s="1" a="1"/>
  <c r="AE16" i="4" s="1"/>
  <c r="AF16" i="4" s="1"/>
  <c r="G16" i="4"/>
  <c r="AD17" i="4"/>
  <c r="AC17" i="4"/>
  <c r="AB17" i="4"/>
  <c r="AA17" i="4"/>
  <c r="J17" i="4" s="1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G17" i="4"/>
  <c r="AD18" i="4"/>
  <c r="AC18" i="4"/>
  <c r="AB18" i="4"/>
  <c r="AA18" i="4"/>
  <c r="J18" i="4" s="1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G18" i="4"/>
  <c r="AD19" i="4"/>
  <c r="AC19" i="4"/>
  <c r="AB19" i="4"/>
  <c r="AA19" i="4"/>
  <c r="J19" i="4" s="1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AE19" i="4" s="1" a="1"/>
  <c r="AE19" i="4" s="1"/>
  <c r="AF19" i="4" s="1"/>
  <c r="G19" i="4"/>
  <c r="AE23" i="6"/>
  <c r="AD23" i="6"/>
  <c r="AC23" i="6"/>
  <c r="AB23" i="6"/>
  <c r="K23" i="6" s="1"/>
  <c r="E43" i="6" s="1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H23" i="6"/>
  <c r="H27" i="6"/>
  <c r="AD27" i="6"/>
  <c r="AB27" i="6"/>
  <c r="Z27" i="6"/>
  <c r="W27" i="6"/>
  <c r="T27" i="6"/>
  <c r="R27" i="6"/>
  <c r="O27" i="6"/>
  <c r="AE27" i="6"/>
  <c r="AC27" i="6"/>
  <c r="AA27" i="6"/>
  <c r="X27" i="6"/>
  <c r="V27" i="6"/>
  <c r="Q27" i="6"/>
  <c r="N27" i="6"/>
  <c r="Y27" i="6"/>
  <c r="U27" i="6"/>
  <c r="S27" i="6"/>
  <c r="P27" i="6"/>
  <c r="M27" i="6"/>
  <c r="AE12" i="6"/>
  <c r="AD12" i="6"/>
  <c r="AC12" i="6"/>
  <c r="AB12" i="6"/>
  <c r="K12" i="6" s="1"/>
  <c r="D41" i="6" s="1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H12" i="6"/>
  <c r="AE24" i="6"/>
  <c r="AD24" i="6"/>
  <c r="AC24" i="6"/>
  <c r="AB24" i="6"/>
  <c r="K24" i="6" s="1"/>
  <c r="F43" i="6" s="1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H24" i="6"/>
  <c r="H29" i="6"/>
  <c r="AD29" i="6"/>
  <c r="AB29" i="6"/>
  <c r="AA29" i="6"/>
  <c r="Y29" i="6"/>
  <c r="W29" i="6"/>
  <c r="T29" i="6"/>
  <c r="S29" i="6"/>
  <c r="O29" i="6"/>
  <c r="Z29" i="6"/>
  <c r="V29" i="6"/>
  <c r="R29" i="6"/>
  <c r="P29" i="6"/>
  <c r="AE29" i="6"/>
  <c r="AC29" i="6"/>
  <c r="X29" i="6"/>
  <c r="U29" i="6"/>
  <c r="Q29" i="6"/>
  <c r="N29" i="6"/>
  <c r="M29" i="6"/>
  <c r="AE14" i="6"/>
  <c r="AD14" i="6"/>
  <c r="AC14" i="6"/>
  <c r="AB14" i="6"/>
  <c r="K14" i="6" s="1"/>
  <c r="F41" i="6" s="1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AF14" i="6" s="1" a="1"/>
  <c r="AF14" i="6" s="1"/>
  <c r="AG14" i="6" s="1"/>
  <c r="H14" i="6"/>
  <c r="AE19" i="6"/>
  <c r="AD19" i="6"/>
  <c r="AC19" i="6"/>
  <c r="AB19" i="6"/>
  <c r="K19" i="6" s="1"/>
  <c r="F42" i="6" s="1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H19" i="6"/>
  <c r="AE18" i="6"/>
  <c r="AD18" i="6"/>
  <c r="AC18" i="6"/>
  <c r="AB18" i="6"/>
  <c r="K18" i="6" s="1"/>
  <c r="E42" i="6" s="1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AF18" i="6" s="1" a="1"/>
  <c r="AF18" i="6" s="1"/>
  <c r="AG18" i="6" s="1"/>
  <c r="H18" i="6"/>
  <c r="AE13" i="6"/>
  <c r="AD13" i="6"/>
  <c r="AC13" i="6"/>
  <c r="AB13" i="6"/>
  <c r="K13" i="6" s="1"/>
  <c r="E41" i="6" s="1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AF13" i="6" s="1" a="1"/>
  <c r="AF13" i="6" s="1"/>
  <c r="AG13" i="6" s="1"/>
  <c r="H13" i="6"/>
  <c r="AE17" i="6"/>
  <c r="AD17" i="6"/>
  <c r="AC17" i="6"/>
  <c r="AB17" i="6"/>
  <c r="K17" i="6" s="1"/>
  <c r="D42" i="6" s="1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AF17" i="6" s="1" a="1"/>
  <c r="AF17" i="6" s="1"/>
  <c r="AG17" i="6" s="1"/>
  <c r="H17" i="6"/>
  <c r="AE22" i="6"/>
  <c r="AD22" i="6"/>
  <c r="AC22" i="6"/>
  <c r="AB22" i="6"/>
  <c r="K22" i="6" s="1"/>
  <c r="D43" i="6" s="1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AF22" i="6" s="1" a="1"/>
  <c r="AF22" i="6" s="1"/>
  <c r="AG22" i="6" s="1"/>
  <c r="H22" i="6"/>
  <c r="H28" i="6"/>
  <c r="S28" i="6"/>
  <c r="Q28" i="6"/>
  <c r="N28" i="6"/>
  <c r="AE28" i="6"/>
  <c r="AD28" i="6"/>
  <c r="AB28" i="6"/>
  <c r="AA28" i="6"/>
  <c r="Y28" i="6"/>
  <c r="X28" i="6"/>
  <c r="U28" i="6"/>
  <c r="R28" i="6"/>
  <c r="O28" i="6"/>
  <c r="AC28" i="6"/>
  <c r="Z28" i="6"/>
  <c r="W28" i="6"/>
  <c r="V28" i="6"/>
  <c r="T28" i="6"/>
  <c r="P28" i="6"/>
  <c r="M28" i="6"/>
  <c r="AF28" i="6" s="1" a="1"/>
  <c r="AF28" i="6" s="1"/>
  <c r="AG28" i="6" s="1"/>
  <c r="C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 a="1"/>
  <c r="Z29" i="2" s="1"/>
  <c r="AA29" i="2" s="1"/>
  <c r="D29" i="2" s="1"/>
  <c r="AE29" i="2"/>
  <c r="E29" i="2" s="1"/>
  <c r="C28" i="2"/>
  <c r="G28" i="2"/>
  <c r="Z28" i="2" s="1" a="1"/>
  <c r="Z28" i="2" s="1"/>
  <c r="AA28" i="2" s="1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E28" i="2" s="1"/>
  <c r="W28" i="2"/>
  <c r="X28" i="2"/>
  <c r="Y28" i="2"/>
  <c r="AE28" i="2"/>
  <c r="C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 a="1"/>
  <c r="Z27" i="2" s="1"/>
  <c r="AA27" i="2" s="1"/>
  <c r="AE27" i="2"/>
  <c r="E27" i="2" s="1"/>
  <c r="C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 a="1"/>
  <c r="Z26" i="2" s="1"/>
  <c r="AA26" i="2" s="1"/>
  <c r="AE26" i="2"/>
  <c r="E26" i="2" s="1"/>
  <c r="C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 a="1"/>
  <c r="Z25" i="2" s="1"/>
  <c r="AA25" i="2" s="1"/>
  <c r="AE25" i="2"/>
  <c r="E25" i="2" s="1"/>
  <c r="C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 a="1"/>
  <c r="Z24" i="2" s="1"/>
  <c r="AA24" i="2" s="1"/>
  <c r="AE24" i="2"/>
  <c r="E24" i="2" s="1"/>
  <c r="C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 a="1"/>
  <c r="Z23" i="2" s="1"/>
  <c r="AA23" i="2" s="1"/>
  <c r="AE23" i="2"/>
  <c r="E23" i="2" s="1"/>
  <c r="C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 a="1"/>
  <c r="Z22" i="2" s="1"/>
  <c r="AA22" i="2" s="1"/>
  <c r="AE22" i="2"/>
  <c r="E22" i="2" s="1"/>
  <c r="B14" i="2"/>
  <c r="AE21" i="2"/>
  <c r="Y21" i="2"/>
  <c r="X21" i="2"/>
  <c r="W21" i="2"/>
  <c r="V21" i="2"/>
  <c r="AA31" i="2" s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Z21" i="2" s="1" a="1"/>
  <c r="Z21" i="2" s="1"/>
  <c r="AA21" i="2" s="1"/>
  <c r="E21" i="2"/>
  <c r="B16" i="2" s="1"/>
  <c r="C21" i="2"/>
  <c r="B30" i="3"/>
  <c r="B31" i="3"/>
  <c r="B32" i="3"/>
  <c r="B33" i="3"/>
  <c r="B34" i="3"/>
  <c r="B35" i="3"/>
  <c r="B36" i="3"/>
  <c r="B37" i="3"/>
  <c r="B38" i="3"/>
  <c r="AD9" i="4"/>
  <c r="AC9" i="4"/>
  <c r="AB9" i="4"/>
  <c r="AA9" i="4"/>
  <c r="J9" i="4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AE9" i="4" s="1" a="1"/>
  <c r="AE9" i="4" s="1"/>
  <c r="AF9" i="4" s="1"/>
  <c r="G9" i="4"/>
  <c r="AD10" i="4"/>
  <c r="AC10" i="4"/>
  <c r="AB10" i="4"/>
  <c r="AA10" i="4"/>
  <c r="J10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G10" i="4"/>
  <c r="AD11" i="4"/>
  <c r="AC11" i="4"/>
  <c r="AB11" i="4"/>
  <c r="AA11" i="4"/>
  <c r="J11" i="4" s="1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AE11" i="4" s="1" a="1"/>
  <c r="AE11" i="4" s="1"/>
  <c r="AF11" i="4" s="1"/>
  <c r="G11" i="4"/>
  <c r="AD12" i="4"/>
  <c r="AC12" i="4"/>
  <c r="AB12" i="4"/>
  <c r="AA12" i="4"/>
  <c r="J12" i="4" s="1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G12" i="4"/>
  <c r="AD13" i="4"/>
  <c r="AC13" i="4"/>
  <c r="AB13" i="4"/>
  <c r="AA13" i="4"/>
  <c r="J13" i="4" s="1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G13" i="4"/>
  <c r="AE10" i="6"/>
  <c r="AD10" i="6"/>
  <c r="AC10" i="6"/>
  <c r="AB10" i="6"/>
  <c r="K10" i="6" s="1"/>
  <c r="B41" i="6" s="1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H10" i="6"/>
  <c r="AE26" i="6"/>
  <c r="AD26" i="6"/>
  <c r="AC26" i="6"/>
  <c r="AB26" i="6"/>
  <c r="K26" i="6" s="1"/>
  <c r="C44" i="6" s="1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H26" i="6"/>
  <c r="AE11" i="6"/>
  <c r="AD11" i="6"/>
  <c r="AC11" i="6"/>
  <c r="AB11" i="6"/>
  <c r="K11" i="6" s="1"/>
  <c r="C41" i="6" s="1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H11" i="6"/>
  <c r="AE15" i="6"/>
  <c r="AD15" i="6"/>
  <c r="AC15" i="6"/>
  <c r="AB15" i="6"/>
  <c r="K15" i="6" s="1"/>
  <c r="B42" i="6" s="1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AF15" i="6" s="1" a="1"/>
  <c r="AF15" i="6" s="1"/>
  <c r="AG15" i="6" s="1"/>
  <c r="H15" i="6"/>
  <c r="AE20" i="6"/>
  <c r="AD20" i="6"/>
  <c r="AC20" i="6"/>
  <c r="AB20" i="6"/>
  <c r="K20" i="6" s="1"/>
  <c r="B43" i="6" s="1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AF20" i="6" s="1" a="1"/>
  <c r="AF20" i="6" s="1"/>
  <c r="AG20" i="6" s="1"/>
  <c r="H20" i="6"/>
  <c r="AE16" i="6"/>
  <c r="AD16" i="6"/>
  <c r="AC16" i="6"/>
  <c r="AB16" i="6"/>
  <c r="K16" i="6" s="1"/>
  <c r="C42" i="6" s="1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AF16" i="6" s="1" a="1"/>
  <c r="AF16" i="6" s="1"/>
  <c r="AG16" i="6" s="1"/>
  <c r="H16" i="6"/>
  <c r="AE21" i="6"/>
  <c r="AD21" i="6"/>
  <c r="AC21" i="6"/>
  <c r="AB21" i="6"/>
  <c r="K21" i="6" s="1"/>
  <c r="C43" i="6" s="1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AF21" i="6" s="1" a="1"/>
  <c r="AF21" i="6" s="1"/>
  <c r="AG21" i="6" s="1"/>
  <c r="H21" i="6"/>
  <c r="AE25" i="6"/>
  <c r="AD25" i="6"/>
  <c r="AC25" i="6"/>
  <c r="AB25" i="6"/>
  <c r="K25" i="6" s="1"/>
  <c r="B44" i="6" s="1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AF25" i="6" s="1" a="1"/>
  <c r="AF25" i="6" s="1"/>
  <c r="AG25" i="6" s="1"/>
  <c r="H25" i="6"/>
  <c r="AA29" i="7" l="1"/>
  <c r="AF29" i="7"/>
  <c r="D14" i="8"/>
  <c r="E14" i="8" s="1"/>
  <c r="AF37" i="7"/>
  <c r="AF36" i="7"/>
  <c r="AF33" i="7"/>
  <c r="D10" i="8"/>
  <c r="E10" i="8" s="1"/>
  <c r="D12" i="8"/>
  <c r="E12" i="8" s="1"/>
  <c r="AE29" i="7"/>
  <c r="AG29" i="7"/>
  <c r="Z29" i="7"/>
  <c r="AB29" i="7"/>
  <c r="Z31" i="7"/>
  <c r="AB31" i="7"/>
  <c r="AG31" i="7"/>
  <c r="AE31" i="7"/>
  <c r="AB32" i="7"/>
  <c r="Z32" i="7"/>
  <c r="Z36" i="7"/>
  <c r="AB36" i="7"/>
  <c r="B18" i="7"/>
  <c r="B14" i="7"/>
  <c r="AE32" i="7"/>
  <c r="AG32" i="7"/>
  <c r="AE34" i="7"/>
  <c r="AG34" i="7"/>
  <c r="Z35" i="7"/>
  <c r="AB35" i="7"/>
  <c r="AG35" i="7"/>
  <c r="AE35" i="7"/>
  <c r="AE37" i="7"/>
  <c r="AG37" i="7"/>
  <c r="Z30" i="7"/>
  <c r="AB30" i="7"/>
  <c r="AE30" i="7"/>
  <c r="AG30" i="7"/>
  <c r="Z33" i="7"/>
  <c r="AB33" i="7"/>
  <c r="AE33" i="7"/>
  <c r="AG33" i="7"/>
  <c r="Z34" i="7"/>
  <c r="AB34" i="7"/>
  <c r="AG36" i="7"/>
  <c r="AE36" i="7"/>
  <c r="Z37" i="7"/>
  <c r="AB37" i="7"/>
  <c r="C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 a="1"/>
  <c r="Z34" i="5" s="1"/>
  <c r="AA34" i="5" s="1"/>
  <c r="AE34" i="5"/>
  <c r="E34" i="5" s="1"/>
  <c r="B29" i="5" s="1"/>
  <c r="B27" i="5"/>
  <c r="C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 a="1"/>
  <c r="Z42" i="5" s="1"/>
  <c r="AA42" i="5" s="1"/>
  <c r="AE42" i="5"/>
  <c r="E42" i="5" s="1"/>
  <c r="C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AE41" i="5"/>
  <c r="C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 a="1"/>
  <c r="Z40" i="5" s="1"/>
  <c r="AA40" i="5" s="1"/>
  <c r="AE40" i="5"/>
  <c r="E40" i="5" s="1"/>
  <c r="C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 a="1"/>
  <c r="Z39" i="5" s="1"/>
  <c r="AA39" i="5" s="1"/>
  <c r="AE39" i="5"/>
  <c r="E39" i="5" s="1"/>
  <c r="C38" i="5"/>
  <c r="G38" i="5"/>
  <c r="H38" i="5"/>
  <c r="I38" i="5"/>
  <c r="J38" i="5"/>
  <c r="K38" i="5"/>
  <c r="L38" i="5"/>
  <c r="M38" i="5"/>
  <c r="N38" i="5"/>
  <c r="Z38" i="5" s="1" a="1"/>
  <c r="Z38" i="5" s="1"/>
  <c r="AA38" i="5" s="1"/>
  <c r="O38" i="5"/>
  <c r="P38" i="5"/>
  <c r="Q38" i="5"/>
  <c r="R38" i="5"/>
  <c r="S38" i="5"/>
  <c r="T38" i="5"/>
  <c r="U38" i="5"/>
  <c r="V38" i="5"/>
  <c r="W38" i="5"/>
  <c r="X38" i="5"/>
  <c r="Y38" i="5"/>
  <c r="AE38" i="5"/>
  <c r="E38" i="5" s="1"/>
  <c r="C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 a="1"/>
  <c r="Z37" i="5" s="1"/>
  <c r="AA37" i="5" s="1"/>
  <c r="AE37" i="5"/>
  <c r="E37" i="5" s="1"/>
  <c r="C36" i="5"/>
  <c r="E36" i="5"/>
  <c r="G36" i="5"/>
  <c r="Z36" i="5" s="1" a="1"/>
  <c r="Z36" i="5" s="1"/>
  <c r="AA36" i="5" s="1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AE36" i="5"/>
  <c r="C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 a="1"/>
  <c r="Z35" i="5" s="1"/>
  <c r="AA35" i="5" s="1"/>
  <c r="D35" i="5" s="1"/>
  <c r="F35" i="5" s="1"/>
  <c r="AE35" i="5"/>
  <c r="E35" i="5" s="1"/>
  <c r="AG16" i="4"/>
  <c r="AH16" i="4"/>
  <c r="AI16" i="4"/>
  <c r="I16" i="4"/>
  <c r="K16" i="4" s="1"/>
  <c r="AG19" i="4"/>
  <c r="AH19" i="4"/>
  <c r="AI19" i="4"/>
  <c r="I19" i="4"/>
  <c r="K19" i="4" s="1"/>
  <c r="AH14" i="6"/>
  <c r="AI14" i="6"/>
  <c r="AJ14" i="6"/>
  <c r="J14" i="6"/>
  <c r="F34" i="6" s="1"/>
  <c r="AH18" i="6"/>
  <c r="AI18" i="6"/>
  <c r="AJ18" i="6"/>
  <c r="J18" i="6"/>
  <c r="AH13" i="6"/>
  <c r="AI13" i="6"/>
  <c r="AJ13" i="6"/>
  <c r="J13" i="6"/>
  <c r="E34" i="6" s="1"/>
  <c r="AH17" i="6"/>
  <c r="AI17" i="6"/>
  <c r="AJ17" i="6"/>
  <c r="J17" i="6"/>
  <c r="AH22" i="6"/>
  <c r="AI22" i="6"/>
  <c r="AJ22" i="6"/>
  <c r="J22" i="6"/>
  <c r="AH28" i="6"/>
  <c r="AI28" i="6"/>
  <c r="AJ28" i="6"/>
  <c r="J28" i="6"/>
  <c r="AB29" i="2"/>
  <c r="AC29" i="2"/>
  <c r="AD29" i="2"/>
  <c r="AB28" i="2"/>
  <c r="AC28" i="2"/>
  <c r="AD28" i="2"/>
  <c r="AB27" i="2"/>
  <c r="AC27" i="2"/>
  <c r="AD27" i="2"/>
  <c r="AB26" i="2"/>
  <c r="AC26" i="2"/>
  <c r="AD26" i="2"/>
  <c r="AB25" i="2"/>
  <c r="AC25" i="2"/>
  <c r="D25" i="2" s="1"/>
  <c r="F25" i="2" s="1"/>
  <c r="AD25" i="2"/>
  <c r="AB24" i="2"/>
  <c r="AC24" i="2"/>
  <c r="AD24" i="2"/>
  <c r="AB23" i="2"/>
  <c r="AC23" i="2"/>
  <c r="D23" i="2" s="1"/>
  <c r="F23" i="2" s="1"/>
  <c r="AD23" i="2"/>
  <c r="AB22" i="2"/>
  <c r="AC22" i="2"/>
  <c r="D22" i="2" s="1"/>
  <c r="AD22" i="2"/>
  <c r="AB21" i="2"/>
  <c r="AC21" i="2"/>
  <c r="AD21" i="2"/>
  <c r="B23" i="3"/>
  <c r="AE30" i="3"/>
  <c r="E30" i="3" s="1"/>
  <c r="B25" i="3" s="1"/>
  <c r="Z30" i="3" a="1"/>
  <c r="Z30" i="3" s="1"/>
  <c r="AA30" i="3" s="1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C30" i="3"/>
  <c r="C31" i="3"/>
  <c r="F31" i="3"/>
  <c r="G31" i="3"/>
  <c r="H31" i="3"/>
  <c r="I31" i="3"/>
  <c r="J31" i="3"/>
  <c r="K31" i="3"/>
  <c r="L31" i="3"/>
  <c r="M31" i="3"/>
  <c r="N31" i="3"/>
  <c r="O31" i="3"/>
  <c r="Z31" i="3" s="1" a="1"/>
  <c r="Z31" i="3" s="1"/>
  <c r="AA31" i="3" s="1"/>
  <c r="D31" i="3" s="1"/>
  <c r="P31" i="3"/>
  <c r="Q31" i="3"/>
  <c r="R31" i="3"/>
  <c r="S31" i="3"/>
  <c r="T31" i="3"/>
  <c r="U31" i="3"/>
  <c r="V31" i="3"/>
  <c r="W31" i="3"/>
  <c r="X31" i="3"/>
  <c r="Y31" i="3"/>
  <c r="AE31" i="3"/>
  <c r="E31" i="3" s="1"/>
  <c r="C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 a="1"/>
  <c r="Z32" i="3" s="1"/>
  <c r="AA32" i="3" s="1"/>
  <c r="AE32" i="3"/>
  <c r="E32" i="3" s="1"/>
  <c r="C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Z33" i="3" s="1" a="1"/>
  <c r="Z33" i="3" s="1"/>
  <c r="AA33" i="3" s="1"/>
  <c r="V33" i="3"/>
  <c r="W33" i="3"/>
  <c r="X33" i="3"/>
  <c r="Y33" i="3"/>
  <c r="AE33" i="3"/>
  <c r="E33" i="3" s="1"/>
  <c r="C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 a="1"/>
  <c r="Z34" i="3" s="1"/>
  <c r="AA34" i="3" s="1"/>
  <c r="AE34" i="3"/>
  <c r="E34" i="3" s="1"/>
  <c r="C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 a="1"/>
  <c r="Z35" i="3" s="1"/>
  <c r="AA35" i="3" s="1"/>
  <c r="AE35" i="3"/>
  <c r="E35" i="3" s="1"/>
  <c r="C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 a="1"/>
  <c r="Z36" i="3" s="1"/>
  <c r="AA36" i="3" s="1"/>
  <c r="AE36" i="3"/>
  <c r="E36" i="3" s="1"/>
  <c r="C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 a="1"/>
  <c r="Z37" i="3" s="1"/>
  <c r="AA37" i="3" s="1"/>
  <c r="AE37" i="3"/>
  <c r="E37" i="3" s="1"/>
  <c r="C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 a="1"/>
  <c r="Z38" i="3" s="1"/>
  <c r="AA38" i="3" s="1"/>
  <c r="AE38" i="3"/>
  <c r="E38" i="3" s="1"/>
  <c r="AG9" i="4"/>
  <c r="AH9" i="4"/>
  <c r="I9" i="4" s="1"/>
  <c r="K9" i="4" s="1"/>
  <c r="AI9" i="4"/>
  <c r="AG11" i="4"/>
  <c r="AH11" i="4"/>
  <c r="AI11" i="4"/>
  <c r="I11" i="4"/>
  <c r="K11" i="4" s="1"/>
  <c r="AH15" i="6"/>
  <c r="AI15" i="6"/>
  <c r="AJ15" i="6"/>
  <c r="J15" i="6"/>
  <c r="AH20" i="6"/>
  <c r="AI20" i="6"/>
  <c r="AJ20" i="6"/>
  <c r="J20" i="6"/>
  <c r="AH16" i="6"/>
  <c r="AI16" i="6"/>
  <c r="AJ16" i="6"/>
  <c r="J16" i="6"/>
  <c r="AH21" i="6"/>
  <c r="AI21" i="6"/>
  <c r="AJ21" i="6"/>
  <c r="J21" i="6"/>
  <c r="AH25" i="6"/>
  <c r="AI25" i="6"/>
  <c r="AJ25" i="6"/>
  <c r="J25" i="6"/>
  <c r="D15" i="8"/>
  <c r="E15" i="8" s="1"/>
  <c r="D16" i="8"/>
  <c r="E16" i="8" s="1"/>
  <c r="D17" i="8"/>
  <c r="E17" i="8" s="1"/>
  <c r="K27" i="6"/>
  <c r="D44" i="6" s="1"/>
  <c r="AE18" i="4" a="1"/>
  <c r="AE18" i="4" s="1"/>
  <c r="AF18" i="4" s="1"/>
  <c r="AF24" i="6" a="1"/>
  <c r="AF24" i="6" s="1"/>
  <c r="AG24" i="6" s="1"/>
  <c r="AE12" i="4" a="1"/>
  <c r="AE12" i="4" s="1"/>
  <c r="AF12" i="4" s="1"/>
  <c r="AF19" i="6" a="1"/>
  <c r="AF19" i="6" s="1"/>
  <c r="AG19" i="6" s="1"/>
  <c r="K28" i="6"/>
  <c r="E44" i="6" s="1"/>
  <c r="AE13" i="4" a="1"/>
  <c r="AE13" i="4" s="1"/>
  <c r="AF13" i="4" s="1"/>
  <c r="AE10" i="4" a="1"/>
  <c r="AE10" i="4" s="1"/>
  <c r="AF10" i="4" s="1"/>
  <c r="AF11" i="6" a="1"/>
  <c r="AF11" i="6" s="1"/>
  <c r="AG11" i="6" s="1"/>
  <c r="AE15" i="4" a="1"/>
  <c r="AE15" i="4" s="1"/>
  <c r="AF15" i="4" s="1"/>
  <c r="AE17" i="4" a="1"/>
  <c r="AE17" i="4" s="1"/>
  <c r="AF17" i="4" s="1"/>
  <c r="AF12" i="6" a="1"/>
  <c r="AF12" i="6" s="1"/>
  <c r="AG12" i="6" s="1"/>
  <c r="AF26" i="6" a="1"/>
  <c r="AF26" i="6" s="1"/>
  <c r="AG26" i="6" s="1"/>
  <c r="D11" i="8"/>
  <c r="E11" i="8" s="1"/>
  <c r="D13" i="8"/>
  <c r="E13" i="8" s="1"/>
  <c r="AE14" i="4" a="1"/>
  <c r="AE14" i="4" s="1"/>
  <c r="AF14" i="4" s="1"/>
  <c r="AF23" i="6" a="1"/>
  <c r="AF23" i="6" s="1"/>
  <c r="AG23" i="6" s="1"/>
  <c r="AF27" i="6" a="1"/>
  <c r="AF27" i="6" s="1"/>
  <c r="AG27" i="6" s="1"/>
  <c r="K29" i="6"/>
  <c r="F44" i="6" s="1"/>
  <c r="AF10" i="6" a="1"/>
  <c r="AF10" i="6" s="1"/>
  <c r="AG10" i="6" s="1"/>
  <c r="AA37" i="7"/>
  <c r="AF29" i="6" a="1"/>
  <c r="AF29" i="6" s="1"/>
  <c r="AG29" i="6" s="1"/>
  <c r="Q14" i="8" l="1"/>
  <c r="W14" i="8"/>
  <c r="V14" i="8"/>
  <c r="O14" i="8"/>
  <c r="U14" i="8"/>
  <c r="F14" i="8"/>
  <c r="M14" i="8"/>
  <c r="S14" i="8"/>
  <c r="P14" i="8"/>
  <c r="N14" i="8"/>
  <c r="H14" i="8" s="1"/>
  <c r="G14" i="8"/>
  <c r="T14" i="8"/>
  <c r="R14" i="8"/>
  <c r="AC14" i="8"/>
  <c r="F12" i="8"/>
  <c r="G12" i="8"/>
  <c r="P12" i="8"/>
  <c r="N12" i="8"/>
  <c r="H12" i="8" s="1"/>
  <c r="S10" i="8"/>
  <c r="V10" i="8"/>
  <c r="N10" i="8"/>
  <c r="H10" i="8" s="1"/>
  <c r="R10" i="8"/>
  <c r="G10" i="8"/>
  <c r="U10" i="8"/>
  <c r="O10" i="8"/>
  <c r="T10" i="8"/>
  <c r="F10" i="8"/>
  <c r="P10" i="8"/>
  <c r="M10" i="8"/>
  <c r="AC10" i="8"/>
  <c r="Q10" i="8"/>
  <c r="W10" i="8"/>
  <c r="X10" i="8" s="1" a="1"/>
  <c r="X10" i="8" s="1"/>
  <c r="Y10" i="8" s="1"/>
  <c r="V12" i="8"/>
  <c r="M12" i="8"/>
  <c r="J10" i="8"/>
  <c r="K10" i="8" s="1"/>
  <c r="J14" i="8"/>
  <c r="K14" i="8" s="1"/>
  <c r="U12" i="8"/>
  <c r="S12" i="8"/>
  <c r="Q12" i="8"/>
  <c r="O12" i="8"/>
  <c r="R12" i="8"/>
  <c r="T12" i="8"/>
  <c r="W12" i="8"/>
  <c r="AC12" i="8"/>
  <c r="B16" i="7"/>
  <c r="AH30" i="7"/>
  <c r="B30" i="7" s="1"/>
  <c r="AH31" i="7"/>
  <c r="B31" i="7" s="1"/>
  <c r="AH32" i="7"/>
  <c r="B32" i="7" s="1"/>
  <c r="AH33" i="7"/>
  <c r="B33" i="7" s="1"/>
  <c r="AH34" i="7"/>
  <c r="B34" i="7" s="1"/>
  <c r="AH37" i="7"/>
  <c r="B37" i="7" s="1"/>
  <c r="AH29" i="7"/>
  <c r="B29" i="7" s="1"/>
  <c r="AH35" i="7"/>
  <c r="B35" i="7" s="1"/>
  <c r="AH36" i="7"/>
  <c r="B36" i="7" s="1"/>
  <c r="B15" i="7"/>
  <c r="AB34" i="5"/>
  <c r="AC34" i="5"/>
  <c r="D34" i="5" s="1"/>
  <c r="AD34" i="5"/>
  <c r="AB42" i="5"/>
  <c r="AC42" i="5"/>
  <c r="D42" i="5" s="1"/>
  <c r="AD42" i="5"/>
  <c r="AB40" i="5"/>
  <c r="AC40" i="5"/>
  <c r="D40" i="5" s="1"/>
  <c r="AD40" i="5"/>
  <c r="AB39" i="5"/>
  <c r="AC39" i="5"/>
  <c r="AD39" i="5"/>
  <c r="AB38" i="5"/>
  <c r="AC38" i="5"/>
  <c r="D38" i="5" s="1"/>
  <c r="F38" i="5" s="1"/>
  <c r="AD38" i="5"/>
  <c r="AB37" i="5"/>
  <c r="AC37" i="5"/>
  <c r="D37" i="5" s="1"/>
  <c r="F37" i="5" s="1"/>
  <c r="AD37" i="5"/>
  <c r="AB36" i="5"/>
  <c r="AC36" i="5"/>
  <c r="AD36" i="5"/>
  <c r="AB35" i="5"/>
  <c r="AC35" i="5"/>
  <c r="AD35" i="5"/>
  <c r="L18" i="6"/>
  <c r="E35" i="6"/>
  <c r="L17" i="6"/>
  <c r="D35" i="6"/>
  <c r="L22" i="6"/>
  <c r="D36" i="6"/>
  <c r="L28" i="6"/>
  <c r="E37" i="6"/>
  <c r="AB30" i="3"/>
  <c r="AC30" i="3"/>
  <c r="D30" i="3" s="1"/>
  <c r="AD30" i="3"/>
  <c r="AB31" i="3"/>
  <c r="AC31" i="3"/>
  <c r="AD31" i="3"/>
  <c r="AB32" i="3"/>
  <c r="AC32" i="3"/>
  <c r="D32" i="3" s="1"/>
  <c r="F32" i="3" s="1"/>
  <c r="AD32" i="3"/>
  <c r="AB33" i="3"/>
  <c r="AC33" i="3"/>
  <c r="D33" i="3" s="1"/>
  <c r="F33" i="3" s="1"/>
  <c r="AD33" i="3"/>
  <c r="AB34" i="3"/>
  <c r="AC34" i="3"/>
  <c r="D34" i="3" s="1"/>
  <c r="F34" i="3" s="1"/>
  <c r="AD34" i="3"/>
  <c r="AB35" i="3"/>
  <c r="AC35" i="3"/>
  <c r="D35" i="3" s="1"/>
  <c r="F35" i="3" s="1"/>
  <c r="AD35" i="3"/>
  <c r="AB36" i="3"/>
  <c r="AC36" i="3"/>
  <c r="AD36" i="3"/>
  <c r="AB37" i="3"/>
  <c r="AC37" i="3"/>
  <c r="AD37" i="3"/>
  <c r="AB38" i="3"/>
  <c r="AC38" i="3"/>
  <c r="AD38" i="3"/>
  <c r="L15" i="6"/>
  <c r="B35" i="6"/>
  <c r="L20" i="6"/>
  <c r="B36" i="6"/>
  <c r="L16" i="6"/>
  <c r="C35" i="6"/>
  <c r="L21" i="6"/>
  <c r="C36" i="6"/>
  <c r="L25" i="6"/>
  <c r="B37" i="6"/>
  <c r="AC15" i="8"/>
  <c r="V15" i="8"/>
  <c r="T15" i="8"/>
  <c r="Q15" i="8"/>
  <c r="O15" i="8"/>
  <c r="M15" i="8"/>
  <c r="S15" i="8"/>
  <c r="W15" i="8"/>
  <c r="U15" i="8"/>
  <c r="R15" i="8"/>
  <c r="P15" i="8"/>
  <c r="N15" i="8"/>
  <c r="H15" i="8" s="1"/>
  <c r="G15" i="8"/>
  <c r="F15" i="8"/>
  <c r="G16" i="8"/>
  <c r="AC16" i="8"/>
  <c r="W16" i="8"/>
  <c r="V16" i="8"/>
  <c r="U16" i="8"/>
  <c r="T16" i="8"/>
  <c r="S16" i="8"/>
  <c r="R16" i="8"/>
  <c r="Q16" i="8"/>
  <c r="P16" i="8"/>
  <c r="O16" i="8"/>
  <c r="N16" i="8"/>
  <c r="H16" i="8" s="1"/>
  <c r="M16" i="8"/>
  <c r="J16" i="8"/>
  <c r="K16" i="8" s="1"/>
  <c r="F16" i="8"/>
  <c r="AC17" i="8"/>
  <c r="W17" i="8"/>
  <c r="V17" i="8"/>
  <c r="U17" i="8"/>
  <c r="T17" i="8"/>
  <c r="S17" i="8"/>
  <c r="R17" i="8"/>
  <c r="Q17" i="8"/>
  <c r="P17" i="8"/>
  <c r="O17" i="8"/>
  <c r="N17" i="8"/>
  <c r="H17" i="8" s="1"/>
  <c r="M17" i="8"/>
  <c r="G17" i="8"/>
  <c r="F17" i="8"/>
  <c r="AI18" i="4"/>
  <c r="AH18" i="4"/>
  <c r="I18" i="4" s="1"/>
  <c r="K18" i="4" s="1"/>
  <c r="AG18" i="4"/>
  <c r="AJ24" i="6"/>
  <c r="AI24" i="6"/>
  <c r="J24" i="6" s="1"/>
  <c r="AH24" i="6"/>
  <c r="AI12" i="4"/>
  <c r="AH12" i="4"/>
  <c r="I12" i="4" s="1"/>
  <c r="K12" i="4" s="1"/>
  <c r="AG12" i="4"/>
  <c r="AJ19" i="6"/>
  <c r="AI19" i="6"/>
  <c r="J19" i="6" s="1"/>
  <c r="AH19" i="6"/>
  <c r="AI13" i="4"/>
  <c r="AH13" i="4"/>
  <c r="I13" i="4" s="1"/>
  <c r="K13" i="4" s="1"/>
  <c r="AG13" i="4"/>
  <c r="AI10" i="4"/>
  <c r="AH10" i="4"/>
  <c r="I10" i="4" s="1"/>
  <c r="K10" i="4" s="1"/>
  <c r="AG10" i="4"/>
  <c r="AJ11" i="6"/>
  <c r="AI11" i="6"/>
  <c r="J11" i="6" s="1"/>
  <c r="C34" i="6" s="1"/>
  <c r="AH11" i="6"/>
  <c r="AI15" i="4"/>
  <c r="AH15" i="4"/>
  <c r="I15" i="4" s="1"/>
  <c r="K15" i="4" s="1"/>
  <c r="AG15" i="4"/>
  <c r="AI17" i="4"/>
  <c r="AH17" i="4"/>
  <c r="I17" i="4" s="1"/>
  <c r="K17" i="4" s="1"/>
  <c r="AG17" i="4"/>
  <c r="AJ12" i="6"/>
  <c r="AI12" i="6"/>
  <c r="J12" i="6" s="1"/>
  <c r="D34" i="6" s="1"/>
  <c r="AH12" i="6"/>
  <c r="AI26" i="6"/>
  <c r="J26" i="6" s="1"/>
  <c r="AJ26" i="6"/>
  <c r="AH26" i="6"/>
  <c r="U11" i="8"/>
  <c r="Q11" i="8"/>
  <c r="N11" i="8"/>
  <c r="H11" i="8" s="1"/>
  <c r="G11" i="8"/>
  <c r="P11" i="8"/>
  <c r="F11" i="8"/>
  <c r="V11" i="8"/>
  <c r="T11" i="8"/>
  <c r="M11" i="8"/>
  <c r="AC11" i="8"/>
  <c r="S11" i="8"/>
  <c r="R11" i="8"/>
  <c r="O11" i="8"/>
  <c r="W11" i="8"/>
  <c r="R13" i="8"/>
  <c r="O13" i="8"/>
  <c r="AC13" i="8"/>
  <c r="V13" i="8"/>
  <c r="P13" i="8"/>
  <c r="U13" i="8"/>
  <c r="M13" i="8"/>
  <c r="W13" i="8"/>
  <c r="T13" i="8"/>
  <c r="G13" i="8"/>
  <c r="S13" i="8"/>
  <c r="Q13" i="8"/>
  <c r="N13" i="8"/>
  <c r="H13" i="8" s="1"/>
  <c r="F13" i="8"/>
  <c r="AI14" i="4"/>
  <c r="AH14" i="4"/>
  <c r="I14" i="4" s="1"/>
  <c r="K14" i="4" s="1"/>
  <c r="AG14" i="4"/>
  <c r="AJ23" i="6"/>
  <c r="AI23" i="6"/>
  <c r="J23" i="6" s="1"/>
  <c r="AH23" i="6"/>
  <c r="AI27" i="6"/>
  <c r="AH27" i="6"/>
  <c r="AJ27" i="6"/>
  <c r="J27" i="6" s="1"/>
  <c r="AJ10" i="6"/>
  <c r="AI10" i="6"/>
  <c r="J10" i="6" s="1"/>
  <c r="B34" i="6" s="1"/>
  <c r="AH10" i="6"/>
  <c r="AJ29" i="6"/>
  <c r="AH29" i="6"/>
  <c r="AI29" i="6"/>
  <c r="J29" i="6" s="1"/>
  <c r="D28" i="2"/>
  <c r="F28" i="2" s="1"/>
  <c r="D27" i="2"/>
  <c r="F27" i="2" s="1"/>
  <c r="D26" i="2"/>
  <c r="F26" i="2" s="1"/>
  <c r="D24" i="2"/>
  <c r="F24" i="2" s="1"/>
  <c r="D21" i="2"/>
  <c r="F34" i="5"/>
  <c r="B30" i="5" s="1"/>
  <c r="B28" i="5"/>
  <c r="Z41" i="5" a="1"/>
  <c r="Z41" i="5" s="1"/>
  <c r="AA41" i="5" s="1"/>
  <c r="E41" i="5"/>
  <c r="F30" i="3"/>
  <c r="B26" i="3" s="1"/>
  <c r="B24" i="3"/>
  <c r="X14" i="8" l="1" a="1"/>
  <c r="X14" i="8" s="1"/>
  <c r="Y14" i="8" s="1"/>
  <c r="J17" i="8"/>
  <c r="K17" i="8" s="1"/>
  <c r="J12" i="8"/>
  <c r="K12" i="8" s="1"/>
  <c r="J15" i="8"/>
  <c r="K15" i="8" s="1"/>
  <c r="I10" i="8"/>
  <c r="L10" i="8" s="1"/>
  <c r="AB10" i="8"/>
  <c r="Z10" i="8"/>
  <c r="AA10" i="8"/>
  <c r="J11" i="8"/>
  <c r="K11" i="8" s="1"/>
  <c r="X16" i="8" a="1"/>
  <c r="X16" i="8" s="1"/>
  <c r="Y16" i="8" s="1"/>
  <c r="X13" i="8" a="1"/>
  <c r="X13" i="8" s="1"/>
  <c r="Y13" i="8" s="1"/>
  <c r="X11" i="8" a="1"/>
  <c r="X11" i="8" s="1"/>
  <c r="Y11" i="8" s="1"/>
  <c r="J13" i="8"/>
  <c r="K13" i="8" s="1"/>
  <c r="X12" i="8" a="1"/>
  <c r="X12" i="8" s="1"/>
  <c r="Y12" i="8" s="1"/>
  <c r="X15" i="8" a="1"/>
  <c r="X15" i="8" s="1"/>
  <c r="Y15" i="8" s="1"/>
  <c r="X17" i="8" a="1"/>
  <c r="X17" i="8" s="1"/>
  <c r="Y17" i="8" s="1"/>
  <c r="G30" i="7"/>
  <c r="I30" i="7"/>
  <c r="L30" i="7"/>
  <c r="N30" i="7"/>
  <c r="Q30" i="7"/>
  <c r="C30" i="7"/>
  <c r="F30" i="7"/>
  <c r="H30" i="7"/>
  <c r="J30" i="7"/>
  <c r="K30" i="7"/>
  <c r="M30" i="7"/>
  <c r="O30" i="7"/>
  <c r="P30" i="7"/>
  <c r="W30" i="7"/>
  <c r="G31" i="7"/>
  <c r="K31" i="7"/>
  <c r="N31" i="7"/>
  <c r="Q31" i="7"/>
  <c r="I31" i="7"/>
  <c r="L31" i="7"/>
  <c r="P31" i="7"/>
  <c r="C31" i="7"/>
  <c r="H31" i="7"/>
  <c r="J31" i="7"/>
  <c r="M31" i="7"/>
  <c r="O31" i="7"/>
  <c r="W31" i="7"/>
  <c r="J32" i="7"/>
  <c r="L32" i="7"/>
  <c r="P32" i="7"/>
  <c r="Q32" i="7"/>
  <c r="C32" i="7"/>
  <c r="H32" i="7"/>
  <c r="K32" i="7"/>
  <c r="N32" i="7"/>
  <c r="G32" i="7"/>
  <c r="I32" i="7"/>
  <c r="M32" i="7"/>
  <c r="O32" i="7"/>
  <c r="W32" i="7"/>
  <c r="G33" i="7"/>
  <c r="L33" i="7"/>
  <c r="O33" i="7"/>
  <c r="C33" i="7"/>
  <c r="I33" i="7"/>
  <c r="J33" i="7"/>
  <c r="N33" i="7"/>
  <c r="Q33" i="7"/>
  <c r="W33" i="7"/>
  <c r="H33" i="7"/>
  <c r="K33" i="7"/>
  <c r="M33" i="7"/>
  <c r="P33" i="7"/>
  <c r="H34" i="7"/>
  <c r="L34" i="7"/>
  <c r="P34" i="7"/>
  <c r="W34" i="7"/>
  <c r="G34" i="7"/>
  <c r="I34" i="7"/>
  <c r="K34" i="7"/>
  <c r="N34" i="7"/>
  <c r="Q34" i="7"/>
  <c r="C34" i="7"/>
  <c r="J34" i="7"/>
  <c r="M34" i="7"/>
  <c r="O34" i="7"/>
  <c r="G37" i="7"/>
  <c r="J37" i="7"/>
  <c r="L37" i="7"/>
  <c r="Q37" i="7"/>
  <c r="C37" i="7"/>
  <c r="H37" i="7"/>
  <c r="K37" i="7"/>
  <c r="M37" i="7"/>
  <c r="O37" i="7"/>
  <c r="I37" i="7"/>
  <c r="N37" i="7"/>
  <c r="P37" i="7"/>
  <c r="W37" i="7"/>
  <c r="B21" i="7"/>
  <c r="N29" i="7"/>
  <c r="K29" i="7"/>
  <c r="W29" i="7"/>
  <c r="Q29" i="7"/>
  <c r="O29" i="7"/>
  <c r="M29" i="7"/>
  <c r="J29" i="7"/>
  <c r="H29" i="7"/>
  <c r="C29" i="7"/>
  <c r="B22" i="7"/>
  <c r="P29" i="7"/>
  <c r="L29" i="7"/>
  <c r="I29" i="7"/>
  <c r="G29" i="7"/>
  <c r="C35" i="7"/>
  <c r="I35" i="7"/>
  <c r="Q35" i="7"/>
  <c r="G35" i="7"/>
  <c r="J35" i="7"/>
  <c r="L35" i="7"/>
  <c r="N35" i="7"/>
  <c r="P35" i="7"/>
  <c r="H35" i="7"/>
  <c r="K35" i="7"/>
  <c r="M35" i="7"/>
  <c r="O35" i="7"/>
  <c r="W35" i="7"/>
  <c r="H36" i="7"/>
  <c r="L36" i="7"/>
  <c r="N36" i="7"/>
  <c r="Q36" i="7"/>
  <c r="W36" i="7"/>
  <c r="G36" i="7"/>
  <c r="J36" i="7"/>
  <c r="O36" i="7"/>
  <c r="C36" i="7"/>
  <c r="I36" i="7"/>
  <c r="K36" i="7"/>
  <c r="M36" i="7"/>
  <c r="P36" i="7"/>
  <c r="L24" i="6"/>
  <c r="F36" i="6"/>
  <c r="L19" i="6"/>
  <c r="F35" i="6"/>
  <c r="L26" i="6"/>
  <c r="C37" i="6"/>
  <c r="L23" i="6"/>
  <c r="E36" i="6"/>
  <c r="L27" i="6"/>
  <c r="D37" i="6"/>
  <c r="L29" i="6"/>
  <c r="F37" i="6"/>
  <c r="B15" i="2"/>
  <c r="F21" i="2"/>
  <c r="B17" i="2" s="1"/>
  <c r="AD41" i="5"/>
  <c r="AC41" i="5"/>
  <c r="AB41" i="5"/>
  <c r="D41" i="5"/>
  <c r="D38" i="3"/>
  <c r="D39" i="5"/>
  <c r="F39" i="5" s="1"/>
  <c r="D37" i="3"/>
  <c r="F37" i="3" s="1"/>
  <c r="D36" i="5"/>
  <c r="F36" i="5" s="1"/>
  <c r="D36" i="3"/>
  <c r="F36" i="3" s="1"/>
  <c r="Z14" i="8" l="1"/>
  <c r="AB14" i="8"/>
  <c r="AA14" i="8"/>
  <c r="E34" i="7"/>
  <c r="AJ34" i="7" s="1"/>
  <c r="AB16" i="8"/>
  <c r="AA16" i="8"/>
  <c r="Z16" i="8"/>
  <c r="I14" i="8"/>
  <c r="L14" i="8" s="1"/>
  <c r="E35" i="7"/>
  <c r="AJ35" i="7" s="1"/>
  <c r="AA13" i="8"/>
  <c r="Z13" i="8"/>
  <c r="AB13" i="8"/>
  <c r="E30" i="7"/>
  <c r="AJ30" i="7" s="1"/>
  <c r="I11" i="8"/>
  <c r="L11" i="8" s="1"/>
  <c r="AA11" i="8"/>
  <c r="Z11" i="8"/>
  <c r="AB11" i="8"/>
  <c r="AB17" i="8"/>
  <c r="AA17" i="8"/>
  <c r="Z17" i="8"/>
  <c r="R30" i="7" a="1"/>
  <c r="R30" i="7" s="1"/>
  <c r="S30" i="7" s="1"/>
  <c r="E32" i="7"/>
  <c r="AJ32" i="7" s="1"/>
  <c r="E37" i="7"/>
  <c r="AJ37" i="7" s="1"/>
  <c r="AB15" i="8"/>
  <c r="AA15" i="8"/>
  <c r="Z15" i="8"/>
  <c r="Z12" i="8"/>
  <c r="AA12" i="8"/>
  <c r="AB12" i="8"/>
  <c r="I12" i="8"/>
  <c r="L12" i="8" s="1"/>
  <c r="R29" i="7" a="1"/>
  <c r="R29" i="7" s="1"/>
  <c r="S29" i="7" s="1"/>
  <c r="R37" i="7" a="1"/>
  <c r="R37" i="7" s="1"/>
  <c r="S37" i="7" s="1"/>
  <c r="E29" i="7"/>
  <c r="B24" i="7" s="1"/>
  <c r="I16" i="8"/>
  <c r="L16" i="8" s="1"/>
  <c r="E31" i="7"/>
  <c r="AJ31" i="7" s="1"/>
  <c r="R32" i="7" a="1"/>
  <c r="R32" i="7" s="1"/>
  <c r="S32" i="7" s="1"/>
  <c r="U32" i="7" s="1"/>
  <c r="R34" i="7" a="1"/>
  <c r="R34" i="7" s="1"/>
  <c r="S34" i="7" s="1"/>
  <c r="R36" i="7" a="1"/>
  <c r="R36" i="7" s="1"/>
  <c r="S36" i="7" s="1"/>
  <c r="R33" i="7" a="1"/>
  <c r="R33" i="7" s="1"/>
  <c r="S33" i="7" s="1"/>
  <c r="E33" i="7"/>
  <c r="AJ33" i="7" s="1"/>
  <c r="R35" i="7" a="1"/>
  <c r="R35" i="7" s="1"/>
  <c r="S35" i="7" s="1"/>
  <c r="E36" i="7"/>
  <c r="AJ36" i="7" s="1"/>
  <c r="R31" i="7" a="1"/>
  <c r="R31" i="7" s="1"/>
  <c r="S31" i="7" s="1"/>
  <c r="I13" i="8"/>
  <c r="L13" i="8" s="1"/>
  <c r="I17" i="8" l="1"/>
  <c r="L17" i="8" s="1"/>
  <c r="V30" i="7"/>
  <c r="T30" i="7"/>
  <c r="U30" i="7"/>
  <c r="D30" i="7" s="1"/>
  <c r="I15" i="8"/>
  <c r="L15" i="8" s="1"/>
  <c r="AK29" i="7"/>
  <c r="AI29" i="7" s="1"/>
  <c r="B25" i="7" s="1"/>
  <c r="V31" i="7"/>
  <c r="U31" i="7"/>
  <c r="T31" i="7"/>
  <c r="U29" i="7"/>
  <c r="V29" i="7"/>
  <c r="T29" i="7"/>
  <c r="U37" i="7"/>
  <c r="T37" i="7"/>
  <c r="V37" i="7"/>
  <c r="T32" i="7"/>
  <c r="V32" i="7"/>
  <c r="T34" i="7"/>
  <c r="U34" i="7"/>
  <c r="V34" i="7"/>
  <c r="V36" i="7"/>
  <c r="T36" i="7"/>
  <c r="U36" i="7"/>
  <c r="V33" i="7"/>
  <c r="T33" i="7"/>
  <c r="U33" i="7"/>
  <c r="V35" i="7"/>
  <c r="U35" i="7"/>
  <c r="T35" i="7"/>
  <c r="D36" i="7" l="1"/>
  <c r="F36" i="7" s="1"/>
  <c r="D37" i="7"/>
  <c r="F37" i="7" s="1"/>
  <c r="D33" i="7"/>
  <c r="F33" i="7" s="1"/>
  <c r="D35" i="7"/>
  <c r="F35" i="7" s="1"/>
  <c r="D32" i="7"/>
  <c r="F32" i="7" s="1"/>
  <c r="D31" i="7"/>
  <c r="F31" i="7" s="1"/>
  <c r="D34" i="7"/>
  <c r="F34" i="7" s="1"/>
  <c r="D29" i="7"/>
  <c r="B23" i="7" l="1"/>
  <c r="F29" i="7"/>
  <c r="B26" i="7" s="1"/>
</calcChain>
</file>

<file path=xl/sharedStrings.xml><?xml version="1.0" encoding="utf-8"?>
<sst xmlns="http://schemas.openxmlformats.org/spreadsheetml/2006/main" count="750" uniqueCount="253">
  <si>
    <t>Diffusore lineare – lanci e velocità da CFD (L = 500 / 1000 / 1500 mm)</t>
  </si>
  <si>
    <t>Getto verticale verso il basso, isotermia, fessura 40 mm</t>
  </si>
  <si>
    <t>Parametro</t>
  </si>
  <si>
    <t>Valore</t>
  </si>
  <si>
    <t>Unità</t>
  </si>
  <si>
    <t>Note</t>
  </si>
  <si>
    <t>Larghezza fessura h</t>
  </si>
  <si>
    <t>m</t>
  </si>
  <si>
    <t>Input</t>
  </si>
  <si>
    <t>Altezza di installazione H</t>
  </si>
  <si>
    <t>Distanza diffusore-pavimento del modello CFD</t>
  </si>
  <si>
    <t>Spessore zona di influenza del pavimento</t>
  </si>
  <si>
    <t>Stima 1,5-2 m</t>
  </si>
  <si>
    <t>x massimo valido (getto libero)</t>
  </si>
  <si>
    <t>H − spessore zona di influenza: oltre i dati CFD sono influenzati dal pavimento</t>
  </si>
  <si>
    <t>Quota zona occupata (dal pavimento)</t>
  </si>
  <si>
    <t>Distanza diffusore-zona occupata</t>
  </si>
  <si>
    <t>H − quota zona occupata</t>
  </si>
  <si>
    <t>Velocità terminale vₜ</t>
  </si>
  <si>
    <t>m/s</t>
  </si>
  <si>
    <t>Velocità a cui si calcola il lancio</t>
  </si>
  <si>
    <t>x minimo per cercare l'attraversamento</t>
  </si>
  <si>
    <t>Ignora nocciolo e primo calo vicino al diffusore</t>
  </si>
  <si>
    <t>x di riferimento 1 per k</t>
  </si>
  <si>
    <t>k = vₓ·x/Q letto a questa distanza</t>
  </si>
  <si>
    <t>x di riferimento 2 per k</t>
  </si>
  <si>
    <t>idem</t>
  </si>
  <si>
    <t>Parametri per lunghezza</t>
  </si>
  <si>
    <t>Lunghezza L [mm]</t>
  </si>
  <si>
    <t>L [m]</t>
  </si>
  <si>
    <t>Area geometrica [m²]</t>
  </si>
  <si>
    <t>Soglia vₜ/v₀</t>
  </si>
  <si>
    <t>x min fit k [m]</t>
  </si>
  <si>
    <t>Tratto 1/x sviluppato (≈4-8,5 m)</t>
  </si>
  <si>
    <t>Tratto 1/x sviluppato (≈5-8,5 m)</t>
  </si>
  <si>
    <t>Tratto 1/x NON sviluppato: k è apparente (x 7-8,5 m)</t>
  </si>
  <si>
    <t>Come si usa</t>
  </si>
  <si>
    <t>1. Fogli CFD_L500 / CFD_L1000 / CFD_L1500: per ogni portata (fino a 5 blocchi) scrivi Q e incolla x [m] e velocità [m/s] nelle colonne blu (x=0 all'uscita, fino a 100 righe). I dati forniti sono già inseriti.</t>
  </si>
  <si>
    <t>2. Riepilogo: area efficace, k, lancio a vₜ da CFD e velocità in zona occupata per ogni lunghezza e portata, con esito di validità.</t>
  </si>
  <si>
    <t>3. Curve: curva normalizzata vₓ/v₀(x) per ogni lunghezza (mediata sulle portate) su griglia x = 0,5…9,5 m.</t>
  </si>
  <si>
    <t>4. Catalogo: scegli lunghezza, portata e distanza; ottieni velocità, lancio a vₜ e la tabella vₓ(x) per le portate volute, usando la curva normalizzata CFD (non la legge k·Q/x).</t>
  </si>
  <si>
    <t>5. Celle blu su fondo giallo = input; nere = formule; verdi = collegamenti ad altri fogli.</t>
  </si>
  <si>
    <t>6. Catalogo_L_libera: come Catalogo ma per una L qualsiasi (curva e area efficace interpolate tra 500/1000/1500). Lancio_vs_L: tabella del lancio per un elenco di lunghezze alla Q scelta.</t>
  </si>
  <si>
    <t>7. Catalogo_L_h / Lancio_vs_L_h: come sopra ma anche con larghezza fessura h diversa da 40 mm (es. 20, 30, 60), per similarità del getto piano. Stima non validata da CFD.</t>
  </si>
  <si>
    <t>8. Lancio ORIZZONTALE (parete a 6 m): H_Parametri, H_CFD_L500/L1000/L1500 (dati da incollare), H_Curve, H_Catalogo (L e Q qualsiasi) e H_Lancio_vs_L. Interpola sui dati CFD in Q e in L.</t>
  </si>
  <si>
    <t>Catalogo: velocità e lancio da curva normalizzata CFD</t>
  </si>
  <si>
    <t>vₓ(x) = f_L(x)·v₀,  v₀ = Q/(3600·A_eff)  –  nessuna legge k·Q/x: valido anche dove il getto non è sviluppato</t>
  </si>
  <si>
    <t>Lunghezza diffusore [mm]</t>
  </si>
  <si>
    <t>Portata Q [m³/h]</t>
  </si>
  <si>
    <t>Velocità terminale vₜ [m/s]</t>
  </si>
  <si>
    <t>Indice lunghezza</t>
  </si>
  <si>
    <t>Area efficace [m²]</t>
  </si>
  <si>
    <t>Campo Q simulato [m³/h]</t>
  </si>
  <si>
    <t>Distanza zona occupata [m]</t>
  </si>
  <si>
    <t>Risultato per Q = B5</t>
  </si>
  <si>
    <t>v₀ efficace [m/s]</t>
  </si>
  <si>
    <t>Lancio L a vₜ [m]</t>
  </si>
  <si>
    <t>vₓ in zona occupata [m/s]</t>
  </si>
  <si>
    <t>Esito</t>
  </si>
  <si>
    <t>Q [m³/h]</t>
  </si>
  <si>
    <t>v₀ eff. [m/s]</t>
  </si>
  <si>
    <t>vₜ/v₀</t>
  </si>
  <si>
    <t>L a vₜ [m]</t>
  </si>
  <si>
    <t>vₓ zona occ. [m/s]</t>
  </si>
  <si>
    <t>j*</t>
  </si>
  <si>
    <t>x₁</t>
  </si>
  <si>
    <t>x₂</t>
  </si>
  <si>
    <t>v₁</t>
  </si>
  <si>
    <t>v₂</t>
  </si>
  <si>
    <t>idx occ</t>
  </si>
  <si>
    <t>f(x) curva L scelta →</t>
  </si>
  <si>
    <t>Celle grigie in tabella = x oltre x max (influenza del pavimento). I valori di vₓ(x) sono letti dalla curva normalizzata della lunghezza scelta; la riga 21 usa Q della cella B5, le altre Q sono modificabili.</t>
  </si>
  <si>
    <t>Catalogo con lunghezza libera: velocità e lancio per qualsiasi L</t>
  </si>
  <si>
    <t>Curva vₓ/v₀(x), area efficace e soglia sono interpolate linearmente in L tra le due lunghezze CFD più vicine (500 / 1000 / 1500 mm). vₓ(x) = f_L(x)·v₀,  v₀ = Q/(3600·A_eff)</t>
  </si>
  <si>
    <t>Lunghezza diffusore L [mm]</t>
  </si>
  <si>
    <t>Interpolazione sulla lunghezza</t>
  </si>
  <si>
    <t>Indice lunghezza inferiore</t>
  </si>
  <si>
    <t>Lunghezza CFD inferiore [mm]</t>
  </si>
  <si>
    <t>Lunghezza CFD superiore [mm]</t>
  </si>
  <si>
    <t>Peso w (0 = inferiore, 1 = superiore)</t>
  </si>
  <si>
    <t>Coeff. di contrazione interpolato</t>
  </si>
  <si>
    <t>Area efficace A_eff [m²]</t>
  </si>
  <si>
    <t>Soglia vₜ/v₀ interpolata</t>
  </si>
  <si>
    <t>Q minimo simulato [m³/h]</t>
  </si>
  <si>
    <t>Q massimo simulato [m³/h]</t>
  </si>
  <si>
    <t>Stato interpolazione</t>
  </si>
  <si>
    <t>f(x) curva interpolata →</t>
  </si>
  <si>
    <t>Celle grigie in tabella = x oltre x max (influenza del pavimento). La riga 30 usa la Q della cella B5; le altre Q sono modificabili. Fuori da 500–1500 mm la curva viene estrapolata linearmente: usare solo come stima orientativa.</t>
  </si>
  <si>
    <t>Lancio a vₜ in funzione della lunghezza L (portata fissata)</t>
  </si>
  <si>
    <t>Stesso metodo del foglio Catalogo_L_libera, su un elenco di lunghezze. Q, vₜ e distanza zona occupata arrivano da Catalogo_L_libera.</t>
  </si>
  <si>
    <t>L [mm]</t>
  </si>
  <si>
    <t>Idx inf.</t>
  </si>
  <si>
    <t>Peso w</t>
  </si>
  <si>
    <t>Coeff. contraz.</t>
  </si>
  <si>
    <t>A_eff [m²]</t>
  </si>
  <si>
    <t>Lancio a vₜ [m]</t>
  </si>
  <si>
    <t>Le lunghezze nella colonna A (celle blu) sono modificabili. Celle grigie = x oltre x max (influenza del pavimento). Valori fuori 500–1500 mm = estrapolazione, solo orientativi.</t>
  </si>
  <si>
    <t>Catalogo con lunghezza L e larghezza fessura h libere</t>
  </si>
  <si>
    <t>Stima per similarità del getto piano: a parità di L e Q, nel tratto sviluppato vₓ/v₀ scala con √(h/h₀), h₀ = 40 mm (fessura dei dati CFD). Per h = 40 mm coincide con Catalogo_L_libera.</t>
  </si>
  <si>
    <t>Larghezza fessura h [mm]</t>
  </si>
  <si>
    <t>h di riferimento dei dati CFD [mm]</t>
  </si>
  <si>
    <t>Interpolazione sulla lunghezza e scala sulla fessura</t>
  </si>
  <si>
    <t>Fattore di scala s = √(h/h₀)</t>
  </si>
  <si>
    <t>Soglia vₜ/v₀ (interpolata e scalata)</t>
  </si>
  <si>
    <t>Q equivalente a h₀ (stesso v₀) [m³/h]</t>
  </si>
  <si>
    <t>Stato della stima</t>
  </si>
  <si>
    <t>Risultato per Q = B6</t>
  </si>
  <si>
    <t>f(x) curva interpolata e scalata →</t>
  </si>
  <si>
    <t>Ipotesi: getto piano autosimilare (vₓ ∝ Q/√(h·x) a L fissa), coefficiente di contrazione e forma della curva uguali a quelli della fessura da 40 mm. Valida per x ≳ 10·h (per h = 60 mm: x ≳ 0,6 m). Verificare con almeno una simulazione CFD con h ≠ 40 mm.</t>
  </si>
  <si>
    <t>Lancio a vₜ in funzione di L e della larghezza fessura h (portata fissata)</t>
  </si>
  <si>
    <t>Stesso metodo di Catalogo_L_h su un elenco di coppie (L, h). Q, vₜ e distanza zona occupata arrivano da Catalogo_L_h. Le celle blu L e h sono modificabili.</t>
  </si>
  <si>
    <t>h [mm]</t>
  </si>
  <si>
    <t>Lancio a vₜ [m]  (righe: h, colonne: L)</t>
  </si>
  <si>
    <t>h [mm] \ L [mm]</t>
  </si>
  <si>
    <t>vₓ in zona occupata [m/s]  (righe: h, colonne: L)</t>
  </si>
  <si>
    <t>Le matrici leggono le righe della tabella nell'ordine in cui sono scritte (blocchi per h, 5 lunghezze ciascuno): se cambi L e h in tabella cambiano anche le intestazioni.</t>
  </si>
  <si>
    <t>Catalogo lancio orizzontale: velocità e lancio per qualsiasi L e Q</t>
  </si>
  <si>
    <t>vₓ(x) = Q·g(x), con g = v/Q interpolato tra le portate simulate e (come g·L) tra le lunghezze CFD (500 / 1000 / 1500 mm). Parete a 6 m dal diffusore, isotermia.</t>
  </si>
  <si>
    <t>Distanza di verifica x_v [m]</t>
  </si>
  <si>
    <t>Lunghezze con dati</t>
  </si>
  <si>
    <t>Q minimo dei dati (interpolato) [m³/h]</t>
  </si>
  <si>
    <t>Q massimo dei dati (interpolato) [m³/h]</t>
  </si>
  <si>
    <t>x massimo valido (parete) [m]</t>
  </si>
  <si>
    <t>A efficace equivalente [m²]</t>
  </si>
  <si>
    <t>vₓ a distanza x_v [m/s]</t>
  </si>
  <si>
    <t>Q minima per vₓ(x_v) ≥ vₜ, da tabella [m³/h]</t>
  </si>
  <si>
    <t>vₓ a x_v [m/s]</t>
  </si>
  <si>
    <t>idx x_v</t>
  </si>
  <si>
    <t>Qlo_a</t>
  </si>
  <si>
    <t>Qhi_a</t>
  </si>
  <si>
    <t>kA_a</t>
  </si>
  <si>
    <t>kB_a</t>
  </si>
  <si>
    <t>wq_a</t>
  </si>
  <si>
    <t>Qlo_b</t>
  </si>
  <si>
    <t>Qhi_b</t>
  </si>
  <si>
    <t>kA_b</t>
  </si>
  <si>
    <t>kB_b</t>
  </si>
  <si>
    <t>wq_b</t>
  </si>
  <si>
    <t>g₀ = v₀/Q</t>
  </si>
  <si>
    <t>Q min per vₜ a x_v</t>
  </si>
  <si>
    <t>vₓ≥vₜ</t>
  </si>
  <si>
    <t>k</t>
  </si>
  <si>
    <t>Celle grigie = x oltre x max (parete). La riga 29 usa la Q di B5. Celle vuote nella tabella = dati CFD non disponibili in quel punto (profilo CFD che termina prima). "Q minima per vₓ(x_v) ≥ vₜ" è interpolata sulle righe 30–37 (Q in ordine crescente): la portata a cui vₜ viene raggiunta alla distanza x_v.</t>
  </si>
  <si>
    <t>Lancio orizzontale a vₜ in funzione della lunghezza L (portata fissata)</t>
  </si>
  <si>
    <t>Stesso metodo di H_Catalogo su un elenco di lunghezze. Q, vₜ e x_v arrivano da H_Catalogo. Fuori dal campo dei dati = estrapolazione.</t>
  </si>
  <si>
    <t>A eff. equiv. [m²]</t>
  </si>
  <si>
    <t>vₓ(x_v)/vₜ</t>
  </si>
  <si>
    <t>Le lunghezze (celle blu) sono modificabili. Celle grigie = x oltre x max. Celle vuote = dati CFD non disponibili in quel punto. "vₓ(x_v)/vₜ" &gt; 1 = il getto arriva a x_v con più di vₜ.</t>
  </si>
  <si>
    <t>Riepilogo per lunghezza e portata</t>
  </si>
  <si>
    <t>Area efficace, k, lancio a vₜ e velocità in zona occupata calcolati dai dati CFD</t>
  </si>
  <si>
    <t>Area efficace media [m²]</t>
  </si>
  <si>
    <t>Coeff. contrazione</t>
  </si>
  <si>
    <t>k (fit) [m/s·m per m³/h]</t>
  </si>
  <si>
    <t>C = k·3600·A_eff/h</t>
  </si>
  <si>
    <t>Q min per validità vₜ [m³/h]</t>
  </si>
  <si>
    <t>Q simulata min</t>
  </si>
  <si>
    <t>Q simulata max</t>
  </si>
  <si>
    <t>k = media di vₓ·x/Q sui punti con x tra 'x min fit' (Parametri) e x max. Per L = 1500 mm è un valore apparente: non usare L = k·Q/vₜ, usare la curva normalizzata (fogli Curve e Catalogo).</t>
  </si>
  <si>
    <t>Q min per validità = vₜ·3600·A_eff/soglia: sotto questa portata vₜ cade nel plateau/transizione.</t>
  </si>
  <si>
    <t>v₀ geom. [m/s]</t>
  </si>
  <si>
    <t>v₀ picco [m/s]</t>
  </si>
  <si>
    <t>k medio blocco</t>
  </si>
  <si>
    <t>k a x ref 1</t>
  </si>
  <si>
    <t>k a x ref 2</t>
  </si>
  <si>
    <t>C medio</t>
  </si>
  <si>
    <t>L a vₜ da CFD [m]</t>
  </si>
  <si>
    <t>L modello k·Q/vₜ [m]</t>
  </si>
  <si>
    <t>Scarto modello/CFD</t>
  </si>
  <si>
    <t>Riga attrav.</t>
  </si>
  <si>
    <t>idx ref1</t>
  </si>
  <si>
    <t>idx ref2</t>
  </si>
  <si>
    <t>idx zona occ.</t>
  </si>
  <si>
    <t>vₓ in zona occupata = velocità CFD interpolata (log-log) alla distanza diffusore-zona occupata di Parametri. L modello = k della lunghezza · Q / vₜ (vale solo nel tratto 1/x sviluppato).</t>
  </si>
  <si>
    <t>Curva normalizzata vₓ/v₀ in funzione di x</t>
  </si>
  <si>
    <t>Interpolazione log-log dei profili CFD, media sulle portate. Grigio = x oltre x max (influenza pavimento)</t>
  </si>
  <si>
    <t>L = 500 mm</t>
  </si>
  <si>
    <t>x [m]</t>
  </si>
  <si>
    <t>vₓ/v₀ medio</t>
  </si>
  <si>
    <t>Dispersione tra portate</t>
  </si>
  <si>
    <t>idx Q1</t>
  </si>
  <si>
    <t>idx Q2</t>
  </si>
  <si>
    <t>idx Q3</t>
  </si>
  <si>
    <t>idx Q4</t>
  </si>
  <si>
    <t>idx Q5</t>
  </si>
  <si>
    <t>L = 1000 mm</t>
  </si>
  <si>
    <t>L = 1500 mm</t>
  </si>
  <si>
    <t>__-hhhh</t>
  </si>
  <si>
    <t>Tema</t>
  </si>
  <si>
    <t>Nota</t>
  </si>
  <si>
    <t>Auto-similarità</t>
  </si>
  <si>
    <t>Per ogni lunghezza i profili vₓ/v₀(x) coincidono tra le portate (dispersione ≈ 3-8%). Per questo il Catalogo usa una curva normalizzata e v₀ = Q/(3600·A_eff).</t>
  </si>
  <si>
    <t>Area efficace</t>
  </si>
  <si>
    <t>v₀ di picco CFD ≈ 1,9-2,1 volte la v₀ geometrica (contrazione ≈ 0,48-0,53). I K con v₀ geometrica non sono confrontabili con quelli con v₀ CFD.</t>
  </si>
  <si>
    <t>Tratto 1/x</t>
  </si>
  <si>
    <t>L = 500 mm: 4-8,5 m (k ≈ 0,0138). L = 1000 mm: 5-8,5 m (k ≈ 0,0097, ≈ k500/√2). L = 1500 mm: non sviluppato prima del pavimento; k ≈ 0,0069 a x ≈ 7,6 m è apparente e non segue la scala 1/√L.</t>
  </si>
  <si>
    <t>Plateau</t>
  </si>
  <si>
    <t>Tra circa 0,5 e 2-3 m (più lungo con L maggiore) la velocità resta ≈ 0,2·v₀: se vₜ cade in questa fascia, L a vₜ è poco significativo (esito 'plateau/transizione').</t>
  </si>
  <si>
    <t>Pavimento</t>
  </si>
  <si>
    <t>Il pavimento è a 10 m dal diffusore: oltre ≈ 8,5 m i dati CFD sono influenzati dall'impatto e il lancio è troncato. Per valori indipendenti dall'altezza servirebbe un dominio più alto (≈ 15 m).</t>
  </si>
  <si>
    <t>Dati mancanti L = 1500 mm</t>
  </si>
  <si>
    <t>Tra 5 e 7,3-8,1 m c'è un solo punto per portata: aggiungere punti a 5,5 / 6 / 6,5 / 7 m renderebbe affidabile la curva in quel tratto.</t>
  </si>
  <si>
    <t>Isotermia</t>
  </si>
  <si>
    <t>Tutti i dati sono isotermi. A 10 m il galleggiamento (ΔT ≠ 0) cambia sensibilmente la caduta del getto: consigliato almeno un caso CFD non isotermico.</t>
  </si>
  <si>
    <t>Portate fuori campo</t>
  </si>
  <si>
    <t>Il Catalogo segnala l'estrapolazione se Q è fuori dal campo simulato per la lunghezza scelta. Prima della pubblicazione confermare almeno un punto con misura di laboratorio (ISO 5219 / EN 12238).</t>
  </si>
  <si>
    <t>Dati CFD – diffusore L = 500 mm</t>
  </si>
  <si>
    <t>Per ogni blocco: Q in riga 3 e dati x / velocità nelle colonne blu. Area geometrica da Parametri!C17.</t>
  </si>
  <si>
    <t>A efficace [m²]</t>
  </si>
  <si>
    <t>Arancione = x oltre x max (influenza pavimento) · Giallo = attraversamento di vₜ</t>
  </si>
  <si>
    <t>Velocità [m/s]</t>
  </si>
  <si>
    <t>vₓ/v₀</t>
  </si>
  <si>
    <t>Esponente n</t>
  </si>
  <si>
    <t>vₓ·x/Q</t>
  </si>
  <si>
    <t>Dati CFD – diffusore L = 1000 mm</t>
  </si>
  <si>
    <t>Per ogni blocco: Q in riga 3 e dati x / velocità nelle colonne blu. Area geometrica da Parametri!C18.</t>
  </si>
  <si>
    <t>Dati CFD – diffusore L = 1500 mm</t>
  </si>
  <si>
    <t>Per ogni blocco: Q in riga 3 e dati x / velocità nelle colonne blu. Area geometrica da Parametri!C19.</t>
  </si>
  <si>
    <t>Dati CFD orizzontale – diffusore L = 500 mm (parete a 6 m)</t>
  </si>
  <si>
    <t>Per ogni portata (fino a 5 blocchi): scrivi Q, incolla x [m] e velocità [m/s] nelle colonne blu, fino a 300 righe, e metti "Usa nel modello" = 1. Il modello legge i dati da solo.</t>
  </si>
  <si>
    <t>Usa nel modello (1/0)</t>
  </si>
  <si>
    <t>Dati corretti forniti dall'utente (ultima riga duplicata a x = 5,7149 scartata)</t>
  </si>
  <si>
    <t>v/Q [m/s per m³/h]</t>
  </si>
  <si>
    <t>Dati CFD orizzontale – diffusore L = 1000 mm (parete a 6 m)</t>
  </si>
  <si>
    <t>Dati CFD orizzontale – diffusore L = 1500 mm (parete a 6 m)</t>
  </si>
  <si>
    <t>Curve v/Q in funzione di x – lancio orizzontale</t>
  </si>
  <si>
    <t>g(x) = v(x)/Q per ogni portata e lunghezza (interpolazione log-log dei profili CFD). Il catalogo interpola poi tra portate e tra lunghezze. Grigio = x oltre x max (parete).</t>
  </si>
  <si>
    <t>Q valida [m³/h]</t>
  </si>
  <si>
    <t>v₀ picco / Q</t>
  </si>
  <si>
    <t>Media</t>
  </si>
  <si>
    <t>Dispersione</t>
  </si>
  <si>
    <t>Diffusore lineare – lancio ORIZZONTALE (dati CFD per L = 500 / 1000 / 1500 mm, parete a 6 m)</t>
  </si>
  <si>
    <t>Getto orizzontale in isotermia. Il modello interpola i dati CFD sulla portata e sulla lunghezza; i dati si incollano nei fogli H_CFD_L500 / L1000 / L1500.</t>
  </si>
  <si>
    <t>Fessura 40 mm (come nel verticale)</t>
  </si>
  <si>
    <t>Distanza diffusore–parete</t>
  </si>
  <si>
    <t>Dato fornito</t>
  </si>
  <si>
    <t>Spessore zona di influenza della parete</t>
  </si>
  <si>
    <t>Stima: nei dati CFD oltre ≈ 5 m il decadimento diventa molto più ripido (impatto sulla parete). Da confermare</t>
  </si>
  <si>
    <t>Oltre questo valore i dati sono influenzati dalla parete</t>
  </si>
  <si>
    <t>x minimo per lancio significativo</t>
  </si>
  <si>
    <t>Sotto questa distanza il profilo è nel campo vicino: il lancio è poco significativo</t>
  </si>
  <si>
    <t>Servono dati per almeno 2 lunghezze, compilate nell'ordine 500, 1000, 1500</t>
  </si>
  <si>
    <t>Parametri per lunghezza (calcolati dai fogli dati)</t>
  </si>
  <si>
    <t>N. portate valide</t>
  </si>
  <si>
    <t>Q min dati [m³/h]</t>
  </si>
  <si>
    <t>Q max dati [m³/h]</t>
  </si>
  <si>
    <t>v₀/Q medio</t>
  </si>
  <si>
    <t>A efficace equiv. [m²]</t>
  </si>
  <si>
    <t>Note e istruzioni</t>
  </si>
  <si>
    <t>1. Come aggiungere i dati: nel foglio H_CFD_L500 / L1000 / L1500 scrivi Q, incolla x [m] e velocità [m/s] (fino a 300 righe per portata, 5 portate per lunghezza) e metti "Usa nel modello" = 1. Compila le lunghezze nell'ordine 500, 1000, 1500.</t>
  </si>
  <si>
    <t>2. Il modello usa v/Q (velocità per m³/h) invece di una curva unica normalizzata: interpola tra le portate simulate (lineare in Q) e poi tra le lunghezze (lineare in L, su g·L perché v₀/Q scala circa come 1/L). Fuori dai campi dati i valori sono estrapolati e segnalati.</t>
  </si>
  <si>
    <t>3. Dati CFD fino a x ≈ 5,7 m con parete a 6 m: la zona di influenza della parete (1 m di default) limita il tratto libero a x ≤ 5 m. Dove un profilo CFD termina prima di x = 5,5 m la curva è "n.d.".</t>
  </si>
  <si>
    <t>4. Dati isotermi: con ΔT ≠ 0 il getto si piega per galleggiamento e servono casi non isotermi. Lunghezze fuori dal campo dei dati: estrapolazione lineare, solo orientativa.</t>
  </si>
  <si>
    <t>5. Controllo errori: se una cella di H_Catalogo / H_Lancio_vs_L risulta vuota ("") la curva non è disponibile in quel punto (dati mancanti o che finiscono prima di x = 5,5 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</si>
</sst>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"/>
    <numFmt numFmtId="168" formatCode="0;\-0;\–"/>
    <numFmt numFmtId="169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1"/>
      <color rgb="FF1F3864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b/>
      <sz val="10"/>
      <color rgb="FF1F3864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1" fontId="5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2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166" fontId="5" fillId="0" borderId="1" xfId="0" applyNumberFormat="1" applyFont="1" applyBorder="1"/>
    <xf numFmtId="166" fontId="12" fillId="0" borderId="1" xfId="0" applyNumberFormat="1" applyFont="1" applyBorder="1"/>
    <xf numFmtId="164" fontId="12" fillId="0" borderId="1" xfId="0" applyNumberFormat="1" applyFont="1" applyBorder="1"/>
    <xf numFmtId="168" fontId="8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44"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border diagonalUp="0" diagonalDown="0">
        <left/>
        <right/>
        <top/>
        <bottom style="thin">
          <color rgb="FFBFBFBF"/>
        </bottom>
      </border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7" zoomScaleNormal="100" workbookViewId="0">
      <selection activeCell="A26" sqref="A26"/>
    </sheetView>
  </sheetViews>
  <sheetFormatPr defaultColWidth="8.7109375" defaultRowHeight="15" x14ac:dyDescent="0.25"/>
  <cols>
    <col min="1" max="1" width="44" customWidth="1"/>
    <col min="2" max="2" width="12" customWidth="1"/>
    <col min="3" max="3" width="20" customWidth="1"/>
    <col min="4" max="5" width="14" customWidth="1"/>
    <col min="6" max="6" width="58" customWidth="1"/>
  </cols>
  <sheetData>
    <row r="1" spans="1:6" ht="18" customHeight="1" x14ac:dyDescent="0.25">
      <c r="A1" s="2" t="s">
        <v>0</v>
      </c>
    </row>
    <row r="2" spans="1:6" x14ac:dyDescent="0.25">
      <c r="A2" s="3" t="s">
        <v>1</v>
      </c>
    </row>
    <row r="3" spans="1:6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spans="1:6" x14ac:dyDescent="0.25">
      <c r="A4" s="5" t="s">
        <v>6</v>
      </c>
      <c r="B4" s="6">
        <v>0.04</v>
      </c>
      <c r="C4" s="7" t="s">
        <v>7</v>
      </c>
      <c r="D4" s="5" t="s">
        <v>8</v>
      </c>
    </row>
    <row r="5" spans="1:6" ht="51" customHeight="1" x14ac:dyDescent="0.25">
      <c r="A5" s="5" t="s">
        <v>9</v>
      </c>
      <c r="B5" s="8">
        <v>10</v>
      </c>
      <c r="C5" s="7" t="s">
        <v>7</v>
      </c>
      <c r="D5" s="5" t="s">
        <v>10</v>
      </c>
    </row>
    <row r="6" spans="1:6" x14ac:dyDescent="0.25">
      <c r="A6" s="5" t="s">
        <v>11</v>
      </c>
      <c r="B6" s="8">
        <v>1.5</v>
      </c>
      <c r="C6" s="7" t="s">
        <v>7</v>
      </c>
      <c r="D6" s="5" t="s">
        <v>12</v>
      </c>
    </row>
    <row r="7" spans="1:6" ht="76.5" customHeight="1" x14ac:dyDescent="0.25">
      <c r="A7" s="5" t="s">
        <v>13</v>
      </c>
      <c r="B7" s="9">
        <f>B5-B6</f>
        <v>8.5</v>
      </c>
      <c r="C7" s="7" t="s">
        <v>7</v>
      </c>
      <c r="D7" s="5" t="s">
        <v>14</v>
      </c>
    </row>
    <row r="8" spans="1:6" x14ac:dyDescent="0.25">
      <c r="A8" s="5" t="s">
        <v>15</v>
      </c>
      <c r="B8" s="8">
        <v>1.8</v>
      </c>
      <c r="C8" s="7" t="s">
        <v>7</v>
      </c>
      <c r="D8" s="5" t="s">
        <v>8</v>
      </c>
    </row>
    <row r="9" spans="1:6" ht="25.5" customHeight="1" x14ac:dyDescent="0.25">
      <c r="A9" s="5" t="s">
        <v>16</v>
      </c>
      <c r="B9" s="9">
        <f>B5-B8</f>
        <v>8.1999999999999993</v>
      </c>
      <c r="C9" s="7" t="s">
        <v>7</v>
      </c>
      <c r="D9" s="5" t="s">
        <v>17</v>
      </c>
    </row>
    <row r="10" spans="1:6" ht="38.25" customHeight="1" x14ac:dyDescent="0.25">
      <c r="A10" s="5" t="s">
        <v>18</v>
      </c>
      <c r="B10" s="10">
        <v>0.25</v>
      </c>
      <c r="C10" s="7" t="s">
        <v>19</v>
      </c>
      <c r="D10" s="5" t="s">
        <v>20</v>
      </c>
    </row>
    <row r="11" spans="1:6" ht="51" customHeight="1" x14ac:dyDescent="0.25">
      <c r="A11" s="5" t="s">
        <v>21</v>
      </c>
      <c r="B11" s="10">
        <v>0.3</v>
      </c>
      <c r="C11" s="7" t="s">
        <v>7</v>
      </c>
      <c r="D11" s="5" t="s">
        <v>22</v>
      </c>
    </row>
    <row r="12" spans="1:6" ht="38.25" customHeight="1" x14ac:dyDescent="0.25">
      <c r="A12" s="5" t="s">
        <v>23</v>
      </c>
      <c r="B12" s="8">
        <v>5</v>
      </c>
      <c r="C12" s="7" t="s">
        <v>7</v>
      </c>
      <c r="D12" s="5" t="s">
        <v>24</v>
      </c>
    </row>
    <row r="13" spans="1:6" x14ac:dyDescent="0.25">
      <c r="A13" s="5" t="s">
        <v>25</v>
      </c>
      <c r="B13" s="8">
        <v>7.6</v>
      </c>
      <c r="C13" s="7" t="s">
        <v>7</v>
      </c>
      <c r="D13" s="5" t="s">
        <v>26</v>
      </c>
    </row>
    <row r="15" spans="1:6" x14ac:dyDescent="0.25">
      <c r="A15" s="11" t="s">
        <v>27</v>
      </c>
    </row>
    <row r="16" spans="1:6" ht="31.5" customHeight="1" x14ac:dyDescent="0.25">
      <c r="A16" s="4" t="s">
        <v>28</v>
      </c>
      <c r="B16" s="4" t="s">
        <v>29</v>
      </c>
      <c r="C16" s="4" t="s">
        <v>30</v>
      </c>
      <c r="D16" s="4" t="s">
        <v>31</v>
      </c>
      <c r="E16" s="4" t="s">
        <v>32</v>
      </c>
      <c r="F16" s="4" t="s">
        <v>5</v>
      </c>
    </row>
    <row r="17" spans="1:6" x14ac:dyDescent="0.25">
      <c r="A17" s="12">
        <v>500</v>
      </c>
      <c r="B17" s="13">
        <f>A17/1000</f>
        <v>0.5</v>
      </c>
      <c r="C17" s="14">
        <f>B17*$B$4</f>
        <v>0.02</v>
      </c>
      <c r="D17" s="6">
        <v>0.125</v>
      </c>
      <c r="E17" s="8">
        <v>4</v>
      </c>
      <c r="F17" s="5" t="s">
        <v>33</v>
      </c>
    </row>
    <row r="18" spans="1:6" x14ac:dyDescent="0.25">
      <c r="A18" s="12">
        <v>1000</v>
      </c>
      <c r="B18" s="13">
        <f>A18/1000</f>
        <v>1</v>
      </c>
      <c r="C18" s="14">
        <f>B18*$B$4</f>
        <v>0.04</v>
      </c>
      <c r="D18" s="6">
        <v>0.15</v>
      </c>
      <c r="E18" s="8">
        <v>4.9000000000000004</v>
      </c>
      <c r="F18" s="5" t="s">
        <v>34</v>
      </c>
    </row>
    <row r="19" spans="1:6" x14ac:dyDescent="0.25">
      <c r="A19" s="12">
        <v>1500</v>
      </c>
      <c r="B19" s="13">
        <f>A19/1000</f>
        <v>1.5</v>
      </c>
      <c r="C19" s="14">
        <f>B19*$B$4</f>
        <v>0.06</v>
      </c>
      <c r="D19" s="6">
        <v>0.155</v>
      </c>
      <c r="E19" s="8">
        <v>7</v>
      </c>
      <c r="F19" s="5" t="s">
        <v>35</v>
      </c>
    </row>
    <row r="22" spans="1:6" x14ac:dyDescent="0.25">
      <c r="A22" s="11" t="s">
        <v>36</v>
      </c>
    </row>
    <row r="23" spans="1:6" x14ac:dyDescent="0.25">
      <c r="A23" s="15" t="s">
        <v>37</v>
      </c>
    </row>
    <row r="24" spans="1:6" x14ac:dyDescent="0.25">
      <c r="A24" s="15" t="s">
        <v>38</v>
      </c>
    </row>
    <row r="25" spans="1:6" x14ac:dyDescent="0.25">
      <c r="A25" s="15" t="s">
        <v>39</v>
      </c>
    </row>
    <row r="26" spans="1:6" x14ac:dyDescent="0.25">
      <c r="A26" s="15" t="s">
        <v>40</v>
      </c>
    </row>
    <row r="27" spans="1:6" x14ac:dyDescent="0.25">
      <c r="A27" s="15" t="s">
        <v>41</v>
      </c>
    </row>
    <row r="28" spans="1:6" x14ac:dyDescent="0.25">
      <c r="A28" s="15" t="s">
        <v>42</v>
      </c>
    </row>
    <row r="29" spans="1:6" x14ac:dyDescent="0.25">
      <c r="A29" s="15" t="s">
        <v>43</v>
      </c>
    </row>
    <row r="30" spans="1:6" x14ac:dyDescent="0.25">
      <c r="A30" s="15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topLeftCell="E1" zoomScaleNormal="100" workbookViewId="0">
      <pane ySplit="19" topLeftCell="A20" activePane="bottomLeft" state="frozen"/>
      <selection activeCell="E1" sqref="E1"/>
      <selection pane="bottomLeft" activeCell="O6" sqref="O6"/>
    </sheetView>
  </sheetViews>
  <sheetFormatPr defaultColWidth="8.7109375" defaultRowHeight="15" x14ac:dyDescent="0.25"/>
  <cols>
    <col min="1" max="1" width="34" customWidth="1"/>
    <col min="2" max="2" width="14" customWidth="1"/>
    <col min="3" max="3" width="10" customWidth="1"/>
    <col min="4" max="4" width="12" customWidth="1"/>
    <col min="5" max="5" width="16" customWidth="1"/>
    <col min="6" max="6" width="46" customWidth="1"/>
    <col min="7" max="13" width="7" customWidth="1"/>
    <col min="14" max="14" width="9.28515625" customWidth="1"/>
    <col min="15" max="25" width="7" customWidth="1"/>
    <col min="26" max="31" width="8" customWidth="1"/>
  </cols>
  <sheetData>
    <row r="1" spans="1:2" ht="18" customHeight="1" x14ac:dyDescent="0.25">
      <c r="A1" s="2" t="s">
        <v>45</v>
      </c>
    </row>
    <row r="2" spans="1:2" x14ac:dyDescent="0.25">
      <c r="A2" s="3" t="s">
        <v>46</v>
      </c>
    </row>
    <row r="4" spans="1:2" x14ac:dyDescent="0.25">
      <c r="A4" s="16" t="s">
        <v>47</v>
      </c>
      <c r="B4" s="12">
        <v>500</v>
      </c>
    </row>
    <row r="5" spans="1:2" x14ac:dyDescent="0.25">
      <c r="A5" s="16" t="s">
        <v>48</v>
      </c>
      <c r="B5" s="12">
        <v>150</v>
      </c>
    </row>
    <row r="6" spans="1:2" x14ac:dyDescent="0.25">
      <c r="A6" s="16" t="s">
        <v>49</v>
      </c>
      <c r="B6" s="17">
        <f>Parametri!B10</f>
        <v>0.25</v>
      </c>
    </row>
    <row r="7" spans="1:2" x14ac:dyDescent="0.25">
      <c r="A7" s="16" t="s">
        <v>50</v>
      </c>
      <c r="B7" s="18">
        <f>MATCH(B4,Parametri!A17:A19,0)</f>
        <v>1</v>
      </c>
    </row>
    <row r="8" spans="1:2" x14ac:dyDescent="0.25">
      <c r="A8" s="16" t="s">
        <v>51</v>
      </c>
      <c r="B8" s="19">
        <f>INDEX(Riepilogo!B5:B7,B7)</f>
        <v>1.0136623260374599E-2</v>
      </c>
    </row>
    <row r="9" spans="1:2" x14ac:dyDescent="0.25">
      <c r="A9" s="16" t="s">
        <v>31</v>
      </c>
      <c r="B9" s="20">
        <f>INDEX(Riepilogo!F5:F7,B7)</f>
        <v>0.125</v>
      </c>
    </row>
    <row r="10" spans="1:2" x14ac:dyDescent="0.25">
      <c r="A10" s="16" t="s">
        <v>52</v>
      </c>
      <c r="B10" s="21" t="str">
        <f>INDEX(Riepilogo!H5:H7,B7)&amp;" – "&amp;INDEX(Riepilogo!I5:I7,B7)</f>
        <v>80 – 250</v>
      </c>
    </row>
    <row r="11" spans="1:2" x14ac:dyDescent="0.25">
      <c r="A11" s="16" t="s">
        <v>53</v>
      </c>
      <c r="B11" s="20">
        <v>8.2200000000000006</v>
      </c>
    </row>
    <row r="13" spans="1:2" x14ac:dyDescent="0.25">
      <c r="A13" s="22" t="s">
        <v>54</v>
      </c>
    </row>
    <row r="14" spans="1:2" x14ac:dyDescent="0.25">
      <c r="A14" s="5" t="s">
        <v>55</v>
      </c>
      <c r="B14" s="23">
        <f>B21</f>
        <v>4.1105075720380349</v>
      </c>
    </row>
    <row r="15" spans="1:2" x14ac:dyDescent="0.25">
      <c r="A15" s="5" t="s">
        <v>56</v>
      </c>
      <c r="B15" s="24">
        <f>D21</f>
        <v>8.2270888164855265</v>
      </c>
    </row>
    <row r="16" spans="1:2" x14ac:dyDescent="0.25">
      <c r="A16" s="5" t="s">
        <v>57</v>
      </c>
      <c r="B16" s="25">
        <f>E21</f>
        <v>0.25031676025976657</v>
      </c>
    </row>
    <row r="17" spans="1:31" x14ac:dyDescent="0.25">
      <c r="A17" s="5" t="s">
        <v>58</v>
      </c>
      <c r="B17" s="1" t="str">
        <f>F21</f>
        <v>OK</v>
      </c>
      <c r="C17" s="1"/>
      <c r="D17" s="1"/>
      <c r="E17" s="1"/>
      <c r="F17" s="1"/>
    </row>
    <row r="19" spans="1:31" ht="33.75" customHeight="1" x14ac:dyDescent="0.25">
      <c r="A19" s="4" t="s">
        <v>59</v>
      </c>
      <c r="B19" s="4" t="s">
        <v>60</v>
      </c>
      <c r="C19" s="4" t="s">
        <v>61</v>
      </c>
      <c r="D19" s="4" t="s">
        <v>62</v>
      </c>
      <c r="E19" s="4" t="s">
        <v>63</v>
      </c>
      <c r="F19" s="4" t="s">
        <v>58</v>
      </c>
      <c r="G19" s="26">
        <v>0.5</v>
      </c>
      <c r="H19" s="26">
        <v>1</v>
      </c>
      <c r="I19" s="26">
        <v>1.5</v>
      </c>
      <c r="J19" s="26">
        <v>2</v>
      </c>
      <c r="K19" s="26">
        <v>2.5</v>
      </c>
      <c r="L19" s="26">
        <v>3</v>
      </c>
      <c r="M19" s="26">
        <v>3.5</v>
      </c>
      <c r="N19" s="26">
        <v>4</v>
      </c>
      <c r="O19" s="26">
        <v>4.5</v>
      </c>
      <c r="P19" s="26">
        <v>5</v>
      </c>
      <c r="Q19" s="26">
        <v>5.5</v>
      </c>
      <c r="R19" s="26">
        <v>6</v>
      </c>
      <c r="S19" s="26">
        <v>6.5</v>
      </c>
      <c r="T19" s="26">
        <v>7</v>
      </c>
      <c r="U19" s="26">
        <v>7.5</v>
      </c>
      <c r="V19" s="26">
        <v>8</v>
      </c>
      <c r="W19" s="26">
        <v>8.5</v>
      </c>
      <c r="X19" s="26">
        <v>9</v>
      </c>
      <c r="Y19" s="26">
        <v>9.5</v>
      </c>
      <c r="Z19" s="4" t="s">
        <v>64</v>
      </c>
      <c r="AA19" s="4" t="s">
        <v>65</v>
      </c>
      <c r="AB19" s="4" t="s">
        <v>66</v>
      </c>
      <c r="AC19" s="4" t="s">
        <v>67</v>
      </c>
      <c r="AD19" s="4" t="s">
        <v>68</v>
      </c>
      <c r="AE19" s="4" t="s">
        <v>69</v>
      </c>
    </row>
    <row r="20" spans="1:31" x14ac:dyDescent="0.25">
      <c r="A20" s="27" t="s">
        <v>70</v>
      </c>
      <c r="B20" s="7"/>
      <c r="C20" s="7"/>
      <c r="D20" s="7"/>
      <c r="E20" s="7"/>
      <c r="F20" s="7"/>
      <c r="G20" s="13">
        <f>INDEX(Curve!$G$1:$G$100,4+($B$7-1)*24+1+G$19*2)</f>
        <v>0.22774569157492322</v>
      </c>
      <c r="H20" s="13">
        <f>INDEX(Curve!$G$1:$G$100,4+($B$7-1)*24+1+H$19*2)</f>
        <v>0.21285162008642877</v>
      </c>
      <c r="I20" s="13">
        <f>INDEX(Curve!$G$1:$G$100,4+($B$7-1)*24+1+I$19*2)</f>
        <v>0.19245601284064917</v>
      </c>
      <c r="J20" s="13">
        <f>INDEX(Curve!$G$1:$G$100,4+($B$7-1)*24+1+J$19*2)</f>
        <v>0.17728609186723973</v>
      </c>
      <c r="K20" s="13">
        <f>INDEX(Curve!$G$1:$G$100,4+($B$7-1)*24+1+K$19*2)</f>
        <v>0.16422859407039334</v>
      </c>
      <c r="L20" s="13">
        <f>INDEX(Curve!$G$1:$G$100,4+($B$7-1)*24+1+L$19*2)</f>
        <v>0.14863648498687757</v>
      </c>
      <c r="M20" s="13">
        <f>INDEX(Curve!$G$1:$G$100,4+($B$7-1)*24+1+M$19*2)</f>
        <v>0.13425178745683261</v>
      </c>
      <c r="N20" s="13">
        <f>INDEX(Curve!$G$1:$G$100,4+($B$7-1)*24+1+N$19*2)</f>
        <v>0.12272625833762381</v>
      </c>
      <c r="O20" s="13">
        <f>INDEX(Curve!$G$1:$G$100,4+($B$7-1)*24+1+O$19*2)</f>
        <v>0.11058431068610146</v>
      </c>
      <c r="P20" s="13">
        <f>INDEX(Curve!$G$1:$G$100,4+($B$7-1)*24+1+P$19*2)</f>
        <v>0.10056119968494868</v>
      </c>
      <c r="Q20" s="13">
        <f>INDEX(Curve!$G$1:$G$100,4+($B$7-1)*24+1+Q$19*2)</f>
        <v>9.1738560595431451E-2</v>
      </c>
      <c r="R20" s="13">
        <f>INDEX(Curve!$G$1:$G$100,4+($B$7-1)*24+1+R$19*2)</f>
        <v>8.4362773291351445E-2</v>
      </c>
      <c r="S20" s="13">
        <f>INDEX(Curve!$G$1:$G$100,4+($B$7-1)*24+1+S$19*2)</f>
        <v>7.8099333823369491E-2</v>
      </c>
      <c r="T20" s="13">
        <f>INDEX(Curve!$G$1:$G$100,4+($B$7-1)*24+1+T$19*2)</f>
        <v>7.272087993958809E-2</v>
      </c>
      <c r="U20" s="13">
        <f>INDEX(Curve!$G$1:$G$100,4+($B$7-1)*24+1+U$19*2)</f>
        <v>6.804870369521436E-2</v>
      </c>
      <c r="V20" s="13">
        <f>INDEX(Curve!$G$1:$G$100,4+($B$7-1)*24+1+V$19*2)</f>
        <v>6.3372546105513919E-2</v>
      </c>
      <c r="W20" s="13">
        <f>INDEX(Curve!$G$1:$G$100,4+($B$7-1)*24+1+W$19*2)</f>
        <v>5.7973003259650234E-2</v>
      </c>
      <c r="X20" s="13">
        <f>INDEX(Curve!$G$1:$G$100,4+($B$7-1)*24+1+X$19*2)</f>
        <v>5.003248136449908E-2</v>
      </c>
      <c r="Y20" s="13">
        <f>INDEX(Curve!$G$1:$G$100,4+($B$7-1)*24+1+Y$19*2)</f>
        <v>3.3130897492578894E-2</v>
      </c>
    </row>
    <row r="21" spans="1:31" x14ac:dyDescent="0.25">
      <c r="A21" s="18">
        <f>B5</f>
        <v>150</v>
      </c>
      <c r="B21" s="23">
        <f t="shared" ref="B21:B29" si="0">IF(OR(A21="",NOT(ISNUMBER($B$8))),"",A21/3600/$B$8)</f>
        <v>4.1105075720380349</v>
      </c>
      <c r="C21" s="13">
        <f t="shared" ref="C21:C29" si="1">IF(B21="","",$B$6/B21)</f>
        <v>6.08197395622476E-2</v>
      </c>
      <c r="D21" s="24">
        <f t="shared" ref="D21:D29" si="2">IF(B21="","",IF(AA21="",IF(ISNUMBER(G21),IF(G21&lt;$B$6,"&lt; 0,5","n.d."),"n.d."),EXP(LN(AA21)+(LN($B$6)-LN(AC21))*(LN(AB21)-LN(AA21))/(LN(AD21)-LN(AC21)))))</f>
        <v>8.2270888164855265</v>
      </c>
      <c r="E21" s="25">
        <f t="shared" ref="E21:E29" si="3">IF(OR(B21="",AE21=""),"",IFERROR(EXP(LN(INDEX(G21:Y21,AE21))+(LN($B$11)-LN(INDEX(G$19:Y$19,AE21)))*(LN(INDEX(G21:Y21,AE21+1))-LN(INDEX(G21:Y21,AE21)))/(LN(INDEX(G$19:Y$19,AE21+1))-LN(INDEX(G$19:Y$19,AE21)))),""))</f>
        <v>0.25031676025976657</v>
      </c>
      <c r="F21" s="5" t="str">
        <f>IF(B21="","",IF(OR(A21&lt;VALUE(LEFT($B$10,FIND(" ",$B$10)-1))*0.99,A21&gt;VALUE(MID($B$10,FIND("–",$B$10)+2,10))*1.01),"Q fuori dal campo simulato (estrapolazione)",IF(NOT(ISNUMBER(D21)),"vₜ non raggiunta / &lt; 0,5 m",IF(C21&gt;$B$9,"vₜ nel plateau/transizione: L poco significativo",IF(D21&gt;Parametri!$B$7,"Oltre x max: troncato dal pavimento","OK")))))</f>
        <v>OK</v>
      </c>
      <c r="G21" s="13">
        <f t="shared" ref="G21:P29" si="4">IF(OR($B21="",NOT(ISNUMBER(G$20))),"",G$20*$B21)</f>
        <v>0.93615038971776077</v>
      </c>
      <c r="H21" s="13">
        <f t="shared" si="4"/>
        <v>0.8749281960858285</v>
      </c>
      <c r="I21" s="13">
        <f t="shared" si="4"/>
        <v>0.79109189806573765</v>
      </c>
      <c r="J21" s="13">
        <f t="shared" si="4"/>
        <v>0.72873582303731954</v>
      </c>
      <c r="K21" s="13">
        <f t="shared" si="4"/>
        <v>0.67506287947151256</v>
      </c>
      <c r="L21" s="13">
        <f t="shared" si="4"/>
        <v>0.61097139701967795</v>
      </c>
      <c r="M21" s="13">
        <f t="shared" si="4"/>
        <v>0.55184298890095129</v>
      </c>
      <c r="N21" s="13">
        <f t="shared" si="4"/>
        <v>0.50446721418469864</v>
      </c>
      <c r="O21" s="13">
        <f t="shared" si="4"/>
        <v>0.45455764642382662</v>
      </c>
      <c r="P21" s="13">
        <f t="shared" si="4"/>
        <v>0.41335757275821039</v>
      </c>
      <c r="Q21" s="13">
        <f t="shared" ref="Q21:Y29" si="5">IF(OR($B21="",NOT(ISNUMBER(Q$20))),"",Q$20*$B21)</f>
        <v>0.37709204797539109</v>
      </c>
      <c r="R21" s="13">
        <f t="shared" si="5"/>
        <v>0.34677381841222821</v>
      </c>
      <c r="S21" s="13">
        <f t="shared" si="5"/>
        <v>0.32102790305208651</v>
      </c>
      <c r="T21" s="13">
        <f t="shared" si="5"/>
        <v>0.29891972763694569</v>
      </c>
      <c r="U21" s="13">
        <f t="shared" si="5"/>
        <v>0.27971471180655122</v>
      </c>
      <c r="V21" s="13">
        <f t="shared" si="5"/>
        <v>0.26049333062604446</v>
      </c>
      <c r="W21" s="13">
        <f t="shared" si="5"/>
        <v>0.23829846887257797</v>
      </c>
      <c r="X21" s="13">
        <f t="shared" si="5"/>
        <v>0.20565889349662533</v>
      </c>
      <c r="Y21" s="13">
        <f t="shared" si="5"/>
        <v>0.1361848050116615</v>
      </c>
      <c r="Z21" s="18">
        <f t="array" ref="Z21">IF(B21="","",SUMPRODUCT(MAX(ISNUMBER(G21:X21)*ISNUMBER(H21:Y21)*(G21:X21&gt;=$B$6)*(H21:Y21&lt;$B$6)*(COLUMN(G21:X21)-COLUMN(G21)+1))))</f>
        <v>16</v>
      </c>
      <c r="AA21" s="23">
        <f t="shared" ref="AA21:AA29" si="6">IF(OR(Z21="",Z21=0),"",INDEX(G$19:Y$19,Z21))</f>
        <v>8</v>
      </c>
      <c r="AB21" s="23">
        <f t="shared" ref="AB21:AB29" si="7">IF(AA21="","",INDEX(G$19:Y$19,Z21+1))</f>
        <v>8.5</v>
      </c>
      <c r="AC21" s="14">
        <f t="shared" ref="AC21:AC29" si="8">IF(AA21="","",INDEX(G21:Y21,Z21))</f>
        <v>0.26049333062604446</v>
      </c>
      <c r="AD21" s="14">
        <f t="shared" ref="AD21:AD29" si="9">IF(AA21="","",INDEX(G21:Y21,Z21+1))</f>
        <v>0.23829846887257797</v>
      </c>
      <c r="AE21" s="18">
        <f t="shared" ref="AE21:AE29" si="10">IF(B21="","",IFERROR(MATCH($B$11,$G$19:$Y$19,1),""))</f>
        <v>16</v>
      </c>
    </row>
    <row r="22" spans="1:31" x14ac:dyDescent="0.25">
      <c r="A22" s="12">
        <v>60</v>
      </c>
      <c r="B22" s="23">
        <f t="shared" si="0"/>
        <v>1.6442030288152141</v>
      </c>
      <c r="C22" s="13">
        <f t="shared" si="1"/>
        <v>0.152049348905619</v>
      </c>
      <c r="D22" s="24">
        <f t="shared" si="2"/>
        <v>2.8780736162040745</v>
      </c>
      <c r="E22" s="25">
        <f t="shared" si="3"/>
        <v>0.10012670410390666</v>
      </c>
      <c r="F22" s="5" t="str">
        <f>IF(B22="","",IF(OR(A22&lt;VALUE(LEFT($B$10,FIND(" ",$B$10)-1))*0.99,A22&gt;VALUE(MID($B$10,FIND("–",$B$10)+2,10))*1.01),"Q fuori dal campo simulato (estrapolazione)",IF(NOT(ISNUMBER(D22)),"vₜ non raggiunta / &lt; 0,5 m",IF(C22&gt;$B$9,"vₜ nel plateau/transizione: L poco significativo",IF(D22&gt;Parametri!$B$7,"Oltre x max: troncato dal pavimento","OK")))))</f>
        <v>Q fuori dal campo simulato (estrapolazione)</v>
      </c>
      <c r="G22" s="13">
        <f t="shared" si="4"/>
        <v>0.37446015588710435</v>
      </c>
      <c r="H22" s="13">
        <f t="shared" si="4"/>
        <v>0.34997127843433146</v>
      </c>
      <c r="I22" s="13">
        <f t="shared" si="4"/>
        <v>0.31643675922629511</v>
      </c>
      <c r="J22" s="13">
        <f t="shared" si="4"/>
        <v>0.29149432921492785</v>
      </c>
      <c r="K22" s="13">
        <f t="shared" si="4"/>
        <v>0.27002515178860503</v>
      </c>
      <c r="L22" s="13">
        <f t="shared" si="4"/>
        <v>0.24438855880787119</v>
      </c>
      <c r="M22" s="13">
        <f t="shared" si="4"/>
        <v>0.22073719556038054</v>
      </c>
      <c r="N22" s="13">
        <f t="shared" si="4"/>
        <v>0.20178688567387948</v>
      </c>
      <c r="O22" s="13">
        <f t="shared" si="4"/>
        <v>0.18182305856953065</v>
      </c>
      <c r="P22" s="13">
        <f t="shared" si="4"/>
        <v>0.16534302910328419</v>
      </c>
      <c r="Q22" s="13">
        <f t="shared" si="5"/>
        <v>0.15083681919015643</v>
      </c>
      <c r="R22" s="13">
        <f t="shared" si="5"/>
        <v>0.13870952736489128</v>
      </c>
      <c r="S22" s="13">
        <f t="shared" si="5"/>
        <v>0.1284111612208346</v>
      </c>
      <c r="T22" s="13">
        <f t="shared" si="5"/>
        <v>0.11956789105477827</v>
      </c>
      <c r="U22" s="13">
        <f t="shared" si="5"/>
        <v>0.1118858847226205</v>
      </c>
      <c r="V22" s="13">
        <f t="shared" si="5"/>
        <v>0.10419733225041779</v>
      </c>
      <c r="W22" s="13">
        <f t="shared" si="5"/>
        <v>9.5319387549031187E-2</v>
      </c>
      <c r="X22" s="13">
        <f t="shared" si="5"/>
        <v>8.2263557398650142E-2</v>
      </c>
      <c r="Y22" s="13">
        <f t="shared" si="5"/>
        <v>5.4473922004664596E-2</v>
      </c>
      <c r="Z22" s="18">
        <f t="array" ref="Z22">IF(B22="","",SUMPRODUCT(MAX(ISNUMBER(G22:X22)*ISNUMBER(H22:Y22)*(G22:X22&gt;=$B$6)*(H22:Y22&lt;$B$6)*(COLUMN(G22:X22)-COLUMN(G22)+1))))</f>
        <v>5</v>
      </c>
      <c r="AA22" s="23">
        <f t="shared" si="6"/>
        <v>2.5</v>
      </c>
      <c r="AB22" s="23">
        <f t="shared" si="7"/>
        <v>3</v>
      </c>
      <c r="AC22" s="14">
        <f t="shared" si="8"/>
        <v>0.27002515178860503</v>
      </c>
      <c r="AD22" s="14">
        <f t="shared" si="9"/>
        <v>0.24438855880787119</v>
      </c>
      <c r="AE22" s="18">
        <f t="shared" si="10"/>
        <v>16</v>
      </c>
    </row>
    <row r="23" spans="1:31" x14ac:dyDescent="0.25">
      <c r="A23" s="12">
        <v>80</v>
      </c>
      <c r="B23" s="23">
        <f t="shared" si="0"/>
        <v>2.1922707050869521</v>
      </c>
      <c r="C23" s="13">
        <f t="shared" si="1"/>
        <v>0.11403701167921425</v>
      </c>
      <c r="D23" s="24">
        <f t="shared" si="2"/>
        <v>4.3462678069997631</v>
      </c>
      <c r="E23" s="25">
        <f t="shared" si="3"/>
        <v>0.13350227213854218</v>
      </c>
      <c r="F23" s="5" t="str">
        <f>IF(B23="","",IF(OR(A23&lt;VALUE(LEFT($B$10,FIND(" ",$B$10)-1))*0.99,A23&gt;VALUE(MID($B$10,FIND("–",$B$10)+2,10))*1.01),"Q fuori dal campo simulato (estrapolazione)",IF(NOT(ISNUMBER(D23)),"vₜ non raggiunta / &lt; 0,5 m",IF(C23&gt;$B$9,"vₜ nel plateau/transizione: L poco significativo",IF(D23&gt;Parametri!$B$7,"Oltre x max: troncato dal pavimento","OK")))))</f>
        <v>OK</v>
      </c>
      <c r="G23" s="13">
        <f t="shared" si="4"/>
        <v>0.49928020784947247</v>
      </c>
      <c r="H23" s="13">
        <f t="shared" si="4"/>
        <v>0.46662837124577528</v>
      </c>
      <c r="I23" s="13">
        <f t="shared" si="4"/>
        <v>0.42191567896839349</v>
      </c>
      <c r="J23" s="13">
        <f t="shared" si="4"/>
        <v>0.3886591056199038</v>
      </c>
      <c r="K23" s="13">
        <f t="shared" si="4"/>
        <v>0.36003353571814006</v>
      </c>
      <c r="L23" s="13">
        <f t="shared" si="4"/>
        <v>0.32585141174382826</v>
      </c>
      <c r="M23" s="13">
        <f t="shared" si="4"/>
        <v>0.29431626074717404</v>
      </c>
      <c r="N23" s="13">
        <f t="shared" si="4"/>
        <v>0.26904918089850599</v>
      </c>
      <c r="O23" s="13">
        <f t="shared" si="4"/>
        <v>0.24243074475937421</v>
      </c>
      <c r="P23" s="13">
        <f t="shared" si="4"/>
        <v>0.22045737213771224</v>
      </c>
      <c r="Q23" s="13">
        <f t="shared" si="5"/>
        <v>0.20111575892020858</v>
      </c>
      <c r="R23" s="13">
        <f t="shared" si="5"/>
        <v>0.18494603648652172</v>
      </c>
      <c r="S23" s="13">
        <f t="shared" si="5"/>
        <v>0.17121488162777948</v>
      </c>
      <c r="T23" s="13">
        <f t="shared" si="5"/>
        <v>0.15942385473970438</v>
      </c>
      <c r="U23" s="13">
        <f t="shared" si="5"/>
        <v>0.14918117963016067</v>
      </c>
      <c r="V23" s="13">
        <f t="shared" si="5"/>
        <v>0.13892977633389039</v>
      </c>
      <c r="W23" s="13">
        <f t="shared" si="5"/>
        <v>0.12709251673204158</v>
      </c>
      <c r="X23" s="13">
        <f t="shared" si="5"/>
        <v>0.10968474319820019</v>
      </c>
      <c r="Y23" s="13">
        <f t="shared" si="5"/>
        <v>7.2631896006219471E-2</v>
      </c>
      <c r="Z23" s="18">
        <f t="array" ref="Z23">IF(B23="","",SUMPRODUCT(MAX(ISNUMBER(G23:X23)*ISNUMBER(H23:Y23)*(G23:X23&gt;=$B$6)*(H23:Y23&lt;$B$6)*(COLUMN(G23:X23)-COLUMN(G23)+1))))</f>
        <v>8</v>
      </c>
      <c r="AA23" s="23">
        <f t="shared" si="6"/>
        <v>4</v>
      </c>
      <c r="AB23" s="23">
        <f t="shared" si="7"/>
        <v>4.5</v>
      </c>
      <c r="AC23" s="14">
        <f t="shared" si="8"/>
        <v>0.26904918089850599</v>
      </c>
      <c r="AD23" s="14">
        <f t="shared" si="9"/>
        <v>0.24243074475937421</v>
      </c>
      <c r="AE23" s="18">
        <f t="shared" si="10"/>
        <v>16</v>
      </c>
    </row>
    <row r="24" spans="1:31" x14ac:dyDescent="0.25">
      <c r="A24" s="12">
        <v>100</v>
      </c>
      <c r="B24" s="23">
        <f t="shared" si="0"/>
        <v>2.7403383813586899</v>
      </c>
      <c r="C24" s="13">
        <f t="shared" si="1"/>
        <v>9.1229609343371404E-2</v>
      </c>
      <c r="D24" s="24">
        <f t="shared" si="2"/>
        <v>5.531856298488651</v>
      </c>
      <c r="E24" s="25">
        <f t="shared" si="3"/>
        <v>0.16687784017317772</v>
      </c>
      <c r="F24" s="5" t="str">
        <f>IF(B24="","",IF(OR(A24&lt;VALUE(LEFT($B$10,FIND(" ",$B$10)-1))*0.99,A24&gt;VALUE(MID($B$10,FIND("–",$B$10)+2,10))*1.01),"Q fuori dal campo simulato (estrapolazione)",IF(NOT(ISNUMBER(D24)),"vₜ non raggiunta / &lt; 0,5 m",IF(C24&gt;$B$9,"vₜ nel plateau/transizione: L poco significativo",IF(D24&gt;Parametri!$B$7,"Oltre x max: troncato dal pavimento","OK")))))</f>
        <v>OK</v>
      </c>
      <c r="G24" s="13">
        <f t="shared" si="4"/>
        <v>0.62410025981184047</v>
      </c>
      <c r="H24" s="13">
        <f t="shared" si="4"/>
        <v>0.58328546405721904</v>
      </c>
      <c r="I24" s="13">
        <f t="shared" si="4"/>
        <v>0.52739459871049177</v>
      </c>
      <c r="J24" s="13">
        <f t="shared" si="4"/>
        <v>0.48582388202487975</v>
      </c>
      <c r="K24" s="13">
        <f t="shared" si="4"/>
        <v>0.45004191964767504</v>
      </c>
      <c r="L24" s="13">
        <f t="shared" si="4"/>
        <v>0.40731426467978527</v>
      </c>
      <c r="M24" s="13">
        <f t="shared" si="4"/>
        <v>0.36789532593396757</v>
      </c>
      <c r="N24" s="13">
        <f t="shared" si="4"/>
        <v>0.33631147612313245</v>
      </c>
      <c r="O24" s="13">
        <f t="shared" si="4"/>
        <v>0.30303843094921773</v>
      </c>
      <c r="P24" s="13">
        <f t="shared" si="4"/>
        <v>0.2755717151721403</v>
      </c>
      <c r="Q24" s="13">
        <f t="shared" si="5"/>
        <v>0.25139469865026071</v>
      </c>
      <c r="R24" s="13">
        <f t="shared" si="5"/>
        <v>0.23118254560815213</v>
      </c>
      <c r="S24" s="13">
        <f t="shared" si="5"/>
        <v>0.21401860203472434</v>
      </c>
      <c r="T24" s="13">
        <f t="shared" si="5"/>
        <v>0.19927981842463044</v>
      </c>
      <c r="U24" s="13">
        <f t="shared" si="5"/>
        <v>0.18647647453770083</v>
      </c>
      <c r="V24" s="13">
        <f t="shared" si="5"/>
        <v>0.17366222041736296</v>
      </c>
      <c r="W24" s="13">
        <f t="shared" si="5"/>
        <v>0.15886564591505198</v>
      </c>
      <c r="X24" s="13">
        <f t="shared" si="5"/>
        <v>0.13710592899775023</v>
      </c>
      <c r="Y24" s="13">
        <f t="shared" si="5"/>
        <v>9.0789870007774318E-2</v>
      </c>
      <c r="Z24" s="18">
        <f t="array" ref="Z24">IF(B24="","",SUMPRODUCT(MAX(ISNUMBER(G24:X24)*ISNUMBER(H24:Y24)*(G24:X24&gt;=$B$6)*(H24:Y24&lt;$B$6)*(COLUMN(G24:X24)-COLUMN(G24)+1))))</f>
        <v>11</v>
      </c>
      <c r="AA24" s="23">
        <f t="shared" si="6"/>
        <v>5.5</v>
      </c>
      <c r="AB24" s="23">
        <f t="shared" si="7"/>
        <v>6</v>
      </c>
      <c r="AC24" s="14">
        <f t="shared" si="8"/>
        <v>0.25139469865026071</v>
      </c>
      <c r="AD24" s="14">
        <f t="shared" si="9"/>
        <v>0.23118254560815213</v>
      </c>
      <c r="AE24" s="18">
        <f t="shared" si="10"/>
        <v>16</v>
      </c>
    </row>
    <row r="25" spans="1:31" x14ac:dyDescent="0.25">
      <c r="A25" s="12">
        <v>120</v>
      </c>
      <c r="B25" s="23">
        <f t="shared" si="0"/>
        <v>3.2884060576304281</v>
      </c>
      <c r="C25" s="13">
        <f t="shared" si="1"/>
        <v>7.6024674452809499E-2</v>
      </c>
      <c r="D25" s="24">
        <f t="shared" si="2"/>
        <v>6.6843254014384348</v>
      </c>
      <c r="E25" s="25">
        <f t="shared" si="3"/>
        <v>0.20025340820781329</v>
      </c>
      <c r="F25" s="5" t="str">
        <f>IF(B25="","",IF(OR(A25&lt;VALUE(LEFT($B$10,FIND(" ",$B$10)-1))*0.99,A25&gt;VALUE(MID($B$10,FIND("–",$B$10)+2,10))*1.01),"Q fuori dal campo simulato (estrapolazione)",IF(NOT(ISNUMBER(D25)),"vₜ non raggiunta / &lt; 0,5 m",IF(C25&gt;$B$9,"vₜ nel plateau/transizione: L poco significativo",IF(D25&gt;Parametri!$B$7,"Oltre x max: troncato dal pavimento","OK")))))</f>
        <v>OK</v>
      </c>
      <c r="G25" s="13">
        <f t="shared" si="4"/>
        <v>0.7489203117742087</v>
      </c>
      <c r="H25" s="13">
        <f t="shared" si="4"/>
        <v>0.69994255686866291</v>
      </c>
      <c r="I25" s="13">
        <f t="shared" si="4"/>
        <v>0.63287351845259021</v>
      </c>
      <c r="J25" s="13">
        <f t="shared" si="4"/>
        <v>0.5829886584298557</v>
      </c>
      <c r="K25" s="13">
        <f t="shared" si="4"/>
        <v>0.54005030357721007</v>
      </c>
      <c r="L25" s="13">
        <f t="shared" si="4"/>
        <v>0.48877711761574238</v>
      </c>
      <c r="M25" s="13">
        <f t="shared" si="4"/>
        <v>0.44147439112076109</v>
      </c>
      <c r="N25" s="13">
        <f t="shared" si="4"/>
        <v>0.40357377134775896</v>
      </c>
      <c r="O25" s="13">
        <f t="shared" si="4"/>
        <v>0.36364611713906131</v>
      </c>
      <c r="P25" s="13">
        <f t="shared" si="4"/>
        <v>0.33068605820656838</v>
      </c>
      <c r="Q25" s="13">
        <f t="shared" si="5"/>
        <v>0.30167363838031286</v>
      </c>
      <c r="R25" s="13">
        <f t="shared" si="5"/>
        <v>0.27741905472978257</v>
      </c>
      <c r="S25" s="13">
        <f t="shared" si="5"/>
        <v>0.25682232244166919</v>
      </c>
      <c r="T25" s="13">
        <f t="shared" si="5"/>
        <v>0.23913578210955655</v>
      </c>
      <c r="U25" s="13">
        <f t="shared" si="5"/>
        <v>0.22377176944524099</v>
      </c>
      <c r="V25" s="13">
        <f t="shared" si="5"/>
        <v>0.20839466450083557</v>
      </c>
      <c r="W25" s="13">
        <f t="shared" si="5"/>
        <v>0.19063877509806237</v>
      </c>
      <c r="X25" s="13">
        <f t="shared" si="5"/>
        <v>0.16452711479730028</v>
      </c>
      <c r="Y25" s="13">
        <f t="shared" si="5"/>
        <v>0.10894784400932919</v>
      </c>
      <c r="Z25" s="18">
        <f t="array" ref="Z25">IF(B25="","",SUMPRODUCT(MAX(ISNUMBER(G25:X25)*ISNUMBER(H25:Y25)*(G25:X25&gt;=$B$6)*(H25:Y25&lt;$B$6)*(COLUMN(G25:X25)-COLUMN(G25)+1))))</f>
        <v>13</v>
      </c>
      <c r="AA25" s="23">
        <f t="shared" si="6"/>
        <v>6.5</v>
      </c>
      <c r="AB25" s="23">
        <f t="shared" si="7"/>
        <v>7</v>
      </c>
      <c r="AC25" s="14">
        <f t="shared" si="8"/>
        <v>0.25682232244166919</v>
      </c>
      <c r="AD25" s="14">
        <f t="shared" si="9"/>
        <v>0.23913578210955655</v>
      </c>
      <c r="AE25" s="18">
        <f t="shared" si="10"/>
        <v>16</v>
      </c>
    </row>
    <row r="26" spans="1:31" x14ac:dyDescent="0.25">
      <c r="A26" s="12">
        <v>150</v>
      </c>
      <c r="B26" s="23">
        <f t="shared" si="0"/>
        <v>4.1105075720380349</v>
      </c>
      <c r="C26" s="13">
        <f t="shared" si="1"/>
        <v>6.08197395622476E-2</v>
      </c>
      <c r="D26" s="24">
        <f t="shared" si="2"/>
        <v>8.2270888164855265</v>
      </c>
      <c r="E26" s="25">
        <f t="shared" si="3"/>
        <v>0.25031676025976657</v>
      </c>
      <c r="F26" s="5" t="str">
        <f>IF(B26="","",IF(OR(A26&lt;VALUE(LEFT($B$10,FIND(" ",$B$10)-1))*0.99,A26&gt;VALUE(MID($B$10,FIND("–",$B$10)+2,10))*1.01),"Q fuori dal campo simulato (estrapolazione)",IF(NOT(ISNUMBER(D26)),"vₜ non raggiunta / &lt; 0,5 m",IF(C26&gt;$B$9,"vₜ nel plateau/transizione: L poco significativo",IF(D26&gt;Parametri!$B$7,"Oltre x max: troncato dal pavimento","OK")))))</f>
        <v>OK</v>
      </c>
      <c r="G26" s="13">
        <f t="shared" si="4"/>
        <v>0.93615038971776077</v>
      </c>
      <c r="H26" s="13">
        <f t="shared" si="4"/>
        <v>0.8749281960858285</v>
      </c>
      <c r="I26" s="13">
        <f t="shared" si="4"/>
        <v>0.79109189806573765</v>
      </c>
      <c r="J26" s="13">
        <f t="shared" si="4"/>
        <v>0.72873582303731954</v>
      </c>
      <c r="K26" s="13">
        <f t="shared" si="4"/>
        <v>0.67506287947151256</v>
      </c>
      <c r="L26" s="13">
        <f t="shared" si="4"/>
        <v>0.61097139701967795</v>
      </c>
      <c r="M26" s="13">
        <f t="shared" si="4"/>
        <v>0.55184298890095129</v>
      </c>
      <c r="N26" s="13">
        <f t="shared" si="4"/>
        <v>0.50446721418469864</v>
      </c>
      <c r="O26" s="13">
        <f t="shared" si="4"/>
        <v>0.45455764642382662</v>
      </c>
      <c r="P26" s="13">
        <f t="shared" si="4"/>
        <v>0.41335757275821039</v>
      </c>
      <c r="Q26" s="13">
        <f t="shared" si="5"/>
        <v>0.37709204797539109</v>
      </c>
      <c r="R26" s="13">
        <f t="shared" si="5"/>
        <v>0.34677381841222821</v>
      </c>
      <c r="S26" s="13">
        <f t="shared" si="5"/>
        <v>0.32102790305208651</v>
      </c>
      <c r="T26" s="13">
        <f t="shared" si="5"/>
        <v>0.29891972763694569</v>
      </c>
      <c r="U26" s="13">
        <f t="shared" si="5"/>
        <v>0.27971471180655122</v>
      </c>
      <c r="V26" s="13">
        <f t="shared" si="5"/>
        <v>0.26049333062604446</v>
      </c>
      <c r="W26" s="13">
        <f t="shared" si="5"/>
        <v>0.23829846887257797</v>
      </c>
      <c r="X26" s="13">
        <f t="shared" si="5"/>
        <v>0.20565889349662533</v>
      </c>
      <c r="Y26" s="13">
        <f t="shared" si="5"/>
        <v>0.1361848050116615</v>
      </c>
      <c r="Z26" s="18">
        <f t="array" ref="Z26">IF(B26="","",SUMPRODUCT(MAX(ISNUMBER(G26:X26)*ISNUMBER(H26:Y26)*(G26:X26&gt;=$B$6)*(H26:Y26&lt;$B$6)*(COLUMN(G26:X26)-COLUMN(G26)+1))))</f>
        <v>16</v>
      </c>
      <c r="AA26" s="23">
        <f t="shared" si="6"/>
        <v>8</v>
      </c>
      <c r="AB26" s="23">
        <f t="shared" si="7"/>
        <v>8.5</v>
      </c>
      <c r="AC26" s="14">
        <f t="shared" si="8"/>
        <v>0.26049333062604446</v>
      </c>
      <c r="AD26" s="14">
        <f t="shared" si="9"/>
        <v>0.23829846887257797</v>
      </c>
      <c r="AE26" s="18">
        <f t="shared" si="10"/>
        <v>16</v>
      </c>
    </row>
    <row r="27" spans="1:31" x14ac:dyDescent="0.25">
      <c r="A27" s="12">
        <v>200</v>
      </c>
      <c r="B27" s="23">
        <f t="shared" si="0"/>
        <v>5.4806767627173798</v>
      </c>
      <c r="C27" s="13">
        <f t="shared" si="1"/>
        <v>4.5614804671685702E-2</v>
      </c>
      <c r="D27" s="24">
        <f t="shared" si="2"/>
        <v>9.1097888073787008</v>
      </c>
      <c r="E27" s="25">
        <f t="shared" si="3"/>
        <v>0.33375568034635539</v>
      </c>
      <c r="F27" s="5" t="str">
        <f>IF(B27="","",IF(OR(A27&lt;VALUE(LEFT($B$10,FIND(" ",$B$10)-1))*0.99,A27&gt;VALUE(MID($B$10,FIND("–",$B$10)+2,10))*1.01),"Q fuori dal campo simulato (estrapolazione)",IF(NOT(ISNUMBER(D27)),"vₜ non raggiunta / &lt; 0,5 m",IF(C27&gt;$B$9,"vₜ nel plateau/transizione: L poco significativo",IF(D27&gt;Parametri!$B$7,"Oltre x max: troncato dal pavimento","OK")))))</f>
        <v>Oltre x max: troncato dal pavimento</v>
      </c>
      <c r="G27" s="13">
        <f t="shared" si="4"/>
        <v>1.2482005196236809</v>
      </c>
      <c r="H27" s="13">
        <f t="shared" si="4"/>
        <v>1.1665709281144381</v>
      </c>
      <c r="I27" s="13">
        <f t="shared" si="4"/>
        <v>1.0547891974209835</v>
      </c>
      <c r="J27" s="13">
        <f t="shared" si="4"/>
        <v>0.9716477640497595</v>
      </c>
      <c r="K27" s="13">
        <f t="shared" si="4"/>
        <v>0.90008383929535007</v>
      </c>
      <c r="L27" s="13">
        <f t="shared" si="4"/>
        <v>0.81462852935957053</v>
      </c>
      <c r="M27" s="13">
        <f t="shared" si="4"/>
        <v>0.73579065186793513</v>
      </c>
      <c r="N27" s="13">
        <f t="shared" si="4"/>
        <v>0.67262295224626489</v>
      </c>
      <c r="O27" s="13">
        <f t="shared" si="4"/>
        <v>0.60607686189843546</v>
      </c>
      <c r="P27" s="13">
        <f t="shared" si="4"/>
        <v>0.55114343034428059</v>
      </c>
      <c r="Q27" s="13">
        <f t="shared" si="5"/>
        <v>0.50278939730052141</v>
      </c>
      <c r="R27" s="13">
        <f t="shared" si="5"/>
        <v>0.46236509121630426</v>
      </c>
      <c r="S27" s="13">
        <f t="shared" si="5"/>
        <v>0.42803720406944867</v>
      </c>
      <c r="T27" s="13">
        <f t="shared" si="5"/>
        <v>0.39855963684926088</v>
      </c>
      <c r="U27" s="13">
        <f t="shared" si="5"/>
        <v>0.37295294907540166</v>
      </c>
      <c r="V27" s="13">
        <f t="shared" si="5"/>
        <v>0.34732444083472591</v>
      </c>
      <c r="W27" s="13">
        <f t="shared" si="5"/>
        <v>0.31773129183010396</v>
      </c>
      <c r="X27" s="13">
        <f t="shared" si="5"/>
        <v>0.27421185799550046</v>
      </c>
      <c r="Y27" s="13">
        <f t="shared" si="5"/>
        <v>0.18157974001554864</v>
      </c>
      <c r="Z27" s="18">
        <f t="array" ref="Z27">IF(B27="","",SUMPRODUCT(MAX(ISNUMBER(G27:X27)*ISNUMBER(H27:Y27)*(G27:X27&gt;=$B$6)*(H27:Y27&lt;$B$6)*(COLUMN(G27:X27)-COLUMN(G27)+1))))</f>
        <v>18</v>
      </c>
      <c r="AA27" s="23">
        <f t="shared" si="6"/>
        <v>9</v>
      </c>
      <c r="AB27" s="23">
        <f t="shared" si="7"/>
        <v>9.5</v>
      </c>
      <c r="AC27" s="14">
        <f t="shared" si="8"/>
        <v>0.27421185799550046</v>
      </c>
      <c r="AD27" s="14">
        <f t="shared" si="9"/>
        <v>0.18157974001554864</v>
      </c>
      <c r="AE27" s="18">
        <f t="shared" si="10"/>
        <v>16</v>
      </c>
    </row>
    <row r="28" spans="1:31" x14ac:dyDescent="0.25">
      <c r="A28" s="12">
        <v>250</v>
      </c>
      <c r="B28" s="23">
        <f t="shared" si="0"/>
        <v>6.8508459533967256</v>
      </c>
      <c r="C28" s="13">
        <f t="shared" si="1"/>
        <v>3.6491843737348553E-2</v>
      </c>
      <c r="D28" s="24">
        <f t="shared" si="2"/>
        <v>9.3803611458759537</v>
      </c>
      <c r="E28" s="25">
        <f t="shared" si="3"/>
        <v>0.41719460043294437</v>
      </c>
      <c r="F28" s="5" t="str">
        <f>IF(B28="","",IF(OR(A28&lt;VALUE(LEFT($B$10,FIND(" ",$B$10)-1))*0.99,A28&gt;VALUE(MID($B$10,FIND("–",$B$10)+2,10))*1.01),"Q fuori dal campo simulato (estrapolazione)",IF(NOT(ISNUMBER(D28)),"vₜ non raggiunta / &lt; 0,5 m",IF(C28&gt;$B$9,"vₜ nel plateau/transizione: L poco significativo",IF(D28&gt;Parametri!$B$7,"Oltre x max: troncato dal pavimento","OK")))))</f>
        <v>Oltre x max: troncato dal pavimento</v>
      </c>
      <c r="G28" s="13">
        <f t="shared" si="4"/>
        <v>1.5602506495296016</v>
      </c>
      <c r="H28" s="13">
        <f t="shared" si="4"/>
        <v>1.4582136601430478</v>
      </c>
      <c r="I28" s="13">
        <f t="shared" si="4"/>
        <v>1.3184864967762295</v>
      </c>
      <c r="J28" s="13">
        <f t="shared" si="4"/>
        <v>1.2145597050621995</v>
      </c>
      <c r="K28" s="13">
        <f t="shared" si="4"/>
        <v>1.1251047991191876</v>
      </c>
      <c r="L28" s="13">
        <f t="shared" si="4"/>
        <v>1.0182856616994633</v>
      </c>
      <c r="M28" s="13">
        <f t="shared" si="4"/>
        <v>0.91973831483491897</v>
      </c>
      <c r="N28" s="13">
        <f t="shared" si="4"/>
        <v>0.84077869030783126</v>
      </c>
      <c r="O28" s="13">
        <f t="shared" si="4"/>
        <v>0.75759607737304446</v>
      </c>
      <c r="P28" s="13">
        <f t="shared" si="4"/>
        <v>0.6889292879303508</v>
      </c>
      <c r="Q28" s="13">
        <f t="shared" si="5"/>
        <v>0.62848674662565185</v>
      </c>
      <c r="R28" s="13">
        <f t="shared" si="5"/>
        <v>0.57795636402038042</v>
      </c>
      <c r="S28" s="13">
        <f t="shared" si="5"/>
        <v>0.53504650508681095</v>
      </c>
      <c r="T28" s="13">
        <f t="shared" si="5"/>
        <v>0.49819954606157618</v>
      </c>
      <c r="U28" s="13">
        <f t="shared" si="5"/>
        <v>0.46619118634425211</v>
      </c>
      <c r="V28" s="13">
        <f t="shared" si="5"/>
        <v>0.43415555104340747</v>
      </c>
      <c r="W28" s="13">
        <f t="shared" si="5"/>
        <v>0.39716411478762997</v>
      </c>
      <c r="X28" s="13">
        <f t="shared" si="5"/>
        <v>0.34276482249437562</v>
      </c>
      <c r="Y28" s="13">
        <f t="shared" si="5"/>
        <v>0.22697467501943583</v>
      </c>
      <c r="Z28" s="18">
        <f t="array" ref="Z28">IF(B28="","",SUMPRODUCT(MAX(ISNUMBER(G28:X28)*ISNUMBER(H28:Y28)*(G28:X28&gt;=$B$6)*(H28:Y28&lt;$B$6)*(COLUMN(G28:X28)-COLUMN(G28)+1))))</f>
        <v>18</v>
      </c>
      <c r="AA28" s="23">
        <f t="shared" si="6"/>
        <v>9</v>
      </c>
      <c r="AB28" s="23">
        <f t="shared" si="7"/>
        <v>9.5</v>
      </c>
      <c r="AC28" s="14">
        <f t="shared" si="8"/>
        <v>0.34276482249437562</v>
      </c>
      <c r="AD28" s="14">
        <f t="shared" si="9"/>
        <v>0.22697467501943583</v>
      </c>
      <c r="AE28" s="18">
        <f t="shared" si="10"/>
        <v>16</v>
      </c>
    </row>
    <row r="29" spans="1:31" x14ac:dyDescent="0.25">
      <c r="A29" s="12">
        <v>300</v>
      </c>
      <c r="B29" s="23">
        <f t="shared" si="0"/>
        <v>8.2210151440760697</v>
      </c>
      <c r="C29" s="13">
        <f t="shared" si="1"/>
        <v>3.04098697811238E-2</v>
      </c>
      <c r="D29" s="24" t="str">
        <f t="shared" si="2"/>
        <v>n.d.</v>
      </c>
      <c r="E29" s="25">
        <f t="shared" si="3"/>
        <v>0.50063352051953325</v>
      </c>
      <c r="F29" s="5" t="str">
        <f>IF(B29="","",IF(OR(A29&lt;VALUE(LEFT($B$10,FIND(" ",$B$10)-1))*0.99,A29&gt;VALUE(MID($B$10,FIND("–",$B$10)+2,10))*1.01),"Q fuori dal campo simulato (estrapolazione)",IF(NOT(ISNUMBER(D29)),"vₜ non raggiunta / &lt; 0,5 m",IF(C29&gt;$B$9,"vₜ nel plateau/transizione: L poco significativo",IF(D29&gt;Parametri!$B$7,"Oltre x max: troncato dal pavimento","OK")))))</f>
        <v>Q fuori dal campo simulato (estrapolazione)</v>
      </c>
      <c r="G29" s="13">
        <f t="shared" si="4"/>
        <v>1.8723007794355215</v>
      </c>
      <c r="H29" s="13">
        <f t="shared" si="4"/>
        <v>1.749856392171657</v>
      </c>
      <c r="I29" s="13">
        <f t="shared" si="4"/>
        <v>1.5821837961314753</v>
      </c>
      <c r="J29" s="13">
        <f t="shared" si="4"/>
        <v>1.4574716460746391</v>
      </c>
      <c r="K29" s="13">
        <f t="shared" si="4"/>
        <v>1.3501257589430251</v>
      </c>
      <c r="L29" s="13">
        <f t="shared" si="4"/>
        <v>1.2219427940393559</v>
      </c>
      <c r="M29" s="13">
        <f t="shared" si="4"/>
        <v>1.1036859778019026</v>
      </c>
      <c r="N29" s="13">
        <f t="shared" si="4"/>
        <v>1.0089344283693973</v>
      </c>
      <c r="O29" s="13">
        <f t="shared" si="4"/>
        <v>0.90911529284765324</v>
      </c>
      <c r="P29" s="13">
        <f t="shared" si="4"/>
        <v>0.82671514551642078</v>
      </c>
      <c r="Q29" s="13">
        <f t="shared" si="5"/>
        <v>0.75418409595078217</v>
      </c>
      <c r="R29" s="13">
        <f t="shared" si="5"/>
        <v>0.69354763682445641</v>
      </c>
      <c r="S29" s="13">
        <f t="shared" si="5"/>
        <v>0.64205580610417301</v>
      </c>
      <c r="T29" s="13">
        <f t="shared" si="5"/>
        <v>0.59783945527389137</v>
      </c>
      <c r="U29" s="13">
        <f t="shared" si="5"/>
        <v>0.55942942361310244</v>
      </c>
      <c r="V29" s="13">
        <f t="shared" si="5"/>
        <v>0.52098666125208892</v>
      </c>
      <c r="W29" s="13">
        <f t="shared" si="5"/>
        <v>0.47659693774515594</v>
      </c>
      <c r="X29" s="13">
        <f t="shared" si="5"/>
        <v>0.41131778699325067</v>
      </c>
      <c r="Y29" s="13">
        <f t="shared" si="5"/>
        <v>0.27236961002332299</v>
      </c>
      <c r="Z29" s="18">
        <f t="array" ref="Z29">IF(B29="","",SUMPRODUCT(MAX(ISNUMBER(G29:X29)*ISNUMBER(H29:Y29)*(G29:X29&gt;=$B$6)*(H29:Y29&lt;$B$6)*(COLUMN(G29:X29)-COLUMN(G29)+1))))</f>
        <v>0</v>
      </c>
      <c r="AA29" s="23" t="str">
        <f t="shared" si="6"/>
        <v/>
      </c>
      <c r="AB29" s="23" t="str">
        <f t="shared" si="7"/>
        <v/>
      </c>
      <c r="AC29" s="14" t="str">
        <f t="shared" si="8"/>
        <v/>
      </c>
      <c r="AD29" s="14" t="str">
        <f t="shared" si="9"/>
        <v/>
      </c>
      <c r="AE29" s="18">
        <f t="shared" si="10"/>
        <v>16</v>
      </c>
    </row>
    <row r="31" spans="1:31" x14ac:dyDescent="0.25">
      <c r="A31" s="3" t="s">
        <v>71</v>
      </c>
      <c r="AA31" s="28" t="b">
        <f>ISNUMBER(V21)</f>
        <v>1</v>
      </c>
    </row>
  </sheetData>
  <mergeCells count="1">
    <mergeCell ref="B17:F17"/>
  </mergeCells>
  <dataValidations count="1">
    <dataValidation type="list" sqref="B4" xr:uid="{00000000-0002-0000-0100-000000000000}">
      <formula1>"500,1000,1500"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G$19&gt;Parametri!$B$7</xm:f>
            <x14:dxf>
              <fill>
                <patternFill>
                  <bgColor rgb="FFD9D9D9"/>
                </patternFill>
              </fill>
            </x14:dxf>
          </x14:cfRule>
          <xm:sqref>G21:Y29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16" customWidth="1"/>
    <col min="3" max="5" width="14" customWidth="1"/>
    <col min="6" max="6" width="46" customWidth="1"/>
    <col min="7" max="31" width="7" customWidth="1"/>
  </cols>
  <sheetData>
    <row r="1" spans="1:2" ht="18" x14ac:dyDescent="0.25">
      <c r="A1" s="2" t="s">
        <v>72</v>
      </c>
    </row>
    <row r="2" spans="1:2" x14ac:dyDescent="0.25">
      <c r="A2" s="3" t="s">
        <v>73</v>
      </c>
    </row>
    <row r="4" spans="1:2" x14ac:dyDescent="0.25">
      <c r="A4" s="16" t="s">
        <v>74</v>
      </c>
      <c r="B4" s="12">
        <v>750</v>
      </c>
    </row>
    <row r="5" spans="1:2" x14ac:dyDescent="0.25">
      <c r="A5" s="16" t="s">
        <v>48</v>
      </c>
      <c r="B5" s="12">
        <v>150</v>
      </c>
    </row>
    <row r="6" spans="1:2" x14ac:dyDescent="0.25">
      <c r="A6" s="16" t="s">
        <v>49</v>
      </c>
      <c r="B6" s="17">
        <f>Parametri!B10</f>
        <v>0.25</v>
      </c>
    </row>
    <row r="7" spans="1:2" x14ac:dyDescent="0.25">
      <c r="A7" s="16" t="s">
        <v>53</v>
      </c>
      <c r="B7" s="17">
        <f>Catalogo!B11</f>
        <v>8.2200000000000006</v>
      </c>
    </row>
    <row r="9" spans="1:2" x14ac:dyDescent="0.25">
      <c r="A9" s="22" t="s">
        <v>75</v>
      </c>
    </row>
    <row r="10" spans="1:2" x14ac:dyDescent="0.25">
      <c r="A10" s="16" t="s">
        <v>76</v>
      </c>
      <c r="B10" s="18">
        <f>IFERROR(MIN(MATCH(B4,Parametri!$A$17:$A$19,1),2),1)</f>
        <v>1</v>
      </c>
    </row>
    <row r="11" spans="1:2" x14ac:dyDescent="0.25">
      <c r="A11" s="16" t="s">
        <v>77</v>
      </c>
      <c r="B11" s="18">
        <f>INDEX(Parametri!$A$17:$A$19,B10)</f>
        <v>500</v>
      </c>
    </row>
    <row r="12" spans="1:2" x14ac:dyDescent="0.25">
      <c r="A12" s="16" t="s">
        <v>78</v>
      </c>
      <c r="B12" s="18">
        <f>INDEX(Parametri!$A$17:$A$19,B10+1)</f>
        <v>1000</v>
      </c>
    </row>
    <row r="13" spans="1:2" x14ac:dyDescent="0.25">
      <c r="A13" s="16" t="s">
        <v>79</v>
      </c>
      <c r="B13" s="13">
        <f>(B4-B11)/(B12-B11)</f>
        <v>0.5</v>
      </c>
    </row>
    <row r="14" spans="1:2" x14ac:dyDescent="0.25">
      <c r="A14" s="16" t="s">
        <v>30</v>
      </c>
      <c r="B14" s="14">
        <f>B4/1000*Parametri!B4</f>
        <v>0.03</v>
      </c>
    </row>
    <row r="15" spans="1:2" x14ac:dyDescent="0.25">
      <c r="A15" s="16" t="s">
        <v>80</v>
      </c>
      <c r="B15" s="13">
        <f>(1-B13)*INDEX(Riepilogo!$C$5:$C$7,B10)+B13*INDEX(Riepilogo!$C$5:$C$7,B10+1)</f>
        <v>0.51921121561681005</v>
      </c>
    </row>
    <row r="16" spans="1:2" x14ac:dyDescent="0.25">
      <c r="A16" s="16" t="s">
        <v>81</v>
      </c>
      <c r="B16" s="14">
        <f>B14*B15</f>
        <v>1.5576336468504301E-2</v>
      </c>
    </row>
    <row r="17" spans="1:31" x14ac:dyDescent="0.25">
      <c r="A17" s="16" t="s">
        <v>82</v>
      </c>
      <c r="B17" s="13">
        <f>(1-B13)*INDEX(Riepilogo!$F$5:$F$7,B10)+B13*INDEX(Riepilogo!$F$5:$F$7,B10+1)</f>
        <v>0.13750000000000001</v>
      </c>
    </row>
    <row r="18" spans="1:31" x14ac:dyDescent="0.25">
      <c r="A18" s="16" t="s">
        <v>83</v>
      </c>
      <c r="B18" s="18">
        <f>MAX(INDEX(Riepilogo!$H$5:$H$7,B10),INDEX(Riepilogo!$H$5:$H$7,B10+1))</f>
        <v>80</v>
      </c>
    </row>
    <row r="19" spans="1:31" x14ac:dyDescent="0.25">
      <c r="A19" s="16" t="s">
        <v>84</v>
      </c>
      <c r="B19" s="18">
        <f>MIN(INDEX(Riepilogo!$I$5:$I$7,B10),INDEX(Riepilogo!$I$5:$I$7,B10+1))</f>
        <v>250</v>
      </c>
    </row>
    <row r="20" spans="1:31" x14ac:dyDescent="0.25">
      <c r="A20" s="16" t="s">
        <v>85</v>
      </c>
      <c r="B20" s="29" t="str">
        <f>IF(OR(B4&lt;MIN(Parametri!$A$17:$A$19),B4&gt;MAX(Parametri!$A$17:$A$19)),"ESTRAPOLAZIONE: L fuori 500–1500 mm, non validato","Interpolazione tra L = "&amp;B11&amp;" e "&amp;B12&amp;" mm")</f>
        <v>Interpolazione tra L = 500 e 1000 mm</v>
      </c>
    </row>
    <row r="22" spans="1:31" x14ac:dyDescent="0.25">
      <c r="A22" s="22" t="s">
        <v>54</v>
      </c>
    </row>
    <row r="23" spans="1:31" x14ac:dyDescent="0.25">
      <c r="A23" s="16" t="s">
        <v>55</v>
      </c>
      <c r="B23" s="23">
        <f>B30</f>
        <v>2.6749978565831314</v>
      </c>
    </row>
    <row r="24" spans="1:31" x14ac:dyDescent="0.25">
      <c r="A24" s="16" t="s">
        <v>56</v>
      </c>
      <c r="B24" s="24">
        <f>D30</f>
        <v>6.7061637174502433</v>
      </c>
    </row>
    <row r="25" spans="1:31" x14ac:dyDescent="0.25">
      <c r="A25" s="16" t="s">
        <v>57</v>
      </c>
      <c r="B25" s="23">
        <f>E30</f>
        <v>0.19933174855381533</v>
      </c>
    </row>
    <row r="26" spans="1:31" x14ac:dyDescent="0.25">
      <c r="A26" s="16" t="s">
        <v>58</v>
      </c>
      <c r="B26" s="29" t="str">
        <f>F30</f>
        <v>OK</v>
      </c>
    </row>
    <row r="28" spans="1:31" ht="25.5" x14ac:dyDescent="0.25">
      <c r="A28" s="4" t="s">
        <v>59</v>
      </c>
      <c r="B28" s="4" t="s">
        <v>60</v>
      </c>
      <c r="C28" s="4" t="s">
        <v>61</v>
      </c>
      <c r="D28" s="4" t="s">
        <v>62</v>
      </c>
      <c r="E28" s="4" t="s">
        <v>63</v>
      </c>
      <c r="F28" s="4" t="s">
        <v>58</v>
      </c>
      <c r="G28" s="26">
        <v>0.5</v>
      </c>
      <c r="H28" s="26">
        <v>1</v>
      </c>
      <c r="I28" s="26">
        <v>1.5</v>
      </c>
      <c r="J28" s="26">
        <v>2</v>
      </c>
      <c r="K28" s="26">
        <v>2.5</v>
      </c>
      <c r="L28" s="26">
        <v>3</v>
      </c>
      <c r="M28" s="26">
        <v>3.5</v>
      </c>
      <c r="N28" s="26">
        <v>4</v>
      </c>
      <c r="O28" s="26">
        <v>4.5</v>
      </c>
      <c r="P28" s="26">
        <v>5</v>
      </c>
      <c r="Q28" s="26">
        <v>5.5</v>
      </c>
      <c r="R28" s="26">
        <v>6</v>
      </c>
      <c r="S28" s="26">
        <v>6.5</v>
      </c>
      <c r="T28" s="26">
        <v>7</v>
      </c>
      <c r="U28" s="26">
        <v>7.5</v>
      </c>
      <c r="V28" s="26">
        <v>8</v>
      </c>
      <c r="W28" s="26">
        <v>8.5</v>
      </c>
      <c r="X28" s="26">
        <v>9</v>
      </c>
      <c r="Y28" s="26">
        <v>9.5</v>
      </c>
      <c r="Z28" s="4" t="s">
        <v>64</v>
      </c>
      <c r="AA28" s="4" t="s">
        <v>65</v>
      </c>
      <c r="AB28" s="4" t="s">
        <v>66</v>
      </c>
      <c r="AC28" s="4" t="s">
        <v>67</v>
      </c>
      <c r="AD28" s="4" t="s">
        <v>68</v>
      </c>
      <c r="AE28" s="4" t="s">
        <v>69</v>
      </c>
    </row>
    <row r="29" spans="1:31" x14ac:dyDescent="0.25">
      <c r="A29" s="16" t="s">
        <v>86</v>
      </c>
      <c r="B29" s="13"/>
      <c r="C29" s="13"/>
      <c r="D29" s="13"/>
      <c r="E29" s="13"/>
      <c r="F29" s="13"/>
      <c r="G29" s="13">
        <f>MAX(0.001,(1-$B$13)*INDEX(Curve!$G$1:$G$100,4+($B$10-1)*24+1+G$28*2)+$B$13*INDEX(Curve!$G$1:$G$100,4+$B$10*24+1+G$28*2))</f>
        <v>0.22367622671322931</v>
      </c>
      <c r="H29" s="13">
        <f>MAX(0.001,(1-$B$13)*INDEX(Curve!$G$1:$G$100,4+($B$10-1)*24+1+H$28*2)+$B$13*INDEX(Curve!$G$1:$G$100,4+$B$10*24+1+H$28*2))</f>
        <v>0.21429958118193165</v>
      </c>
      <c r="I29" s="13">
        <f>MAX(0.001,(1-$B$13)*INDEX(Curve!$G$1:$G$100,4+($B$10-1)*24+1+I$28*2)+$B$13*INDEX(Curve!$G$1:$G$100,4+$B$10*24+1+I$28*2))</f>
        <v>0.20437482180026739</v>
      </c>
      <c r="J29" s="13">
        <f>MAX(0.001,(1-$B$13)*INDEX(Curve!$G$1:$G$100,4+($B$10-1)*24+1+J$28*2)+$B$13*INDEX(Curve!$G$1:$G$100,4+$B$10*24+1+J$28*2))</f>
        <v>0.1952418276824146</v>
      </c>
      <c r="K29" s="13">
        <f>MAX(0.001,(1-$B$13)*INDEX(Curve!$G$1:$G$100,4+($B$10-1)*24+1+K$28*2)+$B$13*INDEX(Curve!$G$1:$G$100,4+$B$10*24+1+K$28*2))</f>
        <v>0.18528531470697129</v>
      </c>
      <c r="L29" s="13">
        <f>MAX(0.001,(1-$B$13)*INDEX(Curve!$G$1:$G$100,4+($B$10-1)*24+1+L$28*2)+$B$13*INDEX(Curve!$G$1:$G$100,4+$B$10*24+1+L$28*2))</f>
        <v>0.17285666421078022</v>
      </c>
      <c r="M29" s="13">
        <f>MAX(0.001,(1-$B$13)*INDEX(Curve!$G$1:$G$100,4+($B$10-1)*24+1+M$28*2)+$B$13*INDEX(Curve!$G$1:$G$100,4+$B$10*24+1+M$28*2))</f>
        <v>0.15890077337718758</v>
      </c>
      <c r="N29" s="13">
        <f>MAX(0.001,(1-$B$13)*INDEX(Curve!$G$1:$G$100,4+($B$10-1)*24+1+N$28*2)+$B$13*INDEX(Curve!$G$1:$G$100,4+$B$10*24+1+N$28*2))</f>
        <v>0.14664570884132777</v>
      </c>
      <c r="O29" s="13">
        <f>MAX(0.001,(1-$B$13)*INDEX(Curve!$G$1:$G$100,4+($B$10-1)*24+1+O$28*2)+$B$13*INDEX(Curve!$G$1:$G$100,4+$B$10*24+1+O$28*2))</f>
        <v>0.13488040095278081</v>
      </c>
      <c r="P29" s="13">
        <f>MAX(0.001,(1-$B$13)*INDEX(Curve!$G$1:$G$100,4+($B$10-1)*24+1+P$28*2)+$B$13*INDEX(Curve!$G$1:$G$100,4+$B$10*24+1+P$28*2))</f>
        <v>0.12383497114580483</v>
      </c>
      <c r="Q29" s="13">
        <f>MAX(0.001,(1-$B$13)*INDEX(Curve!$G$1:$G$100,4+($B$10-1)*24+1+Q$28*2)+$B$13*INDEX(Curve!$G$1:$G$100,4+$B$10*24+1+Q$28*2))</f>
        <v>0.11312204206291852</v>
      </c>
      <c r="R29" s="13">
        <f>MAX(0.001,(1-$B$13)*INDEX(Curve!$G$1:$G$100,4+($B$10-1)*24+1+R$28*2)+$B$13*INDEX(Curve!$G$1:$G$100,4+$B$10*24+1+R$28*2))</f>
        <v>0.10415405127800528</v>
      </c>
      <c r="S29" s="13">
        <f>MAX(0.001,(1-$B$13)*INDEX(Curve!$G$1:$G$100,4+($B$10-1)*24+1+S$28*2)+$B$13*INDEX(Curve!$G$1:$G$100,4+$B$10*24+1+S$28*2))</f>
        <v>9.6383048117412065E-2</v>
      </c>
      <c r="T29" s="13">
        <f>MAX(0.001,(1-$B$13)*INDEX(Curve!$G$1:$G$100,4+($B$10-1)*24+1+T$28*2)+$B$13*INDEX(Curve!$G$1:$G$100,4+$B$10*24+1+T$28*2))</f>
        <v>8.9585014194955875E-2</v>
      </c>
      <c r="U29" s="13">
        <f>MAX(0.001,(1-$B$13)*INDEX(Curve!$G$1:$G$100,4+($B$10-1)*24+1+U$28*2)+$B$13*INDEX(Curve!$G$1:$G$100,4+$B$10*24+1+U$28*2))</f>
        <v>8.3664849971668467E-2</v>
      </c>
      <c r="V29" s="13">
        <f>MAX(0.001,(1-$B$13)*INDEX(Curve!$G$1:$G$100,4+($B$10-1)*24+1+V$28*2)+$B$13*INDEX(Curve!$G$1:$G$100,4+$B$10*24+1+V$28*2))</f>
        <v>7.7382247215320304E-2</v>
      </c>
      <c r="W29" s="13">
        <f>MAX(0.001,(1-$B$13)*INDEX(Curve!$G$1:$G$100,4+($B$10-1)*24+1+W$28*2)+$B$13*INDEX(Curve!$G$1:$G$100,4+$B$10*24+1+W$28*2))</f>
        <v>7.1124346734864577E-2</v>
      </c>
      <c r="X29" s="13">
        <f>MAX(0.001,(1-$B$13)*INDEX(Curve!$G$1:$G$100,4+($B$10-1)*24+1+X$28*2)+$B$13*INDEX(Curve!$G$1:$G$100,4+$B$10*24+1+X$28*2))</f>
        <v>6.1061141189886772E-2</v>
      </c>
      <c r="Y29" s="13">
        <f>MAX(0.001,(1-$B$13)*INDEX(Curve!$G$1:$G$100,4+($B$10-1)*24+1+Y$28*2)+$B$13*INDEX(Curve!$G$1:$G$100,4+$B$10*24+1+Y$28*2))</f>
        <v>3.9310977960850188E-2</v>
      </c>
    </row>
    <row r="30" spans="1:31" x14ac:dyDescent="0.25">
      <c r="A30" s="18">
        <f>B5</f>
        <v>150</v>
      </c>
      <c r="B30" s="23">
        <f t="shared" ref="B30:B38" si="0">IF(OR(A30="",NOT(ISNUMBER($B$16))),"",A30/3600/$B$16)</f>
        <v>2.6749978565831314</v>
      </c>
      <c r="C30" s="13">
        <f t="shared" ref="C30:C38" si="1">IF(B30="","",$B$6/B30)</f>
        <v>9.3458018811025806E-2</v>
      </c>
      <c r="D30" s="23">
        <f t="shared" ref="D30:D38" si="2">IF(B30="","",IF(AA30="",IF(ISNUMBER(G30),IF(G30&lt;$B$6,"&lt; 0,5","n.d."),"n.d."),EXP(LN(AA30)+(LN($B$6)-LN(AC30))*(LN(AB30)-LN(AA30))/(LN(AD30)-LN(AC30)))))</f>
        <v>6.7061637174502433</v>
      </c>
      <c r="E30" s="23">
        <f t="shared" ref="E30:E38" si="3">IF(OR(B30="",AE30=""),"",IFERROR(EXP(LN(INDEX(G30:Y30,AE30))+(LN($B$7)-LN(INDEX(G$28:Y$28,AE30)))*(LN(INDEX(G30:Y30,AE30+1))-LN(INDEX(G30:Y30,AE30)))/(LN(INDEX(G$28:Y$28,AE30+1))-LN(INDEX(G$28:Y$28,AE30)))),""))</f>
        <v>0.19933174855381533</v>
      </c>
      <c r="F30" s="5" t="str">
        <f>IF(B30="","",IF(OR($B$4&lt;MIN(Parametri!$A$17:$A$19),$B$4&gt;MAX(Parametri!$A$17:$A$19)),"L fuori 500–1500 mm: estrapolazione",IF(OR(A30&lt;$B$18*0.99,A30&gt;$B$19*1.01),"Q fuori dal campo simulato (estrapolazione)",IF(NOT(ISNUMBER(D30)),"vₜ non raggiunta / &lt; 0,5 m",IF(C30&gt;$B$17,"vₜ nel plateau/transizione: L poco significativo",IF(D30&gt;Parametri!$B$7,"Oltre x max: troncato dal pavimento","OK"))))))</f>
        <v>OK</v>
      </c>
      <c r="G30" s="13">
        <f t="shared" ref="G30:P38" si="4">IF(OR($B30="",NOT(ISNUMBER(G$29))),"",G$29*$B30)</f>
        <v>0.59833342702649095</v>
      </c>
      <c r="H30" s="13">
        <f t="shared" si="4"/>
        <v>0.57325092032832992</v>
      </c>
      <c r="I30" s="13">
        <f t="shared" si="4"/>
        <v>0.54670221025527466</v>
      </c>
      <c r="J30" s="13">
        <f t="shared" si="4"/>
        <v>0.52227147056583212</v>
      </c>
      <c r="K30" s="13">
        <f t="shared" si="4"/>
        <v>0.49563781969747917</v>
      </c>
      <c r="L30" s="13">
        <f t="shared" si="4"/>
        <v>0.46239120625994717</v>
      </c>
      <c r="M30" s="13">
        <f t="shared" si="4"/>
        <v>0.42505922819337871</v>
      </c>
      <c r="N30" s="13">
        <f t="shared" si="4"/>
        <v>0.39227695682766572</v>
      </c>
      <c r="O30" s="13">
        <f t="shared" si="4"/>
        <v>0.36080478344376204</v>
      </c>
      <c r="P30" s="13">
        <f t="shared" si="4"/>
        <v>0.33125828238506183</v>
      </c>
      <c r="Q30" s="13">
        <f t="shared" ref="Q30:Y38" si="5">IF(OR($B30="",NOT(ISNUMBER(Q$29))),"",Q$29*$B30)</f>
        <v>0.30260122005061391</v>
      </c>
      <c r="R30" s="13">
        <f t="shared" si="5"/>
        <v>0.27861186392311371</v>
      </c>
      <c r="S30" s="13">
        <f t="shared" si="5"/>
        <v>0.25782444712502611</v>
      </c>
      <c r="T30" s="13">
        <f t="shared" si="5"/>
        <v>0.23963972095347635</v>
      </c>
      <c r="U30" s="13">
        <f t="shared" si="5"/>
        <v>0.2238032943455624</v>
      </c>
      <c r="V30" s="13">
        <f t="shared" si="5"/>
        <v>0.20699734543856779</v>
      </c>
      <c r="W30" s="13">
        <f t="shared" si="5"/>
        <v>0.19025747506663818</v>
      </c>
      <c r="X30" s="13">
        <f t="shared" si="5"/>
        <v>0.16333842180346708</v>
      </c>
      <c r="Y30" s="13">
        <f t="shared" si="5"/>
        <v>0.10515678178546096</v>
      </c>
      <c r="Z30" s="18">
        <f t="array" ref="Z30">IF(B30="","",SUMPRODUCT(MAX(ISNUMBER(G30:X30)*ISNUMBER(H30:Y30)*(G30:X30&gt;=$B$6)*(H30:Y30&lt;$B$6)*(COLUMN(G30:X30)-COLUMN(G30)+1))))</f>
        <v>13</v>
      </c>
      <c r="AA30" s="9">
        <f t="shared" ref="AA30:AA38" si="6">IF(OR(Z30="",Z30=0),"",INDEX(G$28:Y$28,Z30))</f>
        <v>6.5</v>
      </c>
      <c r="AB30" s="9">
        <f t="shared" ref="AB30:AB38" si="7">IF(AA30="","",INDEX(G$28:Y$28,Z30+1))</f>
        <v>7</v>
      </c>
      <c r="AC30" s="13">
        <f t="shared" ref="AC30:AC38" si="8">IF(AA30="","",INDEX(G30:Y30,Z30))</f>
        <v>0.25782444712502611</v>
      </c>
      <c r="AD30" s="13">
        <f t="shared" ref="AD30:AD38" si="9">IF(AA30="","",INDEX(G30:Y30,Z30+1))</f>
        <v>0.23963972095347635</v>
      </c>
      <c r="AE30" s="18">
        <f t="shared" ref="AE30:AE38" si="10">IF(B30="","",IFERROR(MATCH($B$7,$G$28:$Y$28,1),""))</f>
        <v>16</v>
      </c>
    </row>
    <row r="31" spans="1:31" x14ac:dyDescent="0.25">
      <c r="A31" s="12">
        <v>60</v>
      </c>
      <c r="B31" s="23">
        <f t="shared" si="0"/>
        <v>1.0699991426332525</v>
      </c>
      <c r="C31" s="13">
        <f t="shared" si="1"/>
        <v>0.23364504702756453</v>
      </c>
      <c r="D31" s="23" t="str">
        <f t="shared" si="2"/>
        <v>&lt; 0,5</v>
      </c>
      <c r="E31" s="23">
        <f t="shared" si="3"/>
        <v>7.973269942152611E-2</v>
      </c>
      <c r="F31" s="5" t="str">
        <f>IF(B31="","",IF(OR($B$4&lt;MIN(Parametri!$A$17:$A$19),$B$4&gt;MAX(Parametri!$A$17:$A$19)),"L fuori 500–1500 mm: estrapolazione",IF(OR(A31&lt;$B$18*0.99,A31&gt;$B$19*1.01),"Q fuori dal campo simulato (estrapolazione)",IF(NOT(ISNUMBER(D31)),"vₜ non raggiunta / &lt; 0,5 m",IF(C31&gt;$B$17,"vₜ nel plateau/transizione: L poco significativo",IF(D31&gt;Parametri!$B$7,"Oltre x max: troncato dal pavimento","OK"))))))</f>
        <v>Q fuori dal campo simulato (estrapolazione)</v>
      </c>
      <c r="G31" s="13">
        <f t="shared" si="4"/>
        <v>0.23933337081059636</v>
      </c>
      <c r="H31" s="13">
        <f t="shared" si="4"/>
        <v>0.22930036813133195</v>
      </c>
      <c r="I31" s="13">
        <f t="shared" si="4"/>
        <v>0.21868088410210987</v>
      </c>
      <c r="J31" s="13">
        <f t="shared" si="4"/>
        <v>0.20890858822633285</v>
      </c>
      <c r="K31" s="13">
        <f t="shared" si="4"/>
        <v>0.19825512787899166</v>
      </c>
      <c r="L31" s="13">
        <f t="shared" si="4"/>
        <v>0.18495648250397886</v>
      </c>
      <c r="M31" s="13">
        <f t="shared" si="4"/>
        <v>0.17002369127735145</v>
      </c>
      <c r="N31" s="13">
        <f t="shared" si="4"/>
        <v>0.15691078273106629</v>
      </c>
      <c r="O31" s="13">
        <f t="shared" si="4"/>
        <v>0.1443219133775048</v>
      </c>
      <c r="P31" s="13">
        <f t="shared" si="4"/>
        <v>0.13250331295402473</v>
      </c>
      <c r="Q31" s="13">
        <f t="shared" si="5"/>
        <v>0.12104048802024554</v>
      </c>
      <c r="R31" s="13">
        <f t="shared" si="5"/>
        <v>0.11144474556924547</v>
      </c>
      <c r="S31" s="13">
        <f t="shared" si="5"/>
        <v>0.10312977885001043</v>
      </c>
      <c r="T31" s="13">
        <f t="shared" si="5"/>
        <v>9.5855888381390544E-2</v>
      </c>
      <c r="U31" s="13">
        <f t="shared" si="5"/>
        <v>8.9521317738224956E-2</v>
      </c>
      <c r="V31" s="13">
        <f t="shared" si="5"/>
        <v>8.279893817542712E-2</v>
      </c>
      <c r="W31" s="13">
        <f t="shared" si="5"/>
        <v>7.6102990026655271E-2</v>
      </c>
      <c r="X31" s="13">
        <f t="shared" si="5"/>
        <v>6.533536872138683E-2</v>
      </c>
      <c r="Y31" s="13">
        <f t="shared" si="5"/>
        <v>4.2062712714184387E-2</v>
      </c>
      <c r="Z31" s="18">
        <f t="array" ref="Z31">IF(B31="","",SUMPRODUCT(MAX(ISNUMBER(G31:X31)*ISNUMBER(H31:Y31)*(G31:X31&gt;=$B$6)*(H31:Y31&lt;$B$6)*(COLUMN(G31:X31)-COLUMN(G31)+1))))</f>
        <v>0</v>
      </c>
      <c r="AA31" s="9" t="str">
        <f t="shared" si="6"/>
        <v/>
      </c>
      <c r="AB31" s="9" t="str">
        <f t="shared" si="7"/>
        <v/>
      </c>
      <c r="AC31" s="13" t="str">
        <f t="shared" si="8"/>
        <v/>
      </c>
      <c r="AD31" s="13" t="str">
        <f t="shared" si="9"/>
        <v/>
      </c>
      <c r="AE31" s="18">
        <f t="shared" si="10"/>
        <v>16</v>
      </c>
    </row>
    <row r="32" spans="1:31" x14ac:dyDescent="0.25">
      <c r="A32" s="12">
        <v>80</v>
      </c>
      <c r="B32" s="23">
        <f t="shared" si="0"/>
        <v>1.4266655235110035</v>
      </c>
      <c r="C32" s="13">
        <f t="shared" si="1"/>
        <v>0.17523378527067338</v>
      </c>
      <c r="D32" s="23">
        <f t="shared" si="2"/>
        <v>2.8943139883407945</v>
      </c>
      <c r="E32" s="23">
        <f t="shared" si="3"/>
        <v>0.10631026589536818</v>
      </c>
      <c r="F32" s="5" t="str">
        <f>IF(B32="","",IF(OR($B$4&lt;MIN(Parametri!$A$17:$A$19),$B$4&gt;MAX(Parametri!$A$17:$A$19)),"L fuori 500–1500 mm: estrapolazione",IF(OR(A32&lt;$B$18*0.99,A32&gt;$B$19*1.01),"Q fuori dal campo simulato (estrapolazione)",IF(NOT(ISNUMBER(D32)),"vₜ non raggiunta / &lt; 0,5 m",IF(C32&gt;$B$17,"vₜ nel plateau/transizione: L poco significativo",IF(D32&gt;Parametri!$B$7,"Oltre x max: troncato dal pavimento","OK"))))))</f>
        <v>vₜ nel plateau/transizione: L poco significativo</v>
      </c>
      <c r="G32" s="13">
        <f t="shared" si="4"/>
        <v>0.31911116108079518</v>
      </c>
      <c r="H32" s="13">
        <f t="shared" si="4"/>
        <v>0.3057338241751093</v>
      </c>
      <c r="I32" s="13">
        <f t="shared" si="4"/>
        <v>0.29157451213614655</v>
      </c>
      <c r="J32" s="13">
        <f t="shared" si="4"/>
        <v>0.27854478430177715</v>
      </c>
      <c r="K32" s="13">
        <f t="shared" si="4"/>
        <v>0.26434017050532221</v>
      </c>
      <c r="L32" s="13">
        <f t="shared" si="4"/>
        <v>0.24660864333863849</v>
      </c>
      <c r="M32" s="13">
        <f t="shared" si="4"/>
        <v>0.22669825503646865</v>
      </c>
      <c r="N32" s="13">
        <f t="shared" si="4"/>
        <v>0.20921437697475509</v>
      </c>
      <c r="O32" s="13">
        <f t="shared" si="4"/>
        <v>0.19242921783667308</v>
      </c>
      <c r="P32" s="13">
        <f t="shared" si="4"/>
        <v>0.17667108393869965</v>
      </c>
      <c r="Q32" s="13">
        <f t="shared" si="5"/>
        <v>0.16138731736032741</v>
      </c>
      <c r="R32" s="13">
        <f t="shared" si="5"/>
        <v>0.14859299409232732</v>
      </c>
      <c r="S32" s="13">
        <f t="shared" si="5"/>
        <v>0.13750637180001393</v>
      </c>
      <c r="T32" s="13">
        <f t="shared" si="5"/>
        <v>0.12780785117518739</v>
      </c>
      <c r="U32" s="13">
        <f t="shared" si="5"/>
        <v>0.11936175698429996</v>
      </c>
      <c r="V32" s="13">
        <f t="shared" si="5"/>
        <v>0.11039858423390284</v>
      </c>
      <c r="W32" s="13">
        <f t="shared" si="5"/>
        <v>0.1014706533688737</v>
      </c>
      <c r="X32" s="13">
        <f t="shared" si="5"/>
        <v>8.7113824961849107E-2</v>
      </c>
      <c r="Y32" s="13">
        <f t="shared" si="5"/>
        <v>5.6083616952245854E-2</v>
      </c>
      <c r="Z32" s="18">
        <f t="array" ref="Z32">IF(B32="","",SUMPRODUCT(MAX(ISNUMBER(G32:X32)*ISNUMBER(H32:Y32)*(G32:X32&gt;=$B$6)*(H32:Y32&lt;$B$6)*(COLUMN(G32:X32)-COLUMN(G32)+1))))</f>
        <v>5</v>
      </c>
      <c r="AA32" s="9">
        <f t="shared" si="6"/>
        <v>2.5</v>
      </c>
      <c r="AB32" s="9">
        <f t="shared" si="7"/>
        <v>3</v>
      </c>
      <c r="AC32" s="13">
        <f t="shared" si="8"/>
        <v>0.26434017050532221</v>
      </c>
      <c r="AD32" s="13">
        <f t="shared" si="9"/>
        <v>0.24660864333863849</v>
      </c>
      <c r="AE32" s="18">
        <f t="shared" si="10"/>
        <v>16</v>
      </c>
    </row>
    <row r="33" spans="1:31" x14ac:dyDescent="0.25">
      <c r="A33" s="12">
        <v>100</v>
      </c>
      <c r="B33" s="23">
        <f t="shared" si="0"/>
        <v>1.7833319043887541</v>
      </c>
      <c r="C33" s="13">
        <f t="shared" si="1"/>
        <v>0.14018702821653872</v>
      </c>
      <c r="D33" s="23">
        <f t="shared" si="2"/>
        <v>4.2619638114307774</v>
      </c>
      <c r="E33" s="23">
        <f t="shared" si="3"/>
        <v>0.1328878323692102</v>
      </c>
      <c r="F33" s="5" t="str">
        <f>IF(B33="","",IF(OR($B$4&lt;MIN(Parametri!$A$17:$A$19),$B$4&gt;MAX(Parametri!$A$17:$A$19)),"L fuori 500–1500 mm: estrapolazione",IF(OR(A33&lt;$B$18*0.99,A33&gt;$B$19*1.01),"Q fuori dal campo simulato (estrapolazione)",IF(NOT(ISNUMBER(D33)),"vₜ non raggiunta / &lt; 0,5 m",IF(C33&gt;$B$17,"vₜ nel plateau/transizione: L poco significativo",IF(D33&gt;Parametri!$B$7,"Oltre x max: troncato dal pavimento","OK"))))))</f>
        <v>vₜ nel plateau/transizione: L poco significativo</v>
      </c>
      <c r="G33" s="13">
        <f t="shared" si="4"/>
        <v>0.39888895135099395</v>
      </c>
      <c r="H33" s="13">
        <f t="shared" si="4"/>
        <v>0.38216728021888657</v>
      </c>
      <c r="I33" s="13">
        <f t="shared" si="4"/>
        <v>0.36446814017018309</v>
      </c>
      <c r="J33" s="13">
        <f t="shared" si="4"/>
        <v>0.34818098037722139</v>
      </c>
      <c r="K33" s="13">
        <f t="shared" si="4"/>
        <v>0.33042521313165274</v>
      </c>
      <c r="L33" s="13">
        <f t="shared" si="4"/>
        <v>0.3082608041732981</v>
      </c>
      <c r="M33" s="13">
        <f t="shared" si="4"/>
        <v>0.28337281879558579</v>
      </c>
      <c r="N33" s="13">
        <f t="shared" si="4"/>
        <v>0.26151797121844383</v>
      </c>
      <c r="O33" s="13">
        <f t="shared" si="4"/>
        <v>0.24053652229584133</v>
      </c>
      <c r="P33" s="13">
        <f t="shared" si="4"/>
        <v>0.22083885492337454</v>
      </c>
      <c r="Q33" s="13">
        <f t="shared" si="5"/>
        <v>0.20173414670040923</v>
      </c>
      <c r="R33" s="13">
        <f t="shared" si="5"/>
        <v>0.18574124261540911</v>
      </c>
      <c r="S33" s="13">
        <f t="shared" si="5"/>
        <v>0.17188296475001738</v>
      </c>
      <c r="T33" s="13">
        <f t="shared" si="5"/>
        <v>0.15975981396898423</v>
      </c>
      <c r="U33" s="13">
        <f t="shared" si="5"/>
        <v>0.14920219623037492</v>
      </c>
      <c r="V33" s="13">
        <f t="shared" si="5"/>
        <v>0.13799823029237851</v>
      </c>
      <c r="W33" s="13">
        <f t="shared" si="5"/>
        <v>0.12683831671109211</v>
      </c>
      <c r="X33" s="13">
        <f t="shared" si="5"/>
        <v>0.10889228120231137</v>
      </c>
      <c r="Y33" s="13">
        <f t="shared" si="5"/>
        <v>7.0104521190307301E-2</v>
      </c>
      <c r="Z33" s="18">
        <f t="array" ref="Z33">IF(B33="","",SUMPRODUCT(MAX(ISNUMBER(G33:X33)*ISNUMBER(H33:Y33)*(G33:X33&gt;=$B$6)*(H33:Y33&lt;$B$6)*(COLUMN(G33:X33)-COLUMN(G33)+1))))</f>
        <v>8</v>
      </c>
      <c r="AA33" s="9">
        <f t="shared" si="6"/>
        <v>4</v>
      </c>
      <c r="AB33" s="9">
        <f t="shared" si="7"/>
        <v>4.5</v>
      </c>
      <c r="AC33" s="13">
        <f t="shared" si="8"/>
        <v>0.26151797121844383</v>
      </c>
      <c r="AD33" s="13">
        <f t="shared" si="9"/>
        <v>0.24053652229584133</v>
      </c>
      <c r="AE33" s="18">
        <f t="shared" si="10"/>
        <v>16</v>
      </c>
    </row>
    <row r="34" spans="1:31" x14ac:dyDescent="0.25">
      <c r="A34" s="12">
        <v>120</v>
      </c>
      <c r="B34" s="23">
        <f t="shared" si="0"/>
        <v>2.1399982852665049</v>
      </c>
      <c r="C34" s="13">
        <f t="shared" si="1"/>
        <v>0.11682252351378226</v>
      </c>
      <c r="D34" s="23">
        <f t="shared" si="2"/>
        <v>5.3166428146629778</v>
      </c>
      <c r="E34" s="23">
        <f t="shared" si="3"/>
        <v>0.15946539884305228</v>
      </c>
      <c r="F34" s="5" t="str">
        <f>IF(B34="","",IF(OR($B$4&lt;MIN(Parametri!$A$17:$A$19),$B$4&gt;MAX(Parametri!$A$17:$A$19)),"L fuori 500–1500 mm: estrapolazione",IF(OR(A34&lt;$B$18*0.99,A34&gt;$B$19*1.01),"Q fuori dal campo simulato (estrapolazione)",IF(NOT(ISNUMBER(D34)),"vₜ non raggiunta / &lt; 0,5 m",IF(C34&gt;$B$17,"vₜ nel plateau/transizione: L poco significativo",IF(D34&gt;Parametri!$B$7,"Oltre x max: troncato dal pavimento","OK"))))))</f>
        <v>OK</v>
      </c>
      <c r="G34" s="13">
        <f t="shared" si="4"/>
        <v>0.47866674162119272</v>
      </c>
      <c r="H34" s="13">
        <f t="shared" si="4"/>
        <v>0.4586007362626639</v>
      </c>
      <c r="I34" s="13">
        <f t="shared" si="4"/>
        <v>0.43736176820421974</v>
      </c>
      <c r="J34" s="13">
        <f t="shared" si="4"/>
        <v>0.4178171764526657</v>
      </c>
      <c r="K34" s="13">
        <f t="shared" si="4"/>
        <v>0.39651025575798332</v>
      </c>
      <c r="L34" s="13">
        <f t="shared" si="4"/>
        <v>0.36991296500795773</v>
      </c>
      <c r="M34" s="13">
        <f t="shared" si="4"/>
        <v>0.3400473825547029</v>
      </c>
      <c r="N34" s="13">
        <f t="shared" si="4"/>
        <v>0.31382156546213258</v>
      </c>
      <c r="O34" s="13">
        <f t="shared" si="4"/>
        <v>0.2886438267550096</v>
      </c>
      <c r="P34" s="13">
        <f t="shared" si="4"/>
        <v>0.26500662590804946</v>
      </c>
      <c r="Q34" s="13">
        <f t="shared" si="5"/>
        <v>0.24208097604049109</v>
      </c>
      <c r="R34" s="13">
        <f t="shared" si="5"/>
        <v>0.22288949113849094</v>
      </c>
      <c r="S34" s="13">
        <f t="shared" si="5"/>
        <v>0.20625955770002086</v>
      </c>
      <c r="T34" s="13">
        <f t="shared" si="5"/>
        <v>0.19171177676278109</v>
      </c>
      <c r="U34" s="13">
        <f t="shared" si="5"/>
        <v>0.17904263547644991</v>
      </c>
      <c r="V34" s="13">
        <f t="shared" si="5"/>
        <v>0.16559787635085424</v>
      </c>
      <c r="W34" s="13">
        <f t="shared" si="5"/>
        <v>0.15220598005331054</v>
      </c>
      <c r="X34" s="13">
        <f t="shared" si="5"/>
        <v>0.13067073744277366</v>
      </c>
      <c r="Y34" s="13">
        <f t="shared" si="5"/>
        <v>8.4125425428368775E-2</v>
      </c>
      <c r="Z34" s="18">
        <f t="array" ref="Z34">IF(B34="","",SUMPRODUCT(MAX(ISNUMBER(G34:X34)*ISNUMBER(H34:Y34)*(G34:X34&gt;=$B$6)*(H34:Y34&lt;$B$6)*(COLUMN(G34:X34)-COLUMN(G34)+1))))</f>
        <v>10</v>
      </c>
      <c r="AA34" s="9">
        <f t="shared" si="6"/>
        <v>5</v>
      </c>
      <c r="AB34" s="9">
        <f t="shared" si="7"/>
        <v>5.5</v>
      </c>
      <c r="AC34" s="13">
        <f t="shared" si="8"/>
        <v>0.26500662590804946</v>
      </c>
      <c r="AD34" s="13">
        <f t="shared" si="9"/>
        <v>0.24208097604049109</v>
      </c>
      <c r="AE34" s="18">
        <f t="shared" si="10"/>
        <v>16</v>
      </c>
    </row>
    <row r="35" spans="1:31" x14ac:dyDescent="0.25">
      <c r="A35" s="12">
        <v>150</v>
      </c>
      <c r="B35" s="23">
        <f t="shared" si="0"/>
        <v>2.6749978565831314</v>
      </c>
      <c r="C35" s="13">
        <f t="shared" si="1"/>
        <v>9.3458018811025806E-2</v>
      </c>
      <c r="D35" s="23">
        <f t="shared" si="2"/>
        <v>6.7061637174502433</v>
      </c>
      <c r="E35" s="23">
        <f t="shared" si="3"/>
        <v>0.19933174855381533</v>
      </c>
      <c r="F35" s="5" t="str">
        <f>IF(B35="","",IF(OR($B$4&lt;MIN(Parametri!$A$17:$A$19),$B$4&gt;MAX(Parametri!$A$17:$A$19)),"L fuori 500–1500 mm: estrapolazione",IF(OR(A35&lt;$B$18*0.99,A35&gt;$B$19*1.01),"Q fuori dal campo simulato (estrapolazione)",IF(NOT(ISNUMBER(D35)),"vₜ non raggiunta / &lt; 0,5 m",IF(C35&gt;$B$17,"vₜ nel plateau/transizione: L poco significativo",IF(D35&gt;Parametri!$B$7,"Oltre x max: troncato dal pavimento","OK"))))))</f>
        <v>OK</v>
      </c>
      <c r="G35" s="13">
        <f t="shared" si="4"/>
        <v>0.59833342702649095</v>
      </c>
      <c r="H35" s="13">
        <f t="shared" si="4"/>
        <v>0.57325092032832992</v>
      </c>
      <c r="I35" s="13">
        <f t="shared" si="4"/>
        <v>0.54670221025527466</v>
      </c>
      <c r="J35" s="13">
        <f t="shared" si="4"/>
        <v>0.52227147056583212</v>
      </c>
      <c r="K35" s="13">
        <f t="shared" si="4"/>
        <v>0.49563781969747917</v>
      </c>
      <c r="L35" s="13">
        <f t="shared" si="4"/>
        <v>0.46239120625994717</v>
      </c>
      <c r="M35" s="13">
        <f t="shared" si="4"/>
        <v>0.42505922819337871</v>
      </c>
      <c r="N35" s="13">
        <f t="shared" si="4"/>
        <v>0.39227695682766572</v>
      </c>
      <c r="O35" s="13">
        <f t="shared" si="4"/>
        <v>0.36080478344376204</v>
      </c>
      <c r="P35" s="13">
        <f t="shared" si="4"/>
        <v>0.33125828238506183</v>
      </c>
      <c r="Q35" s="13">
        <f t="shared" si="5"/>
        <v>0.30260122005061391</v>
      </c>
      <c r="R35" s="13">
        <f t="shared" si="5"/>
        <v>0.27861186392311371</v>
      </c>
      <c r="S35" s="13">
        <f t="shared" si="5"/>
        <v>0.25782444712502611</v>
      </c>
      <c r="T35" s="13">
        <f t="shared" si="5"/>
        <v>0.23963972095347635</v>
      </c>
      <c r="U35" s="13">
        <f t="shared" si="5"/>
        <v>0.2238032943455624</v>
      </c>
      <c r="V35" s="13">
        <f t="shared" si="5"/>
        <v>0.20699734543856779</v>
      </c>
      <c r="W35" s="13">
        <f t="shared" si="5"/>
        <v>0.19025747506663818</v>
      </c>
      <c r="X35" s="13">
        <f t="shared" si="5"/>
        <v>0.16333842180346708</v>
      </c>
      <c r="Y35" s="13">
        <f t="shared" si="5"/>
        <v>0.10515678178546096</v>
      </c>
      <c r="Z35" s="18">
        <f t="array" ref="Z35">IF(B35="","",SUMPRODUCT(MAX(ISNUMBER(G35:X35)*ISNUMBER(H35:Y35)*(G35:X35&gt;=$B$6)*(H35:Y35&lt;$B$6)*(COLUMN(G35:X35)-COLUMN(G35)+1))))</f>
        <v>13</v>
      </c>
      <c r="AA35" s="9">
        <f t="shared" si="6"/>
        <v>6.5</v>
      </c>
      <c r="AB35" s="9">
        <f t="shared" si="7"/>
        <v>7</v>
      </c>
      <c r="AC35" s="13">
        <f t="shared" si="8"/>
        <v>0.25782444712502611</v>
      </c>
      <c r="AD35" s="13">
        <f t="shared" si="9"/>
        <v>0.23963972095347635</v>
      </c>
      <c r="AE35" s="18">
        <f t="shared" si="10"/>
        <v>16</v>
      </c>
    </row>
    <row r="36" spans="1:31" x14ac:dyDescent="0.25">
      <c r="A36" s="12">
        <v>200</v>
      </c>
      <c r="B36" s="23">
        <f t="shared" si="0"/>
        <v>3.5666638087775082</v>
      </c>
      <c r="C36" s="13">
        <f t="shared" si="1"/>
        <v>7.0093514108269361E-2</v>
      </c>
      <c r="D36" s="23">
        <f t="shared" si="2"/>
        <v>8.546622976393861</v>
      </c>
      <c r="E36" s="23">
        <f t="shared" si="3"/>
        <v>0.2657756647384204</v>
      </c>
      <c r="F36" s="5" t="str">
        <f>IF(B36="","",IF(OR($B$4&lt;MIN(Parametri!$A$17:$A$19),$B$4&gt;MAX(Parametri!$A$17:$A$19)),"L fuori 500–1500 mm: estrapolazione",IF(OR(A36&lt;$B$18*0.99,A36&gt;$B$19*1.01),"Q fuori dal campo simulato (estrapolazione)",IF(NOT(ISNUMBER(D36)),"vₜ non raggiunta / &lt; 0,5 m",IF(C36&gt;$B$17,"vₜ nel plateau/transizione: L poco significativo",IF(D36&gt;Parametri!$B$7,"Oltre x max: troncato dal pavimento","OK"))))))</f>
        <v>Oltre x max: troncato dal pavimento</v>
      </c>
      <c r="G36" s="13">
        <f t="shared" si="4"/>
        <v>0.7977779027019879</v>
      </c>
      <c r="H36" s="13">
        <f t="shared" si="4"/>
        <v>0.76433456043777315</v>
      </c>
      <c r="I36" s="13">
        <f t="shared" si="4"/>
        <v>0.72893628034036617</v>
      </c>
      <c r="J36" s="13">
        <f t="shared" si="4"/>
        <v>0.69636196075444279</v>
      </c>
      <c r="K36" s="13">
        <f t="shared" si="4"/>
        <v>0.66085042626330548</v>
      </c>
      <c r="L36" s="13">
        <f t="shared" si="4"/>
        <v>0.61652160834659619</v>
      </c>
      <c r="M36" s="13">
        <f t="shared" si="4"/>
        <v>0.56674563759117158</v>
      </c>
      <c r="N36" s="13">
        <f t="shared" si="4"/>
        <v>0.52303594243688767</v>
      </c>
      <c r="O36" s="13">
        <f t="shared" si="4"/>
        <v>0.48107304459168265</v>
      </c>
      <c r="P36" s="13">
        <f t="shared" si="4"/>
        <v>0.44167770984674909</v>
      </c>
      <c r="Q36" s="13">
        <f t="shared" si="5"/>
        <v>0.40346829340081847</v>
      </c>
      <c r="R36" s="13">
        <f t="shared" si="5"/>
        <v>0.37148248523081823</v>
      </c>
      <c r="S36" s="13">
        <f t="shared" si="5"/>
        <v>0.34376592950003476</v>
      </c>
      <c r="T36" s="13">
        <f t="shared" si="5"/>
        <v>0.31951962793796845</v>
      </c>
      <c r="U36" s="13">
        <f t="shared" si="5"/>
        <v>0.29840439246074985</v>
      </c>
      <c r="V36" s="13">
        <f t="shared" si="5"/>
        <v>0.27599646058475702</v>
      </c>
      <c r="W36" s="13">
        <f t="shared" si="5"/>
        <v>0.25367663342218422</v>
      </c>
      <c r="X36" s="13">
        <f t="shared" si="5"/>
        <v>0.21778456240462274</v>
      </c>
      <c r="Y36" s="13">
        <f t="shared" si="5"/>
        <v>0.1402090423806146</v>
      </c>
      <c r="Z36" s="18">
        <f t="array" ref="Z36">IF(B36="","",SUMPRODUCT(MAX(ISNUMBER(G36:X36)*ISNUMBER(H36:Y36)*(G36:X36&gt;=$B$6)*(H36:Y36&lt;$B$6)*(COLUMN(G36:X36)-COLUMN(G36)+1))))</f>
        <v>17</v>
      </c>
      <c r="AA36" s="9">
        <f t="shared" si="6"/>
        <v>8.5</v>
      </c>
      <c r="AB36" s="9">
        <f t="shared" si="7"/>
        <v>9</v>
      </c>
      <c r="AC36" s="13">
        <f t="shared" si="8"/>
        <v>0.25367663342218422</v>
      </c>
      <c r="AD36" s="13">
        <f t="shared" si="9"/>
        <v>0.21778456240462274</v>
      </c>
      <c r="AE36" s="18">
        <f t="shared" si="10"/>
        <v>16</v>
      </c>
    </row>
    <row r="37" spans="1:31" x14ac:dyDescent="0.25">
      <c r="A37" s="12">
        <v>250</v>
      </c>
      <c r="B37" s="23">
        <f t="shared" si="0"/>
        <v>4.4583297609718855</v>
      </c>
      <c r="C37" s="13">
        <f t="shared" si="1"/>
        <v>5.6074811286615484E-2</v>
      </c>
      <c r="D37" s="23">
        <f t="shared" si="2"/>
        <v>9.094626655001111</v>
      </c>
      <c r="E37" s="23">
        <f t="shared" si="3"/>
        <v>0.33221958092302556</v>
      </c>
      <c r="F37" s="5" t="str">
        <f>IF(B37="","",IF(OR($B$4&lt;MIN(Parametri!$A$17:$A$19),$B$4&gt;MAX(Parametri!$A$17:$A$19)),"L fuori 500–1500 mm: estrapolazione",IF(OR(A37&lt;$B$18*0.99,A37&gt;$B$19*1.01),"Q fuori dal campo simulato (estrapolazione)",IF(NOT(ISNUMBER(D37)),"vₜ non raggiunta / &lt; 0,5 m",IF(C37&gt;$B$17,"vₜ nel plateau/transizione: L poco significativo",IF(D37&gt;Parametri!$B$7,"Oltre x max: troncato dal pavimento","OK"))))))</f>
        <v>Oltre x max: troncato dal pavimento</v>
      </c>
      <c r="G37" s="13">
        <f t="shared" si="4"/>
        <v>0.99722237837748495</v>
      </c>
      <c r="H37" s="13">
        <f t="shared" si="4"/>
        <v>0.95541820054721649</v>
      </c>
      <c r="I37" s="13">
        <f t="shared" si="4"/>
        <v>0.9111703504254578</v>
      </c>
      <c r="J37" s="13">
        <f t="shared" si="4"/>
        <v>0.87045245094305357</v>
      </c>
      <c r="K37" s="13">
        <f t="shared" si="4"/>
        <v>0.82606303282913196</v>
      </c>
      <c r="L37" s="13">
        <f t="shared" si="4"/>
        <v>0.77065201043324527</v>
      </c>
      <c r="M37" s="13">
        <f t="shared" si="4"/>
        <v>0.70843204698896445</v>
      </c>
      <c r="N37" s="13">
        <f t="shared" si="4"/>
        <v>0.6537949280461095</v>
      </c>
      <c r="O37" s="13">
        <f t="shared" si="4"/>
        <v>0.60134130573960332</v>
      </c>
      <c r="P37" s="13">
        <f t="shared" si="4"/>
        <v>0.55209713730843635</v>
      </c>
      <c r="Q37" s="13">
        <f t="shared" si="5"/>
        <v>0.50433536675102308</v>
      </c>
      <c r="R37" s="13">
        <f t="shared" si="5"/>
        <v>0.4643531065385228</v>
      </c>
      <c r="S37" s="13">
        <f t="shared" si="5"/>
        <v>0.42970741187504347</v>
      </c>
      <c r="T37" s="13">
        <f t="shared" si="5"/>
        <v>0.39939953492246061</v>
      </c>
      <c r="U37" s="13">
        <f t="shared" si="5"/>
        <v>0.37300549057593735</v>
      </c>
      <c r="V37" s="13">
        <f t="shared" si="5"/>
        <v>0.3449955757309463</v>
      </c>
      <c r="W37" s="13">
        <f t="shared" si="5"/>
        <v>0.31709579177773028</v>
      </c>
      <c r="X37" s="13">
        <f t="shared" si="5"/>
        <v>0.27223070300577845</v>
      </c>
      <c r="Y37" s="13">
        <f t="shared" si="5"/>
        <v>0.17526130297576828</v>
      </c>
      <c r="Z37" s="18">
        <f t="array" ref="Z37">IF(B37="","",SUMPRODUCT(MAX(ISNUMBER(G37:X37)*ISNUMBER(H37:Y37)*(G37:X37&gt;=$B$6)*(H37:Y37&lt;$B$6)*(COLUMN(G37:X37)-COLUMN(G37)+1))))</f>
        <v>18</v>
      </c>
      <c r="AA37" s="9">
        <f t="shared" si="6"/>
        <v>9</v>
      </c>
      <c r="AB37" s="9">
        <f t="shared" si="7"/>
        <v>9.5</v>
      </c>
      <c r="AC37" s="13">
        <f t="shared" si="8"/>
        <v>0.27223070300577845</v>
      </c>
      <c r="AD37" s="13">
        <f t="shared" si="9"/>
        <v>0.17526130297576828</v>
      </c>
      <c r="AE37" s="18">
        <f t="shared" si="10"/>
        <v>16</v>
      </c>
    </row>
    <row r="38" spans="1:31" x14ac:dyDescent="0.25">
      <c r="A38" s="12">
        <v>300</v>
      </c>
      <c r="B38" s="23">
        <f t="shared" si="0"/>
        <v>5.3499957131662628</v>
      </c>
      <c r="C38" s="13">
        <f t="shared" si="1"/>
        <v>4.6729009405512903E-2</v>
      </c>
      <c r="D38" s="23">
        <f t="shared" si="2"/>
        <v>9.3005033766036984</v>
      </c>
      <c r="E38" s="23">
        <f t="shared" si="3"/>
        <v>0.39866349710763066</v>
      </c>
      <c r="F38" s="5" t="str">
        <f>IF(B38="","",IF(OR($B$4&lt;MIN(Parametri!$A$17:$A$19),$B$4&gt;MAX(Parametri!$A$17:$A$19)),"L fuori 500–1500 mm: estrapolazione",IF(OR(A38&lt;$B$18*0.99,A38&gt;$B$19*1.01),"Q fuori dal campo simulato (estrapolazione)",IF(NOT(ISNUMBER(D38)),"vₜ non raggiunta / &lt; 0,5 m",IF(C38&gt;$B$17,"vₜ nel plateau/transizione: L poco significativo",IF(D38&gt;Parametri!$B$7,"Oltre x max: troncato dal pavimento","OK"))))))</f>
        <v>Q fuori dal campo simulato (estrapolazione)</v>
      </c>
      <c r="G38" s="13">
        <f t="shared" si="4"/>
        <v>1.1966668540529819</v>
      </c>
      <c r="H38" s="13">
        <f t="shared" si="4"/>
        <v>1.1465018406566598</v>
      </c>
      <c r="I38" s="13">
        <f t="shared" si="4"/>
        <v>1.0934044205105493</v>
      </c>
      <c r="J38" s="13">
        <f t="shared" si="4"/>
        <v>1.0445429411316642</v>
      </c>
      <c r="K38" s="13">
        <f t="shared" si="4"/>
        <v>0.99127563939495833</v>
      </c>
      <c r="L38" s="13">
        <f t="shared" si="4"/>
        <v>0.92478241251989435</v>
      </c>
      <c r="M38" s="13">
        <f t="shared" si="4"/>
        <v>0.85011845638675743</v>
      </c>
      <c r="N38" s="13">
        <f t="shared" si="4"/>
        <v>0.78455391365533145</v>
      </c>
      <c r="O38" s="13">
        <f t="shared" si="4"/>
        <v>0.72160956688752409</v>
      </c>
      <c r="P38" s="13">
        <f t="shared" si="4"/>
        <v>0.66251656477012366</v>
      </c>
      <c r="Q38" s="13">
        <f t="shared" si="5"/>
        <v>0.60520244010122781</v>
      </c>
      <c r="R38" s="13">
        <f t="shared" si="5"/>
        <v>0.55722372784622742</v>
      </c>
      <c r="S38" s="13">
        <f t="shared" si="5"/>
        <v>0.51564889425005223</v>
      </c>
      <c r="T38" s="13">
        <f t="shared" si="5"/>
        <v>0.47927944190695271</v>
      </c>
      <c r="U38" s="13">
        <f t="shared" si="5"/>
        <v>0.4476065886911248</v>
      </c>
      <c r="V38" s="13">
        <f t="shared" si="5"/>
        <v>0.41399469087713558</v>
      </c>
      <c r="W38" s="13">
        <f t="shared" si="5"/>
        <v>0.38051495013327635</v>
      </c>
      <c r="X38" s="13">
        <f t="shared" si="5"/>
        <v>0.32667684360693416</v>
      </c>
      <c r="Y38" s="13">
        <f t="shared" si="5"/>
        <v>0.21031356357092193</v>
      </c>
      <c r="Z38" s="18">
        <f t="array" ref="Z38">IF(B38="","",SUMPRODUCT(MAX(ISNUMBER(G38:X38)*ISNUMBER(H38:Y38)*(G38:X38&gt;=$B$6)*(H38:Y38&lt;$B$6)*(COLUMN(G38:X38)-COLUMN(G38)+1))))</f>
        <v>18</v>
      </c>
      <c r="AA38" s="9">
        <f t="shared" si="6"/>
        <v>9</v>
      </c>
      <c r="AB38" s="9">
        <f t="shared" si="7"/>
        <v>9.5</v>
      </c>
      <c r="AC38" s="13">
        <f t="shared" si="8"/>
        <v>0.32667684360693416</v>
      </c>
      <c r="AD38" s="13">
        <f t="shared" si="9"/>
        <v>0.21031356357092193</v>
      </c>
      <c r="AE38" s="18">
        <f t="shared" si="10"/>
        <v>16</v>
      </c>
    </row>
    <row r="40" spans="1:31" x14ac:dyDescent="0.25">
      <c r="A40" s="3" t="s">
        <v>87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G$28&gt;Parametri!$B$7</xm:f>
            <x14:dxf>
              <fill>
                <patternFill>
                  <bgColor rgb="FFD9D9D9"/>
                </patternFill>
              </fill>
            </x14:dxf>
          </x14:cfRule>
          <xm:sqref>G30:Y38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7109375" defaultRowHeight="15" x14ac:dyDescent="0.25"/>
  <cols>
    <col min="1" max="1" width="30" customWidth="1"/>
    <col min="2" max="10" width="13" customWidth="1"/>
    <col min="11" max="11" width="46" customWidth="1"/>
    <col min="12" max="36" width="7" customWidth="1"/>
  </cols>
  <sheetData>
    <row r="1" spans="1:36" ht="18" x14ac:dyDescent="0.25">
      <c r="A1" s="2" t="s">
        <v>88</v>
      </c>
    </row>
    <row r="2" spans="1:36" x14ac:dyDescent="0.25">
      <c r="A2" s="3" t="s">
        <v>89</v>
      </c>
    </row>
    <row r="4" spans="1:36" x14ac:dyDescent="0.25">
      <c r="A4" s="16" t="s">
        <v>48</v>
      </c>
      <c r="B4" s="30">
        <f>Catalogo_L_libera!B5</f>
        <v>150</v>
      </c>
    </row>
    <row r="5" spans="1:36" x14ac:dyDescent="0.25">
      <c r="A5" s="16" t="s">
        <v>49</v>
      </c>
      <c r="B5" s="17">
        <f>Catalogo_L_libera!B6</f>
        <v>0.25</v>
      </c>
    </row>
    <row r="6" spans="1:36" x14ac:dyDescent="0.25">
      <c r="A6" s="16" t="s">
        <v>53</v>
      </c>
      <c r="B6" s="17">
        <f>Catalogo_L_libera!B7</f>
        <v>8.2200000000000006</v>
      </c>
    </row>
    <row r="8" spans="1:36" ht="25.5" x14ac:dyDescent="0.25">
      <c r="A8" s="4" t="s">
        <v>90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60</v>
      </c>
      <c r="G8" s="4" t="s">
        <v>61</v>
      </c>
      <c r="H8" s="4" t="s">
        <v>31</v>
      </c>
      <c r="I8" s="4" t="s">
        <v>95</v>
      </c>
      <c r="J8" s="4" t="s">
        <v>63</v>
      </c>
      <c r="K8" s="4" t="s">
        <v>58</v>
      </c>
      <c r="L8" s="26">
        <v>0.5</v>
      </c>
      <c r="M8" s="26">
        <v>1</v>
      </c>
      <c r="N8" s="26">
        <v>1.5</v>
      </c>
      <c r="O8" s="26">
        <v>2</v>
      </c>
      <c r="P8" s="26">
        <v>2.5</v>
      </c>
      <c r="Q8" s="26">
        <v>3</v>
      </c>
      <c r="R8" s="26">
        <v>3.5</v>
      </c>
      <c r="S8" s="26">
        <v>4</v>
      </c>
      <c r="T8" s="26">
        <v>4.5</v>
      </c>
      <c r="U8" s="26">
        <v>5</v>
      </c>
      <c r="V8" s="26">
        <v>5.5</v>
      </c>
      <c r="W8" s="26">
        <v>6</v>
      </c>
      <c r="X8" s="26">
        <v>6.5</v>
      </c>
      <c r="Y8" s="26">
        <v>7</v>
      </c>
      <c r="Z8" s="26">
        <v>7.5</v>
      </c>
      <c r="AA8" s="26">
        <v>8</v>
      </c>
      <c r="AB8" s="26">
        <v>8.5</v>
      </c>
      <c r="AC8" s="26">
        <v>9</v>
      </c>
      <c r="AD8" s="26">
        <v>9.5</v>
      </c>
      <c r="AE8" s="4" t="s">
        <v>64</v>
      </c>
      <c r="AF8" s="4" t="s">
        <v>65</v>
      </c>
      <c r="AG8" s="4" t="s">
        <v>66</v>
      </c>
      <c r="AH8" s="4" t="s">
        <v>67</v>
      </c>
      <c r="AI8" s="4" t="s">
        <v>68</v>
      </c>
      <c r="AJ8" s="4" t="s">
        <v>69</v>
      </c>
    </row>
    <row r="9" spans="1:36" x14ac:dyDescent="0.25">
      <c r="A9" s="12">
        <v>500</v>
      </c>
      <c r="B9" s="18">
        <f>IFERROR(MIN(MATCH(A9,Parametri!$A$17:$A$19,1),2),1)</f>
        <v>1</v>
      </c>
      <c r="C9" s="13">
        <f>(A9-INDEX(Parametri!$A$17:$A$19,B9))/(INDEX(Parametri!$A$17:$A$19,B9+1)-INDEX(Parametri!$A$17:$A$19,B9))</f>
        <v>0</v>
      </c>
      <c r="D9" s="13">
        <f>(1-C9)*INDEX(Riepilogo!$C$5:$C$7,B9)+C9*INDEX(Riepilogo!$C$5:$C$7,B9+1)</f>
        <v>0.50683116301872999</v>
      </c>
      <c r="E9" s="14">
        <f>A9/1000*Parametri!$B$4*D9</f>
        <v>1.0136623260374599E-2</v>
      </c>
      <c r="F9" s="23">
        <f t="shared" ref="F9:F19" si="0">$B$4/3600/E9</f>
        <v>4.1105075720380349</v>
      </c>
      <c r="G9" s="13">
        <f t="shared" ref="G9:G19" si="1">$B$5/F9</f>
        <v>6.08197395622476E-2</v>
      </c>
      <c r="H9" s="13">
        <f>(1-C9)*INDEX(Riepilogo!$F$5:$F$7,B9)+C9*INDEX(Riepilogo!$F$5:$F$7,B9+1)</f>
        <v>0.125</v>
      </c>
      <c r="I9" s="24">
        <f t="shared" ref="I9:I19" si="2">IF(AF9="",IF(ISNUMBER(L9),IF(L9&lt;$B$5,"&lt; 0,5","n.d."),"n.d."),EXP(LN(AF9)+(LN($B$5)-LN(AH9))*(LN(AG9)-LN(AF9))/(LN(AI9)-LN(AH9))))</f>
        <v>8.2270888164855265</v>
      </c>
      <c r="J9" s="23">
        <f t="shared" ref="J9:J19" si="3">IF(AJ9="","",IFERROR(EXP(LN(INDEX(L9:AD9,AJ9))+(LN($B$6)-LN(INDEX(L$8:AD$8,AJ9)))*(LN(INDEX(L9:AD9,AJ9+1))-LN(INDEX(L9:AD9,AJ9)))/(LN(INDEX(L$8:AD$8,AJ9+1))-LN(INDEX(L$8:AD$8,AJ9)))),""))</f>
        <v>0.25031676025976657</v>
      </c>
      <c r="K9" s="5" t="str">
        <f>IF(OR(A9&lt;MIN(Parametri!$A$17:$A$19),A9&gt;MAX(Parametri!$A$17:$A$19)),"L fuori 500–1500 mm: estrapolazione",IF(OR($B$4&lt;MAX(INDEX(Riepilogo!$H$5:$H$7,B9),INDEX(Riepilogo!$H$5:$H$7,B9+1))*0.99,$B$4&gt;MIN(INDEX(Riepilogo!$I$5:$I$7,B9),INDEX(Riepilogo!$I$5:$I$7,B9+1))*1.01),"Q fuori dal campo simulato (estrapolazione)",IF(NOT(ISNUMBER(I9)),"vₜ non raggiunta / &lt; 0,5 m",IF(G9&gt;H9,"vₜ nel plateau/transizione: L poco significativo",IF(I9&gt;Parametri!$B$7,"Oltre x max: troncato dal pavimento","OK")))))</f>
        <v>OK</v>
      </c>
      <c r="L9" s="13">
        <f>$F9*MAX(0.001,(1-$C9)*INDEX(Curve!$G$1:$G$100,4+($B9-1)*24+1+L$8*2)+$C9*INDEX(Curve!$G$1:$G$100,4+$B9*24+1+L$8*2))</f>
        <v>0.93615038971776077</v>
      </c>
      <c r="M9" s="13">
        <f>$F9*MAX(0.001,(1-$C9)*INDEX(Curve!$G$1:$G$100,4+($B9-1)*24+1+M$8*2)+$C9*INDEX(Curve!$G$1:$G$100,4+$B9*24+1+M$8*2))</f>
        <v>0.8749281960858285</v>
      </c>
      <c r="N9" s="13">
        <f>$F9*MAX(0.001,(1-$C9)*INDEX(Curve!$G$1:$G$100,4+($B9-1)*24+1+N$8*2)+$C9*INDEX(Curve!$G$1:$G$100,4+$B9*24+1+N$8*2))</f>
        <v>0.79109189806573765</v>
      </c>
      <c r="O9" s="13">
        <f>$F9*MAX(0.001,(1-$C9)*INDEX(Curve!$G$1:$G$100,4+($B9-1)*24+1+O$8*2)+$C9*INDEX(Curve!$G$1:$G$100,4+$B9*24+1+O$8*2))</f>
        <v>0.72873582303731954</v>
      </c>
      <c r="P9" s="13">
        <f>$F9*MAX(0.001,(1-$C9)*INDEX(Curve!$G$1:$G$100,4+($B9-1)*24+1+P$8*2)+$C9*INDEX(Curve!$G$1:$G$100,4+$B9*24+1+P$8*2))</f>
        <v>0.67506287947151256</v>
      </c>
      <c r="Q9" s="13">
        <f>$F9*MAX(0.001,(1-$C9)*INDEX(Curve!$G$1:$G$100,4+($B9-1)*24+1+Q$8*2)+$C9*INDEX(Curve!$G$1:$G$100,4+$B9*24+1+Q$8*2))</f>
        <v>0.61097139701967795</v>
      </c>
      <c r="R9" s="13">
        <f>$F9*MAX(0.001,(1-$C9)*INDEX(Curve!$G$1:$G$100,4+($B9-1)*24+1+R$8*2)+$C9*INDEX(Curve!$G$1:$G$100,4+$B9*24+1+R$8*2))</f>
        <v>0.55184298890095129</v>
      </c>
      <c r="S9" s="13">
        <f>$F9*MAX(0.001,(1-$C9)*INDEX(Curve!$G$1:$G$100,4+($B9-1)*24+1+S$8*2)+$C9*INDEX(Curve!$G$1:$G$100,4+$B9*24+1+S$8*2))</f>
        <v>0.50446721418469864</v>
      </c>
      <c r="T9" s="13">
        <f>$F9*MAX(0.001,(1-$C9)*INDEX(Curve!$G$1:$G$100,4+($B9-1)*24+1+T$8*2)+$C9*INDEX(Curve!$G$1:$G$100,4+$B9*24+1+T$8*2))</f>
        <v>0.45455764642382662</v>
      </c>
      <c r="U9" s="13">
        <f>$F9*MAX(0.001,(1-$C9)*INDEX(Curve!$G$1:$G$100,4+($B9-1)*24+1+U$8*2)+$C9*INDEX(Curve!$G$1:$G$100,4+$B9*24+1+U$8*2))</f>
        <v>0.41335757275821039</v>
      </c>
      <c r="V9" s="13">
        <f>$F9*MAX(0.001,(1-$C9)*INDEX(Curve!$G$1:$G$100,4+($B9-1)*24+1+V$8*2)+$C9*INDEX(Curve!$G$1:$G$100,4+$B9*24+1+V$8*2))</f>
        <v>0.37709204797539109</v>
      </c>
      <c r="W9" s="13">
        <f>$F9*MAX(0.001,(1-$C9)*INDEX(Curve!$G$1:$G$100,4+($B9-1)*24+1+W$8*2)+$C9*INDEX(Curve!$G$1:$G$100,4+$B9*24+1+W$8*2))</f>
        <v>0.34677381841222821</v>
      </c>
      <c r="X9" s="13">
        <f>$F9*MAX(0.001,(1-$C9)*INDEX(Curve!$G$1:$G$100,4+($B9-1)*24+1+X$8*2)+$C9*INDEX(Curve!$G$1:$G$100,4+$B9*24+1+X$8*2))</f>
        <v>0.32102790305208651</v>
      </c>
      <c r="Y9" s="13">
        <f>$F9*MAX(0.001,(1-$C9)*INDEX(Curve!$G$1:$G$100,4+($B9-1)*24+1+Y$8*2)+$C9*INDEX(Curve!$G$1:$G$100,4+$B9*24+1+Y$8*2))</f>
        <v>0.29891972763694569</v>
      </c>
      <c r="Z9" s="13">
        <f>$F9*MAX(0.001,(1-$C9)*INDEX(Curve!$G$1:$G$100,4+($B9-1)*24+1+Z$8*2)+$C9*INDEX(Curve!$G$1:$G$100,4+$B9*24+1+Z$8*2))</f>
        <v>0.27971471180655122</v>
      </c>
      <c r="AA9" s="13">
        <f>$F9*MAX(0.001,(1-$C9)*INDEX(Curve!$G$1:$G$100,4+($B9-1)*24+1+AA$8*2)+$C9*INDEX(Curve!$G$1:$G$100,4+$B9*24+1+AA$8*2))</f>
        <v>0.26049333062604446</v>
      </c>
      <c r="AB9" s="13">
        <f>$F9*MAX(0.001,(1-$C9)*INDEX(Curve!$G$1:$G$100,4+($B9-1)*24+1+AB$8*2)+$C9*INDEX(Curve!$G$1:$G$100,4+$B9*24+1+AB$8*2))</f>
        <v>0.23829846887257797</v>
      </c>
      <c r="AC9" s="13">
        <f>$F9*MAX(0.001,(1-$C9)*INDEX(Curve!$G$1:$G$100,4+($B9-1)*24+1+AC$8*2)+$C9*INDEX(Curve!$G$1:$G$100,4+$B9*24+1+AC$8*2))</f>
        <v>0.20565889349662533</v>
      </c>
      <c r="AD9" s="13">
        <f>$F9*MAX(0.001,(1-$C9)*INDEX(Curve!$G$1:$G$100,4+($B9-1)*24+1+AD$8*2)+$C9*INDEX(Curve!$G$1:$G$100,4+$B9*24+1+AD$8*2))</f>
        <v>0.1361848050116615</v>
      </c>
      <c r="AE9" s="18">
        <f t="array" ref="AE9">SUMPRODUCT(MAX(ISNUMBER(L9:AC9)*ISNUMBER(M9:AD9)*(L9:AC9&gt;=$B$5)*(M9:AD9&lt;$B$5)*(COLUMN(L9:AC9)-COLUMN(L9)+1)))</f>
        <v>16</v>
      </c>
      <c r="AF9" s="9">
        <f t="shared" ref="AF9:AF19" si="4">IF(OR(AE9="",AE9=0),"",INDEX(L$8:AD$8,AE9))</f>
        <v>8</v>
      </c>
      <c r="AG9" s="9">
        <f t="shared" ref="AG9:AG19" si="5">IF(AF9="","",INDEX(L$8:AD$8,AE9+1))</f>
        <v>8.5</v>
      </c>
      <c r="AH9" s="13">
        <f t="shared" ref="AH9:AH19" si="6">IF(AF9="","",INDEX(L9:AD9,AE9))</f>
        <v>0.26049333062604446</v>
      </c>
      <c r="AI9" s="13">
        <f t="shared" ref="AI9:AI19" si="7">IF(AF9="","",INDEX(L9:AD9,AE9+1))</f>
        <v>0.23829846887257797</v>
      </c>
      <c r="AJ9" s="18">
        <f t="shared" ref="AJ9:AJ19" si="8">IFERROR(MATCH($B$6,L$8:AD$8,1),"")</f>
        <v>16</v>
      </c>
    </row>
    <row r="10" spans="1:36" x14ac:dyDescent="0.25">
      <c r="A10" s="12">
        <v>600</v>
      </c>
      <c r="B10" s="18">
        <f>IFERROR(MIN(MATCH(A10,Parametri!$A$17:$A$19,1),2),1)</f>
        <v>1</v>
      </c>
      <c r="C10" s="13">
        <f>(A10-INDEX(Parametri!$A$17:$A$19,B10))/(INDEX(Parametri!$A$17:$A$19,B10+1)-INDEX(Parametri!$A$17:$A$19,B10))</f>
        <v>0.2</v>
      </c>
      <c r="D10" s="13">
        <f>(1-C10)*INDEX(Riepilogo!$C$5:$C$7,B10)+C10*INDEX(Riepilogo!$C$5:$C$7,B10+1)</f>
        <v>0.51178318405796208</v>
      </c>
      <c r="E10" s="14">
        <f>A10/1000*Parametri!$B$4*D10</f>
        <v>1.2282796417391091E-2</v>
      </c>
      <c r="F10" s="23">
        <f t="shared" si="0"/>
        <v>3.3922785374567668</v>
      </c>
      <c r="G10" s="13">
        <f t="shared" si="1"/>
        <v>7.3696778504346555E-2</v>
      </c>
      <c r="H10" s="13">
        <f>(1-C10)*INDEX(Riepilogo!$F$5:$F$7,B10)+C10*INDEX(Riepilogo!$F$5:$F$7,B10+1)</f>
        <v>0.13</v>
      </c>
      <c r="I10" s="24">
        <f t="shared" si="2"/>
        <v>7.5528814029046396</v>
      </c>
      <c r="J10" s="23">
        <f t="shared" si="3"/>
        <v>0.22505992648132633</v>
      </c>
      <c r="K10" s="5" t="str">
        <f>IF(OR(A10&lt;MIN(Parametri!$A$17:$A$19),A10&gt;MAX(Parametri!$A$17:$A$19)),"L fuori 500–1500 mm: estrapolazione",IF(OR($B$4&lt;MAX(INDEX(Riepilogo!$H$5:$H$7,B10),INDEX(Riepilogo!$H$5:$H$7,B10+1))*0.99,$B$4&gt;MIN(INDEX(Riepilogo!$I$5:$I$7,B10),INDEX(Riepilogo!$I$5:$I$7,B10+1))*1.01),"Q fuori dal campo simulato (estrapolazione)",IF(NOT(ISNUMBER(I10)),"vₜ non raggiunta / &lt; 0,5 m",IF(G10&gt;H10,"vₜ nel plateau/transizione: L poco significativo",IF(I10&gt;Parametri!$B$7,"Oltre x max: troncato dal pavimento","OK")))))</f>
        <v>OK</v>
      </c>
      <c r="L10" s="13">
        <f>$F10*MAX(0.001,(1-$C10)*INDEX(Curve!$G$1:$G$100,4+($B10-1)*24+1+L$8*2)+$C10*INDEX(Curve!$G$1:$G$100,4+$B10*24+1+L$8*2))</f>
        <v>0.76705491820415694</v>
      </c>
      <c r="M10" s="13">
        <f>$F10*MAX(0.001,(1-$C10)*INDEX(Curve!$G$1:$G$100,4+($B10-1)*24+1+M$8*2)+$C10*INDEX(Curve!$G$1:$G$100,4+$B10*24+1+M$8*2))</f>
        <v>0.72401673742103267</v>
      </c>
      <c r="N10" s="13">
        <f>$F10*MAX(0.001,(1-$C10)*INDEX(Curve!$G$1:$G$100,4+($B10-1)*24+1+N$8*2)+$C10*INDEX(Curve!$G$1:$G$100,4+$B10*24+1+N$8*2))</f>
        <v>0.66903716969414229</v>
      </c>
      <c r="O10" s="13">
        <f>$F10*MAX(0.001,(1-$C10)*INDEX(Curve!$G$1:$G$100,4+($B10-1)*24+1+O$8*2)+$C10*INDEX(Curve!$G$1:$G$100,4+$B10*24+1+O$8*2))</f>
        <v>0.62576814732285058</v>
      </c>
      <c r="P10" s="13">
        <f>$F10*MAX(0.001,(1-$C10)*INDEX(Curve!$G$1:$G$100,4+($B10-1)*24+1+P$8*2)+$C10*INDEX(Curve!$G$1:$G$100,4+$B10*24+1+P$8*2))</f>
        <v>0.58568123949556949</v>
      </c>
      <c r="Q10" s="13">
        <f>$F10*MAX(0.001,(1-$C10)*INDEX(Curve!$G$1:$G$100,4+($B10-1)*24+1+Q$8*2)+$C10*INDEX(Curve!$G$1:$G$100,4+$B10*24+1+Q$8*2))</f>
        <v>0.53708099556584021</v>
      </c>
      <c r="R10" s="13">
        <f>$F10*MAX(0.001,(1-$C10)*INDEX(Curve!$G$1:$G$100,4+($B10-1)*24+1+R$8*2)+$C10*INDEX(Curve!$G$1:$G$100,4+$B10*24+1+R$8*2))</f>
        <v>0.48886594756809854</v>
      </c>
      <c r="S10" s="13">
        <f>$F10*MAX(0.001,(1-$C10)*INDEX(Curve!$G$1:$G$100,4+($B10-1)*24+1+S$8*2)+$C10*INDEX(Curve!$G$1:$G$100,4+$B10*24+1+S$8*2))</f>
        <v>0.44877822756968561</v>
      </c>
      <c r="T10" s="13">
        <f>$F10*MAX(0.001,(1-$C10)*INDEX(Curve!$G$1:$G$100,4+($B10-1)*24+1+T$8*2)+$C10*INDEX(Curve!$G$1:$G$100,4+$B10*24+1+T$8*2))</f>
        <v>0.4081004259422204</v>
      </c>
      <c r="U10" s="13">
        <f>$F10*MAX(0.001,(1-$C10)*INDEX(Curve!$G$1:$G$100,4+($B10-1)*24+1+U$8*2)+$C10*INDEX(Curve!$G$1:$G$100,4+$B10*24+1+U$8*2))</f>
        <v>0.37271204555709009</v>
      </c>
      <c r="V10" s="13">
        <f>$F10*MAX(0.001,(1-$C10)*INDEX(Curve!$G$1:$G$100,4+($B10-1)*24+1+V$8*2)+$C10*INDEX(Curve!$G$1:$G$100,4+$B10*24+1+V$8*2))</f>
        <v>0.34021824026036357</v>
      </c>
      <c r="W10" s="13">
        <f>$F10*MAX(0.001,(1-$C10)*INDEX(Curve!$G$1:$G$100,4+($B10-1)*24+1+W$8*2)+$C10*INDEX(Curve!$G$1:$G$100,4+$B10*24+1+W$8*2))</f>
        <v>0.3130370362137691</v>
      </c>
      <c r="X10" s="13">
        <f>$F10*MAX(0.001,(1-$C10)*INDEX(Curve!$G$1:$G$100,4+($B10-1)*24+1+X$8*2)+$C10*INDEX(Curve!$G$1:$G$100,4+$B10*24+1+X$8*2))</f>
        <v>0.28974407455255652</v>
      </c>
      <c r="Y10" s="13">
        <f>$F10*MAX(0.001,(1-$C10)*INDEX(Curve!$G$1:$G$100,4+($B10-1)*24+1+Y$8*2)+$C10*INDEX(Curve!$G$1:$G$100,4+$B10*24+1+Y$8*2))</f>
        <v>0.26957261651894449</v>
      </c>
      <c r="Z10" s="13">
        <f>$F10*MAX(0.001,(1-$C10)*INDEX(Curve!$G$1:$G$100,4+($B10-1)*24+1+Z$8*2)+$C10*INDEX(Curve!$G$1:$G$100,4+$B10*24+1+Z$8*2))</f>
        <v>0.25202988418759092</v>
      </c>
      <c r="AA10" s="13">
        <f>$F10*MAX(0.001,(1-$C10)*INDEX(Curve!$G$1:$G$100,4+($B10-1)*24+1+AA$8*2)+$C10*INDEX(Curve!$G$1:$G$100,4+$B10*24+1+AA$8*2))</f>
        <v>0.23398725137411647</v>
      </c>
      <c r="AB10" s="13">
        <f>$F10*MAX(0.001,(1-$C10)*INDEX(Curve!$G$1:$G$100,4+($B10-1)*24+1+AB$8*2)+$C10*INDEX(Curve!$G$1:$G$100,4+$B10*24+1+AB$8*2))</f>
        <v>0.21450578279349938</v>
      </c>
      <c r="AC10" s="13">
        <f>$F10*MAX(0.001,(1-$C10)*INDEX(Curve!$G$1:$G$100,4+($B10-1)*24+1+AC$8*2)+$C10*INDEX(Curve!$G$1:$G$100,4+$B10*24+1+AC$8*2))</f>
        <v>0.18468902711752563</v>
      </c>
      <c r="AD10" s="13">
        <f>$F10*MAX(0.001,(1-$C10)*INDEX(Curve!$G$1:$G$100,4+($B10-1)*24+1+AD$8*2)+$C10*INDEX(Curve!$G$1:$G$100,4+$B10*24+1+AD$8*2))</f>
        <v>0.12077505422366459</v>
      </c>
      <c r="AE10" s="18">
        <f t="array" ref="AE10">SUMPRODUCT(MAX(ISNUMBER(L10:AC10)*ISNUMBER(M10:AD10)*(L10:AC10&gt;=$B$5)*(M10:AD10&lt;$B$5)*(COLUMN(L10:AC10)-COLUMN(L10)+1)))</f>
        <v>15</v>
      </c>
      <c r="AF10" s="9">
        <f t="shared" si="4"/>
        <v>7.5</v>
      </c>
      <c r="AG10" s="9">
        <f t="shared" si="5"/>
        <v>8</v>
      </c>
      <c r="AH10" s="13">
        <f t="shared" si="6"/>
        <v>0.25202988418759092</v>
      </c>
      <c r="AI10" s="13">
        <f t="shared" si="7"/>
        <v>0.23398725137411647</v>
      </c>
      <c r="AJ10" s="18">
        <f t="shared" si="8"/>
        <v>16</v>
      </c>
    </row>
    <row r="11" spans="1:36" x14ac:dyDescent="0.25">
      <c r="A11" s="12">
        <v>700</v>
      </c>
      <c r="B11" s="18">
        <f>IFERROR(MIN(MATCH(A11,Parametri!$A$17:$A$19,1),2),1)</f>
        <v>1</v>
      </c>
      <c r="C11" s="13">
        <f>(A11-INDEX(Parametri!$A$17:$A$19,B11))/(INDEX(Parametri!$A$17:$A$19,B11+1)-INDEX(Parametri!$A$17:$A$19,B11))</f>
        <v>0.4</v>
      </c>
      <c r="D11" s="13">
        <f>(1-C11)*INDEX(Riepilogo!$C$5:$C$7,B11)+C11*INDEX(Riepilogo!$C$5:$C$7,B11+1)</f>
        <v>0.51673520509719406</v>
      </c>
      <c r="E11" s="14">
        <f>A11/1000*Parametri!$B$4*D11</f>
        <v>1.4468585742721432E-2</v>
      </c>
      <c r="F11" s="23">
        <f t="shared" si="0"/>
        <v>2.8798023115443403</v>
      </c>
      <c r="G11" s="13">
        <f t="shared" si="1"/>
        <v>8.6811514456328592E-2</v>
      </c>
      <c r="H11" s="13">
        <f>(1-C11)*INDEX(Riepilogo!$F$5:$F$7,B11)+C11*INDEX(Riepilogo!$F$5:$F$7,B11+1)</f>
        <v>0.13500000000000001</v>
      </c>
      <c r="I11" s="24">
        <f t="shared" si="2"/>
        <v>6.9508357272110741</v>
      </c>
      <c r="J11" s="23">
        <f t="shared" si="3"/>
        <v>0.20674869422043152</v>
      </c>
      <c r="K11" s="5" t="str">
        <f>IF(OR(A11&lt;MIN(Parametri!$A$17:$A$19),A11&gt;MAX(Parametri!$A$17:$A$19)),"L fuori 500–1500 mm: estrapolazione",IF(OR($B$4&lt;MAX(INDEX(Riepilogo!$H$5:$H$7,B11),INDEX(Riepilogo!$H$5:$H$7,B11+1))*0.99,$B$4&gt;MIN(INDEX(Riepilogo!$I$5:$I$7,B11),INDEX(Riepilogo!$I$5:$I$7,B11+1))*1.01),"Q fuori dal campo simulato (estrapolazione)",IF(NOT(ISNUMBER(I11)),"vₜ non raggiunta / &lt; 0,5 m",IF(G11&gt;H11,"vₜ nel plateau/transizione: L poco significativo",IF(I11&gt;Parametri!$B$7,"Oltre x max: troncato dal pavimento","OK")))))</f>
        <v>OK</v>
      </c>
      <c r="L11" s="13">
        <f>$F11*MAX(0.001,(1-$C11)*INDEX(Curve!$G$1:$G$100,4+($B11-1)*24+1+L$8*2)+$C11*INDEX(Curve!$G$1:$G$100,4+$B11*24+1+L$8*2))</f>
        <v>0.64648716558936459</v>
      </c>
      <c r="M11" s="13">
        <f>$F11*MAX(0.001,(1-$C11)*INDEX(Curve!$G$1:$G$100,4+($B11-1)*24+1+M$8*2)+$C11*INDEX(Curve!$G$1:$G$100,4+$B11*24+1+M$8*2))</f>
        <v>0.61630646090873964</v>
      </c>
      <c r="N11" s="13">
        <f>$F11*MAX(0.001,(1-$C11)*INDEX(Curve!$G$1:$G$100,4+($B11-1)*24+1+N$8*2)+$C11*INDEX(Curve!$G$1:$G$100,4+$B11*24+1+N$8*2))</f>
        <v>0.5816943215233199</v>
      </c>
      <c r="O11" s="13">
        <f>$F11*MAX(0.001,(1-$C11)*INDEX(Curve!$G$1:$G$100,4+($B11-1)*24+1+O$8*2)+$C11*INDEX(Curve!$G$1:$G$100,4+$B11*24+1+O$8*2))</f>
        <v>0.55191607276875532</v>
      </c>
      <c r="P11" s="13">
        <f>$F11*MAX(0.001,(1-$C11)*INDEX(Curve!$G$1:$G$100,4+($B11-1)*24+1+P$8*2)+$C11*INDEX(Curve!$G$1:$G$100,4+$B11*24+1+P$8*2))</f>
        <v>0.52145723903580432</v>
      </c>
      <c r="Q11" s="13">
        <f>$F11*MAX(0.001,(1-$C11)*INDEX(Curve!$G$1:$G$100,4+($B11-1)*24+1+Q$8*2)+$C11*INDEX(Curve!$G$1:$G$100,4+$B11*24+1+Q$8*2))</f>
        <v>0.48384315553704604</v>
      </c>
      <c r="R11" s="13">
        <f>$F11*MAX(0.001,(1-$C11)*INDEX(Curve!$G$1:$G$100,4+($B11-1)*24+1+R$8*2)+$C11*INDEX(Curve!$G$1:$G$100,4+$B11*24+1+R$8*2))</f>
        <v>0.44340597315167574</v>
      </c>
      <c r="S11" s="13">
        <f>$F11*MAX(0.001,(1-$C11)*INDEX(Curve!$G$1:$G$100,4+($B11-1)*24+1+S$8*2)+$C11*INDEX(Curve!$G$1:$G$100,4+$B11*24+1+S$8*2))</f>
        <v>0.40853399352902658</v>
      </c>
      <c r="T11" s="13">
        <f>$F11*MAX(0.001,(1-$C11)*INDEX(Curve!$G$1:$G$100,4+($B11-1)*24+1+T$8*2)+$C11*INDEX(Curve!$G$1:$G$100,4+$B11*24+1+T$8*2))</f>
        <v>0.37443530306355094</v>
      </c>
      <c r="U11" s="13">
        <f>$F11*MAX(0.001,(1-$C11)*INDEX(Curve!$G$1:$G$100,4+($B11-1)*24+1+U$8*2)+$C11*INDEX(Curve!$G$1:$G$100,4+$B11*24+1+U$8*2))</f>
        <v>0.34321546398544978</v>
      </c>
      <c r="V11" s="13">
        <f>$F11*MAX(0.001,(1-$C11)*INDEX(Curve!$G$1:$G$100,4+($B11-1)*24+1+V$8*2)+$C11*INDEX(Curve!$G$1:$G$100,4+$B11*24+1+V$8*2))</f>
        <v>0.31345307834762187</v>
      </c>
      <c r="W11" s="13">
        <f>$F11*MAX(0.001,(1-$C11)*INDEX(Curve!$G$1:$G$100,4+($B11-1)*24+1+W$8*2)+$C11*INDEX(Curve!$G$1:$G$100,4+$B11*24+1+W$8*2))</f>
        <v>0.28854408400823089</v>
      </c>
      <c r="X11" s="13">
        <f>$F11*MAX(0.001,(1-$C11)*INDEX(Curve!$G$1:$G$100,4+($B11-1)*24+1+X$8*2)+$C11*INDEX(Curve!$G$1:$G$100,4+$B11*24+1+X$8*2))</f>
        <v>0.26703342822469261</v>
      </c>
      <c r="Y11" s="13">
        <f>$F11*MAX(0.001,(1-$C11)*INDEX(Curve!$G$1:$G$100,4+($B11-1)*24+1+Y$8*2)+$C11*INDEX(Curve!$G$1:$G$100,4+$B11*24+1+Y$8*2))</f>
        <v>0.24827405639620606</v>
      </c>
      <c r="Z11" s="13">
        <f>$F11*MAX(0.001,(1-$C11)*INDEX(Curve!$G$1:$G$100,4+($B11-1)*24+1+Z$8*2)+$C11*INDEX(Curve!$G$1:$G$100,4+$B11*24+1+Z$8*2))</f>
        <v>0.23194394551455186</v>
      </c>
      <c r="AA11" s="13">
        <f>$F11*MAX(0.001,(1-$C11)*INDEX(Curve!$G$1:$G$100,4+($B11-1)*24+1+AA$8*2)+$C11*INDEX(Curve!$G$1:$G$100,4+$B11*24+1+AA$8*2))</f>
        <v>0.21477654047516187</v>
      </c>
      <c r="AB11" s="13">
        <f>$F11*MAX(0.001,(1-$C11)*INDEX(Curve!$G$1:$G$100,4+($B11-1)*24+1+AB$8*2)+$C11*INDEX(Curve!$G$1:$G$100,4+$B11*24+1+AB$8*2))</f>
        <v>0.19724940426617701</v>
      </c>
      <c r="AC11" s="13">
        <f>$F11*MAX(0.001,(1-$C11)*INDEX(Curve!$G$1:$G$100,4+($B11-1)*24+1+AC$8*2)+$C11*INDEX(Curve!$G$1:$G$100,4+$B11*24+1+AC$8*2))</f>
        <v>0.16949194353249372</v>
      </c>
      <c r="AD11" s="13">
        <f>$F11*MAX(0.001,(1-$C11)*INDEX(Curve!$G$1:$G$100,4+($B11-1)*24+1+AD$8*2)+$C11*INDEX(Curve!$G$1:$G$100,4+$B11*24+1+AD$8*2))</f>
        <v>0.10964836319711345</v>
      </c>
      <c r="AE11" s="18">
        <f t="array" ref="AE11">SUMPRODUCT(MAX(ISNUMBER(L11:AC11)*ISNUMBER(M11:AD11)*(L11:AC11&gt;=$B$5)*(M11:AD11&lt;$B$5)*(COLUMN(L11:AC11)-COLUMN(L11)+1)))</f>
        <v>13</v>
      </c>
      <c r="AF11" s="9">
        <f t="shared" si="4"/>
        <v>6.5</v>
      </c>
      <c r="AG11" s="9">
        <f t="shared" si="5"/>
        <v>7</v>
      </c>
      <c r="AH11" s="13">
        <f t="shared" si="6"/>
        <v>0.26703342822469261</v>
      </c>
      <c r="AI11" s="13">
        <f t="shared" si="7"/>
        <v>0.24827405639620606</v>
      </c>
      <c r="AJ11" s="18">
        <f t="shared" si="8"/>
        <v>16</v>
      </c>
    </row>
    <row r="12" spans="1:36" x14ac:dyDescent="0.25">
      <c r="A12" s="12">
        <v>800</v>
      </c>
      <c r="B12" s="18">
        <f>IFERROR(MIN(MATCH(A12,Parametri!$A$17:$A$19,1),2),1)</f>
        <v>1</v>
      </c>
      <c r="C12" s="13">
        <f>(A12-INDEX(Parametri!$A$17:$A$19,B12))/(INDEX(Parametri!$A$17:$A$19,B12+1)-INDEX(Parametri!$A$17:$A$19,B12))</f>
        <v>0.6</v>
      </c>
      <c r="D12" s="13">
        <f>(1-C12)*INDEX(Riepilogo!$C$5:$C$7,B12)+C12*INDEX(Riepilogo!$C$5:$C$7,B12+1)</f>
        <v>0.52168722613642604</v>
      </c>
      <c r="E12" s="14">
        <f>A12/1000*Parametri!$B$4*D12</f>
        <v>1.6693991236365634E-2</v>
      </c>
      <c r="F12" s="23">
        <f t="shared" si="0"/>
        <v>2.4959080232354136</v>
      </c>
      <c r="G12" s="13">
        <f t="shared" si="1"/>
        <v>0.1001639474181938</v>
      </c>
      <c r="H12" s="13">
        <f>(1-C12)*INDEX(Riepilogo!$F$5:$F$7,B12)+C12*INDEX(Riepilogo!$F$5:$F$7,B12+1)</f>
        <v>0.14000000000000001</v>
      </c>
      <c r="I12" s="24">
        <f t="shared" si="2"/>
        <v>6.491689856892723</v>
      </c>
      <c r="J12" s="23">
        <f t="shared" si="3"/>
        <v>0.19278523962439836</v>
      </c>
      <c r="K12" s="5" t="str">
        <f>IF(OR(A12&lt;MIN(Parametri!$A$17:$A$19),A12&gt;MAX(Parametri!$A$17:$A$19)),"L fuori 500–1500 mm: estrapolazione",IF(OR($B$4&lt;MAX(INDEX(Riepilogo!$H$5:$H$7,B12),INDEX(Riepilogo!$H$5:$H$7,B12+1))*0.99,$B$4&gt;MIN(INDEX(Riepilogo!$I$5:$I$7,B12),INDEX(Riepilogo!$I$5:$I$7,B12+1))*1.01),"Q fuori dal campo simulato (estrapolazione)",IF(NOT(ISNUMBER(I12)),"vₜ non raggiunta / &lt; 0,5 m",IF(G12&gt;H12,"vₜ nel plateau/transizione: L poco significativo",IF(I12&gt;Parametri!$B$7,"Oltre x max: troncato dal pavimento","OK")))))</f>
        <v>OK</v>
      </c>
      <c r="L12" s="13">
        <f>$F12*MAX(0.001,(1-$C12)*INDEX(Curve!$G$1:$G$100,4+($B12-1)*24+1+L$8*2)+$C12*INDEX(Curve!$G$1:$G$100,4+$B12*24+1+L$8*2))</f>
        <v>0.55624388686085713</v>
      </c>
      <c r="M12" s="13">
        <f>$F12*MAX(0.001,(1-$C12)*INDEX(Curve!$G$1:$G$100,4+($B12-1)*24+1+M$8*2)+$C12*INDEX(Curve!$G$1:$G$100,4+$B12*24+1+M$8*2))</f>
        <v>0.53559483959109178</v>
      </c>
      <c r="N12" s="13">
        <f>$F12*MAX(0.001,(1-$C12)*INDEX(Curve!$G$1:$G$100,4+($B12-1)*24+1+N$8*2)+$C12*INDEX(Curve!$G$1:$G$100,4+$B12*24+1+N$8*2))</f>
        <v>0.51605040766053956</v>
      </c>
      <c r="O12" s="13">
        <f>$F12*MAX(0.001,(1-$C12)*INDEX(Curve!$G$1:$G$100,4+($B12-1)*24+1+O$8*2)+$C12*INDEX(Curve!$G$1:$G$100,4+$B12*24+1+O$8*2))</f>
        <v>0.49626881720052268</v>
      </c>
      <c r="P12" s="13">
        <f>$F12*MAX(0.001,(1-$C12)*INDEX(Curve!$G$1:$G$100,4+($B12-1)*24+1+P$8*2)+$C12*INDEX(Curve!$G$1:$G$100,4+$B12*24+1+P$8*2))</f>
        <v>0.47296623116080044</v>
      </c>
      <c r="Q12" s="13">
        <f>$F12*MAX(0.001,(1-$C12)*INDEX(Curve!$G$1:$G$100,4+($B12-1)*24+1+Q$8*2)+$C12*INDEX(Curve!$G$1:$G$100,4+$B12*24+1+Q$8*2))</f>
        <v>0.44352460300322383</v>
      </c>
      <c r="R12" s="13">
        <f>$F12*MAX(0.001,(1-$C12)*INDEX(Curve!$G$1:$G$100,4+($B12-1)*24+1+R$8*2)+$C12*INDEX(Curve!$G$1:$G$100,4+$B12*24+1+R$8*2))</f>
        <v>0.40890603551508081</v>
      </c>
      <c r="S12" s="13">
        <f>$F12*MAX(0.001,(1-$C12)*INDEX(Curve!$G$1:$G$100,4+($B12-1)*24+1+S$8*2)+$C12*INDEX(Curve!$G$1:$G$100,4+$B12*24+1+S$8*2))</f>
        <v>0.37795435095482977</v>
      </c>
      <c r="T12" s="13">
        <f>$F12*MAX(0.001,(1-$C12)*INDEX(Curve!$G$1:$G$100,4+($B12-1)*24+1+T$8*2)+$C12*INDEX(Curve!$G$1:$G$100,4+$B12*24+1+T$8*2))</f>
        <v>0.34877723624122647</v>
      </c>
      <c r="U12" s="13">
        <f>$F12*MAX(0.001,(1-$C12)*INDEX(Curve!$G$1:$G$100,4+($B12-1)*24+1+U$8*2)+$C12*INDEX(Curve!$G$1:$G$100,4+$B12*24+1+U$8*2))</f>
        <v>0.32069853662395992</v>
      </c>
      <c r="V12" s="13">
        <f>$F12*MAX(0.001,(1-$C12)*INDEX(Curve!$G$1:$G$100,4+($B12-1)*24+1+V$8*2)+$C12*INDEX(Curve!$G$1:$G$100,4+$B12*24+1+V$8*2))</f>
        <v>0.29301645298149365</v>
      </c>
      <c r="W12" s="13">
        <f>$F12*MAX(0.001,(1-$C12)*INDEX(Curve!$G$1:$G$100,4+($B12-1)*24+1+W$8*2)+$C12*INDEX(Curve!$G$1:$G$100,4+$B12*24+1+W$8*2))</f>
        <v>0.26983837414064044</v>
      </c>
      <c r="X12" s="13">
        <f>$F12*MAX(0.001,(1-$C12)*INDEX(Curve!$G$1:$G$100,4+($B12-1)*24+1+X$8*2)+$C12*INDEX(Curve!$G$1:$G$100,4+$B12*24+1+X$8*2))</f>
        <v>0.24969011694034268</v>
      </c>
      <c r="Y12" s="13">
        <f>$F12*MAX(0.001,(1-$C12)*INDEX(Curve!$G$1:$G$100,4+($B12-1)*24+1+Y$8*2)+$C12*INDEX(Curve!$G$1:$G$100,4+$B12*24+1+Y$8*2))</f>
        <v>0.23201422128942714</v>
      </c>
      <c r="Z12" s="13">
        <f>$F12*MAX(0.001,(1-$C12)*INDEX(Curve!$G$1:$G$100,4+($B12-1)*24+1+Z$8*2)+$C12*INDEX(Curve!$G$1:$G$100,4+$B12*24+1+Z$8*2))</f>
        <v>0.21661506326375843</v>
      </c>
      <c r="AA12" s="13">
        <f>$F12*MAX(0.001,(1-$C12)*INDEX(Curve!$G$1:$G$100,4+($B12-1)*24+1+AA$8*2)+$C12*INDEX(Curve!$G$1:$G$100,4+$B12*24+1+AA$8*2))</f>
        <v>0.20013235676132338</v>
      </c>
      <c r="AB12" s="13">
        <f>$F12*MAX(0.001,(1-$C12)*INDEX(Curve!$G$1:$G$100,4+($B12-1)*24+1+AB$8*2)+$C12*INDEX(Curve!$G$1:$G$100,4+$B12*24+1+AB$8*2))</f>
        <v>0.18408473640214845</v>
      </c>
      <c r="AC12" s="13">
        <f>$F12*MAX(0.001,(1-$C12)*INDEX(Curve!$G$1:$G$100,4+($B12-1)*24+1+AC$8*2)+$C12*INDEX(Curve!$G$1:$G$100,4+$B12*24+1+AC$8*2))</f>
        <v>0.15790829631249262</v>
      </c>
      <c r="AD12" s="13">
        <f>$F12*MAX(0.001,(1-$C12)*INDEX(Curve!$G$1:$G$100,4+($B12-1)*24+1+AD$8*2)+$C12*INDEX(Curve!$G$1:$G$100,4+$B12*24+1+AD$8*2))</f>
        <v>0.10120156777871628</v>
      </c>
      <c r="AE12" s="18">
        <f t="array" ref="AE12">SUMPRODUCT(MAX(ISNUMBER(L12:AC12)*ISNUMBER(M12:AD12)*(L12:AC12&gt;=$B$5)*(M12:AD12&lt;$B$5)*(COLUMN(L12:AC12)-COLUMN(L12)+1)))</f>
        <v>12</v>
      </c>
      <c r="AF12" s="9">
        <f t="shared" si="4"/>
        <v>6</v>
      </c>
      <c r="AG12" s="9">
        <f t="shared" si="5"/>
        <v>6.5</v>
      </c>
      <c r="AH12" s="13">
        <f t="shared" si="6"/>
        <v>0.26983837414064044</v>
      </c>
      <c r="AI12" s="13">
        <f t="shared" si="7"/>
        <v>0.24969011694034268</v>
      </c>
      <c r="AJ12" s="18">
        <f t="shared" si="8"/>
        <v>16</v>
      </c>
    </row>
    <row r="13" spans="1:36" x14ac:dyDescent="0.25">
      <c r="A13" s="12">
        <v>900</v>
      </c>
      <c r="B13" s="18">
        <f>IFERROR(MIN(MATCH(A13,Parametri!$A$17:$A$19,1),2),1)</f>
        <v>1</v>
      </c>
      <c r="C13" s="13">
        <f>(A13-INDEX(Parametri!$A$17:$A$19,B13))/(INDEX(Parametri!$A$17:$A$19,B13+1)-INDEX(Parametri!$A$17:$A$19,B13))</f>
        <v>0.8</v>
      </c>
      <c r="D13" s="13">
        <f>(1-C13)*INDEX(Riepilogo!$C$5:$C$7,B13)+C13*INDEX(Riepilogo!$C$5:$C$7,B13+1)</f>
        <v>0.52663924717565813</v>
      </c>
      <c r="E13" s="14">
        <f>A13/1000*Parametri!$B$4*D13</f>
        <v>1.8959012898323694E-2</v>
      </c>
      <c r="F13" s="23">
        <f t="shared" si="0"/>
        <v>2.1977234199967617</v>
      </c>
      <c r="G13" s="13">
        <f t="shared" si="1"/>
        <v>0.11375407738994217</v>
      </c>
      <c r="H13" s="13">
        <f>(1-C13)*INDEX(Riepilogo!$F$5:$F$7,B13)+C13*INDEX(Riepilogo!$F$5:$F$7,B13+1)</f>
        <v>0.14499999999999999</v>
      </c>
      <c r="I13" s="24">
        <f t="shared" si="2"/>
        <v>6.1236148131745294</v>
      </c>
      <c r="J13" s="23">
        <f t="shared" si="3"/>
        <v>0.18172609294492881</v>
      </c>
      <c r="K13" s="5" t="str">
        <f>IF(OR(A13&lt;MIN(Parametri!$A$17:$A$19),A13&gt;MAX(Parametri!$A$17:$A$19)),"L fuori 500–1500 mm: estrapolazione",IF(OR($B$4&lt;MAX(INDEX(Riepilogo!$H$5:$H$7,B13),INDEX(Riepilogo!$H$5:$H$7,B13+1))*0.99,$B$4&gt;MIN(INDEX(Riepilogo!$I$5:$I$7,B13),INDEX(Riepilogo!$I$5:$I$7,B13+1))*1.01),"Q fuori dal campo simulato (estrapolazione)",IF(NOT(ISNUMBER(I13)),"vₜ non raggiunta / &lt; 0,5 m",IF(G13&gt;H13,"vₜ nel plateau/transizione: L poco significativo",IF(I13&gt;Parametri!$B$7,"Oltre x max: troncato dal pavimento","OK")))))</f>
        <v>OK</v>
      </c>
      <c r="L13" s="13">
        <f>$F13*MAX(0.001,(1-$C13)*INDEX(Curve!$G$1:$G$100,4+($B13-1)*24+1+L$8*2)+$C13*INDEX(Curve!$G$1:$G$100,4+$B13*24+1+L$8*2))</f>
        <v>0.48621234700413024</v>
      </c>
      <c r="M13" s="13">
        <f>$F13*MAX(0.001,(1-$C13)*INDEX(Curve!$G$1:$G$100,4+($B13-1)*24+1+M$8*2)+$C13*INDEX(Curve!$G$1:$G$100,4+$B13*24+1+M$8*2))</f>
        <v>0.47288053926552698</v>
      </c>
      <c r="N13" s="13">
        <f>$F13*MAX(0.001,(1-$C13)*INDEX(Curve!$G$1:$G$100,4+($B13-1)*24+1+N$8*2)+$C13*INDEX(Curve!$G$1:$G$100,4+$B13*24+1+N$8*2))</f>
        <v>0.46487587968152455</v>
      </c>
      <c r="O13" s="13">
        <f>$F13*MAX(0.001,(1-$C13)*INDEX(Curve!$G$1:$G$100,4+($B13-1)*24+1+O$8*2)+$C13*INDEX(Curve!$G$1:$G$100,4+$B13*24+1+O$8*2))</f>
        <v>0.45276458193518532</v>
      </c>
      <c r="P13" s="13">
        <f>$F13*MAX(0.001,(1-$C13)*INDEX(Curve!$G$1:$G$100,4+($B13-1)*24+1+P$8*2)+$C13*INDEX(Curve!$G$1:$G$100,4+$B13*24+1+P$8*2))</f>
        <v>0.43497198436778312</v>
      </c>
      <c r="Q13" s="13">
        <f>$F13*MAX(0.001,(1-$C13)*INDEX(Curve!$G$1:$G$100,4+($B13-1)*24+1+Q$8*2)+$C13*INDEX(Curve!$G$1:$G$100,4+$B13*24+1+Q$8*2))</f>
        <v>0.41182869230868163</v>
      </c>
      <c r="R13" s="13">
        <f>$F13*MAX(0.001,(1-$C13)*INDEX(Curve!$G$1:$G$100,4+($B13-1)*24+1+R$8*2)+$C13*INDEX(Curve!$G$1:$G$100,4+$B13*24+1+R$8*2))</f>
        <v>0.38172294328844381</v>
      </c>
      <c r="S13" s="13">
        <f>$F13*MAX(0.001,(1-$C13)*INDEX(Curve!$G$1:$G$100,4+($B13-1)*24+1+S$8*2)+$C13*INDEX(Curve!$G$1:$G$100,4+$B13*24+1+S$8*2))</f>
        <v>0.35382771070187835</v>
      </c>
      <c r="T13" s="13">
        <f>$F13*MAX(0.001,(1-$C13)*INDEX(Curve!$G$1:$G$100,4+($B13-1)*24+1+T$8*2)+$C13*INDEX(Curve!$G$1:$G$100,4+$B13*24+1+T$8*2))</f>
        <v>0.32846746802854182</v>
      </c>
      <c r="U13" s="13">
        <f>$F13*MAX(0.001,(1-$C13)*INDEX(Curve!$G$1:$G$100,4+($B13-1)*24+1+U$8*2)+$C13*INDEX(Curve!$G$1:$G$100,4+$B13*24+1+U$8*2))</f>
        <v>0.30284460386846401</v>
      </c>
      <c r="V13" s="13">
        <f>$F13*MAX(0.001,(1-$C13)*INDEX(Curve!$G$1:$G$100,4+($B13-1)*24+1+V$8*2)+$C13*INDEX(Curve!$G$1:$G$100,4+$B13*24+1+V$8*2))</f>
        <v>0.27680794797283265</v>
      </c>
      <c r="W13" s="13">
        <f>$F13*MAX(0.001,(1-$C13)*INDEX(Curve!$G$1:$G$100,4+($B13-1)*24+1+W$8*2)+$C13*INDEX(Curve!$G$1:$G$100,4+$B13*24+1+W$8*2))</f>
        <v>0.25499925086697717</v>
      </c>
      <c r="X13" s="13">
        <f>$F13*MAX(0.001,(1-$C13)*INDEX(Curve!$G$1:$G$100,4+($B13-1)*24+1+X$8*2)+$C13*INDEX(Curve!$G$1:$G$100,4+$B13*24+1+X$8*2))</f>
        <v>0.23593281040343944</v>
      </c>
      <c r="Y13" s="13">
        <f>$F13*MAX(0.001,(1-$C13)*INDEX(Curve!$G$1:$G$100,4+($B13-1)*24+1+Y$8*2)+$C13*INDEX(Curve!$G$1:$G$100,4+$B13*24+1+Y$8*2))</f>
        <v>0.21912070546359178</v>
      </c>
      <c r="Z13" s="13">
        <f>$F13*MAX(0.001,(1-$C13)*INDEX(Curve!$G$1:$G$100,4+($B13-1)*24+1+Z$8*2)+$C13*INDEX(Curve!$G$1:$G$100,4+$B13*24+1+Z$8*2))</f>
        <v>0.20446418245436623</v>
      </c>
      <c r="AA13" s="13">
        <f>$F13*MAX(0.001,(1-$C13)*INDEX(Curve!$G$1:$G$100,4+($B13-1)*24+1+AA$8*2)+$C13*INDEX(Curve!$G$1:$G$100,4+$B13*24+1+AA$8*2))</f>
        <v>0.18853844593879432</v>
      </c>
      <c r="AB13" s="13">
        <f>$F13*MAX(0.001,(1-$C13)*INDEX(Curve!$G$1:$G$100,4+($B13-1)*24+1+AB$8*2)+$C13*INDEX(Curve!$G$1:$G$100,4+$B13*24+1+AB$8*2))</f>
        <v>0.1736534518871222</v>
      </c>
      <c r="AC13" s="13">
        <f>$F13*MAX(0.001,(1-$C13)*INDEX(Curve!$G$1:$G$100,4+($B13-1)*24+1+AC$8*2)+$C13*INDEX(Curve!$G$1:$G$100,4+$B13*24+1+AC$8*2))</f>
        <v>0.14873826643840224</v>
      </c>
      <c r="AD13" s="13">
        <f>$F13*MAX(0.001,(1-$C13)*INDEX(Curve!$G$1:$G$100,4+($B13-1)*24+1+AD$8*2)+$C13*INDEX(Curve!$G$1:$G$100,4+$B13*24+1+AD$8*2))</f>
        <v>9.454392147708765E-2</v>
      </c>
      <c r="AE13" s="18">
        <f t="array" ref="AE13">SUMPRODUCT(MAX(ISNUMBER(L13:AC13)*ISNUMBER(M13:AD13)*(L13:AC13&gt;=$B$5)*(M13:AD13&lt;$B$5)*(COLUMN(L13:AC13)-COLUMN(L13)+1)))</f>
        <v>12</v>
      </c>
      <c r="AF13" s="9">
        <f t="shared" si="4"/>
        <v>6</v>
      </c>
      <c r="AG13" s="9">
        <f t="shared" si="5"/>
        <v>6.5</v>
      </c>
      <c r="AH13" s="13">
        <f t="shared" si="6"/>
        <v>0.25499925086697717</v>
      </c>
      <c r="AI13" s="13">
        <f t="shared" si="7"/>
        <v>0.23593281040343944</v>
      </c>
      <c r="AJ13" s="18">
        <f t="shared" si="8"/>
        <v>16</v>
      </c>
    </row>
    <row r="14" spans="1:36" x14ac:dyDescent="0.25">
      <c r="A14" s="12">
        <v>1000</v>
      </c>
      <c r="B14" s="18">
        <f>IFERROR(MIN(MATCH(A14,Parametri!$A$17:$A$19,1),2),1)</f>
        <v>2</v>
      </c>
      <c r="C14" s="13">
        <f>(A14-INDEX(Parametri!$A$17:$A$19,B14))/(INDEX(Parametri!$A$17:$A$19,B14+1)-INDEX(Parametri!$A$17:$A$19,B14))</f>
        <v>0</v>
      </c>
      <c r="D14" s="13">
        <f>(1-C14)*INDEX(Riepilogo!$C$5:$C$7,B14)+C14*INDEX(Riepilogo!$C$5:$C$7,B14+1)</f>
        <v>0.53159126821489022</v>
      </c>
      <c r="E14" s="14">
        <f>A14/1000*Parametri!$B$4*D14</f>
        <v>2.1263650728595609E-2</v>
      </c>
      <c r="F14" s="23">
        <f t="shared" si="0"/>
        <v>1.9595255395458897</v>
      </c>
      <c r="G14" s="13">
        <f t="shared" si="1"/>
        <v>0.12758190437157366</v>
      </c>
      <c r="H14" s="13">
        <f>(1-C14)*INDEX(Riepilogo!$F$5:$F$7,B14)+C14*INDEX(Riepilogo!$F$5:$F$7,B14+1)</f>
        <v>0.15</v>
      </c>
      <c r="I14" s="24">
        <f t="shared" si="2"/>
        <v>5.8181706266531217</v>
      </c>
      <c r="J14" s="23">
        <f t="shared" si="3"/>
        <v>0.17270497343337859</v>
      </c>
      <c r="K14" s="5" t="str">
        <f>IF(OR(A14&lt;MIN(Parametri!$A$17:$A$19),A14&gt;MAX(Parametri!$A$17:$A$19)),"L fuori 500–1500 mm: estrapolazione",IF(OR($B$4&lt;MAX(INDEX(Riepilogo!$H$5:$H$7,B14),INDEX(Riepilogo!$H$5:$H$7,B14+1))*0.99,$B$4&gt;MIN(INDEX(Riepilogo!$I$5:$I$7,B14),INDEX(Riepilogo!$I$5:$I$7,B14+1))*1.01),"Q fuori dal campo simulato (estrapolazione)",IF(NOT(ISNUMBER(I14)),"vₜ non raggiunta / &lt; 0,5 m",IF(G14&gt;H14,"vₜ nel plateau/transizione: L poco significativo",IF(I14&gt;Parametri!$B$7,"Oltre x max: troncato dal pavimento","OK")))))</f>
        <v>OK</v>
      </c>
      <c r="L14" s="13">
        <f>$F14*MAX(0.001,(1-$C14)*INDEX(Curve!$G$1:$G$100,4+($B14-1)*24+1+L$8*2)+$C14*INDEX(Curve!$G$1:$G$100,4+$B14*24+1+L$8*2))</f>
        <v>0.43032505850505565</v>
      </c>
      <c r="M14" s="13">
        <f>$F14*MAX(0.001,(1-$C14)*INDEX(Curve!$G$1:$G$100,4+($B14-1)*24+1+M$8*2)+$C14*INDEX(Curve!$G$1:$G$100,4+$B14*24+1+M$8*2))</f>
        <v>0.42276281918688952</v>
      </c>
      <c r="N14" s="13">
        <f>$F14*MAX(0.001,(1-$C14)*INDEX(Curve!$G$1:$G$100,4+($B14-1)*24+1+N$8*2)+$C14*INDEX(Curve!$G$1:$G$100,4+$B14*24+1+N$8*2))</f>
        <v>0.42383289351510434</v>
      </c>
      <c r="O14" s="13">
        <f>$F14*MAX(0.001,(1-$C14)*INDEX(Curve!$G$1:$G$100,4+($B14-1)*24+1+O$8*2)+$C14*INDEX(Curve!$G$1:$G$100,4+$B14*24+1+O$8*2))</f>
        <v>0.41776607064248306</v>
      </c>
      <c r="P14" s="13">
        <f>$F14*MAX(0.001,(1-$C14)*INDEX(Curve!$G$1:$G$100,4+($B14-1)*24+1+P$8*2)+$C14*INDEX(Curve!$G$1:$G$100,4+$B14*24+1+P$8*2))</f>
        <v>0.40433248813756534</v>
      </c>
      <c r="Q14" s="13">
        <f>$F14*MAX(0.001,(1-$C14)*INDEX(Curve!$G$1:$G$100,4+($B14-1)*24+1+Q$8*2)+$C14*INDEX(Curve!$G$1:$G$100,4+$B14*24+1+Q$8*2))</f>
        <v>0.38617710796334781</v>
      </c>
      <c r="R14" s="13">
        <f>$F14*MAX(0.001,(1-$C14)*INDEX(Curve!$G$1:$G$100,4+($B14-1)*24+1+R$8*2)+$C14*INDEX(Curve!$G$1:$G$100,4+$B14*24+1+R$8*2))</f>
        <v>0.35967044112103524</v>
      </c>
      <c r="S14" s="13">
        <f>$F14*MAX(0.001,(1-$C14)*INDEX(Curve!$G$1:$G$100,4+($B14-1)*24+1+S$8*2)+$C14*INDEX(Curve!$G$1:$G$100,4+$B14*24+1+S$8*2))</f>
        <v>0.33422678589330396</v>
      </c>
      <c r="T14" s="13">
        <f>$F14*MAX(0.001,(1-$C14)*INDEX(Curve!$G$1:$G$100,4+($B14-1)*24+1+T$8*2)+$C14*INDEX(Curve!$G$1:$G$100,4+$B14*24+1+T$8*2))</f>
        <v>0.31191039983983421</v>
      </c>
      <c r="U14" s="13">
        <f>$F14*MAX(0.001,(1-$C14)*INDEX(Curve!$G$1:$G$100,4+($B14-1)*24+1+U$8*2)+$C14*INDEX(Curve!$G$1:$G$100,4+$B14*24+1+U$8*2))</f>
        <v>0.2882633382282348</v>
      </c>
      <c r="V14" s="13">
        <f>$F14*MAX(0.001,(1-$C14)*INDEX(Curve!$G$1:$G$100,4+($B14-1)*24+1+V$8*2)+$C14*INDEX(Curve!$G$1:$G$100,4+$B14*24+1+V$8*2))</f>
        <v>0.26356700856782039</v>
      </c>
      <c r="W14" s="13">
        <f>$F14*MAX(0.001,(1-$C14)*INDEX(Curve!$G$1:$G$100,4+($B14-1)*24+1+W$8*2)+$C14*INDEX(Curve!$G$1:$G$100,4+$B14*24+1+W$8*2))</f>
        <v>0.24287403820152415</v>
      </c>
      <c r="X14" s="13">
        <f>$F14*MAX(0.001,(1-$C14)*INDEX(Curve!$G$1:$G$100,4+($B14-1)*24+1+X$8*2)+$C14*INDEX(Curve!$G$1:$G$100,4+$B14*24+1+X$8*2))</f>
        <v>0.22469244948228601</v>
      </c>
      <c r="Y14" s="13">
        <f>$F14*MAX(0.001,(1-$C14)*INDEX(Curve!$G$1:$G$100,4+($B14-1)*24+1+Y$8*2)+$C14*INDEX(Curve!$G$1:$G$100,4+$B14*24+1+Y$8*2))</f>
        <v>0.20858982505132101</v>
      </c>
      <c r="Z14" s="13">
        <f>$F14*MAX(0.001,(1-$C14)*INDEX(Curve!$G$1:$G$100,4+($B14-1)*24+1+Z$8*2)+$C14*INDEX(Curve!$G$1:$G$100,4+$B14*24+1+Z$8*2))</f>
        <v>0.19454364773975583</v>
      </c>
      <c r="AA14" s="13">
        <f>$F14*MAX(0.001,(1-$C14)*INDEX(Curve!$G$1:$G$100,4+($B14-1)*24+1+AA$8*2)+$C14*INDEX(Curve!$G$1:$G$100,4+$B14*24+1+AA$8*2))</f>
        <v>0.17908485685194397</v>
      </c>
      <c r="AB14" s="13">
        <f>$F14*MAX(0.001,(1-$C14)*INDEX(Curve!$G$1:$G$100,4+($B14-1)*24+1+AB$8*2)+$C14*INDEX(Curve!$G$1:$G$100,4+$B14*24+1+AB$8*2))</f>
        <v>0.16514036732950715</v>
      </c>
      <c r="AC14" s="13">
        <f>$F14*MAX(0.001,(1-$C14)*INDEX(Curve!$G$1:$G$100,4+($B14-1)*24+1+AC$8*2)+$C14*INDEX(Curve!$G$1:$G$100,4+$B14*24+1+AC$8*2))</f>
        <v>0.14126180623021151</v>
      </c>
      <c r="AD14" s="13">
        <f>$F14*MAX(0.001,(1-$C14)*INDEX(Curve!$G$1:$G$100,4+($B14-1)*24+1+AD$8*2)+$C14*INDEX(Curve!$G$1:$G$100,4+$B14*24+1+AD$8*2))</f>
        <v>8.9140890812837881E-2</v>
      </c>
      <c r="AE14" s="18">
        <f t="array" ref="AE14">SUMPRODUCT(MAX(ISNUMBER(L14:AC14)*ISNUMBER(M14:AD14)*(L14:AC14&gt;=$B$5)*(M14:AD14&lt;$B$5)*(COLUMN(L14:AC14)-COLUMN(L14)+1)))</f>
        <v>11</v>
      </c>
      <c r="AF14" s="9">
        <f t="shared" si="4"/>
        <v>5.5</v>
      </c>
      <c r="AG14" s="9">
        <f t="shared" si="5"/>
        <v>6</v>
      </c>
      <c r="AH14" s="13">
        <f t="shared" si="6"/>
        <v>0.26356700856782039</v>
      </c>
      <c r="AI14" s="13">
        <f t="shared" si="7"/>
        <v>0.24287403820152415</v>
      </c>
      <c r="AJ14" s="18">
        <f t="shared" si="8"/>
        <v>16</v>
      </c>
    </row>
    <row r="15" spans="1:36" x14ac:dyDescent="0.25">
      <c r="A15" s="12">
        <v>1100</v>
      </c>
      <c r="B15" s="18">
        <f>IFERROR(MIN(MATCH(A15,Parametri!$A$17:$A$19,1),2),1)</f>
        <v>2</v>
      </c>
      <c r="C15" s="13">
        <f>(A15-INDEX(Parametri!$A$17:$A$19,B15))/(INDEX(Parametri!$A$17:$A$19,B15+1)-INDEX(Parametri!$A$17:$A$19,B15))</f>
        <v>0.2</v>
      </c>
      <c r="D15" s="13">
        <f>(1-C15)*INDEX(Riepilogo!$C$5:$C$7,B15)+C15*INDEX(Riepilogo!$C$5:$C$7,B15+1)</f>
        <v>0.52199971591351391</v>
      </c>
      <c r="E15" s="14">
        <f>A15/1000*Parametri!$B$4*D15</f>
        <v>2.2967987500194614E-2</v>
      </c>
      <c r="F15" s="23">
        <f t="shared" si="0"/>
        <v>1.8141191807211499</v>
      </c>
      <c r="G15" s="13">
        <f t="shared" si="1"/>
        <v>0.1378079250011677</v>
      </c>
      <c r="H15" s="13">
        <f>(1-C15)*INDEX(Riepilogo!$F$5:$F$7,B15)+C15*INDEX(Riepilogo!$F$5:$F$7,B15+1)</f>
        <v>0.151</v>
      </c>
      <c r="I15" s="24">
        <f t="shared" si="2"/>
        <v>5.2425682438067911</v>
      </c>
      <c r="J15" s="23">
        <f t="shared" si="3"/>
        <v>0.15884459453752706</v>
      </c>
      <c r="K15" s="5" t="str">
        <f>IF(OR(A15&lt;MIN(Parametri!$A$17:$A$19),A15&gt;MAX(Parametri!$A$17:$A$19)),"L fuori 500–1500 mm: estrapolazione",IF(OR($B$4&lt;MAX(INDEX(Riepilogo!$H$5:$H$7,B15),INDEX(Riepilogo!$H$5:$H$7,B15+1))*0.99,$B$4&gt;MIN(INDEX(Riepilogo!$I$5:$I$7,B15),INDEX(Riepilogo!$I$5:$I$7,B15+1))*1.01),"Q fuori dal campo simulato (estrapolazione)",IF(NOT(ISNUMBER(I15)),"vₜ non raggiunta / &lt; 0,5 m",IF(G15&gt;H15,"vₜ nel plateau/transizione: L poco significativo",IF(I15&gt;Parametri!$B$7,"Oltre x max: troncato dal pavimento","OK")))))</f>
        <v>OK</v>
      </c>
      <c r="L15" s="13">
        <f>$F15*MAX(0.001,(1-$C15)*INDEX(Curve!$G$1:$G$100,4+($B15-1)*24+1+L$8*2)+$C15*INDEX(Curve!$G$1:$G$100,4+$B15*24+1+L$8*2))</f>
        <v>0.43572186890868336</v>
      </c>
      <c r="M15" s="13">
        <f>$F15*MAX(0.001,(1-$C15)*INDEX(Curve!$G$1:$G$100,4+($B15-1)*24+1+M$8*2)+$C15*INDEX(Curve!$G$1:$G$100,4+$B15*24+1+M$8*2))</f>
        <v>0.3826212632651142</v>
      </c>
      <c r="N15" s="13">
        <f>$F15*MAX(0.001,(1-$C15)*INDEX(Curve!$G$1:$G$100,4+($B15-1)*24+1+N$8*2)+$C15*INDEX(Curve!$G$1:$G$100,4+$B15*24+1+N$8*2))</f>
        <v>0.37516640768465176</v>
      </c>
      <c r="O15" s="13">
        <f>$F15*MAX(0.001,(1-$C15)*INDEX(Curve!$G$1:$G$100,4+($B15-1)*24+1+O$8*2)+$C15*INDEX(Curve!$G$1:$G$100,4+$B15*24+1+O$8*2))</f>
        <v>0.36725360851851968</v>
      </c>
      <c r="P15" s="13">
        <f>$F15*MAX(0.001,(1-$C15)*INDEX(Curve!$G$1:$G$100,4+($B15-1)*24+1+P$8*2)+$C15*INDEX(Curve!$G$1:$G$100,4+$B15*24+1+P$8*2))</f>
        <v>0.35584001645361119</v>
      </c>
      <c r="Q15" s="13">
        <f>$F15*MAX(0.001,(1-$C15)*INDEX(Curve!$G$1:$G$100,4+($B15-1)*24+1+Q$8*2)+$C15*INDEX(Curve!$G$1:$G$100,4+$B15*24+1+Q$8*2))</f>
        <v>0.34128329755907971</v>
      </c>
      <c r="R15" s="13">
        <f>$F15*MAX(0.001,(1-$C15)*INDEX(Curve!$G$1:$G$100,4+($B15-1)*24+1+R$8*2)+$C15*INDEX(Curve!$G$1:$G$100,4+$B15*24+1+R$8*2))</f>
        <v>0.320321175803568</v>
      </c>
      <c r="S15" s="13">
        <f>$F15*MAX(0.001,(1-$C15)*INDEX(Curve!$G$1:$G$100,4+($B15-1)*24+1+S$8*2)+$C15*INDEX(Curve!$G$1:$G$100,4+$B15*24+1+S$8*2))</f>
        <v>0.29907668105730728</v>
      </c>
      <c r="T15" s="13">
        <f>$F15*MAX(0.001,(1-$C15)*INDEX(Curve!$G$1:$G$100,4+($B15-1)*24+1+T$8*2)+$C15*INDEX(Curve!$G$1:$G$100,4+$B15*24+1+T$8*2))</f>
        <v>0.28044947428911704</v>
      </c>
      <c r="U15" s="13">
        <f>$F15*MAX(0.001,(1-$C15)*INDEX(Curve!$G$1:$G$100,4+($B15-1)*24+1+U$8*2)+$C15*INDEX(Curve!$G$1:$G$100,4+$B15*24+1+U$8*2))</f>
        <v>0.26103121548601155</v>
      </c>
      <c r="V15" s="13">
        <f>$F15*MAX(0.001,(1-$C15)*INDEX(Curve!$G$1:$G$100,4+($B15-1)*24+1+V$8*2)+$C15*INDEX(Curve!$G$1:$G$100,4+$B15*24+1+V$8*2))</f>
        <v>0.23931212982013794</v>
      </c>
      <c r="W15" s="13">
        <f>$F15*MAX(0.001,(1-$C15)*INDEX(Curve!$G$1:$G$100,4+($B15-1)*24+1+W$8*2)+$C15*INDEX(Curve!$G$1:$G$100,4+$B15*24+1+W$8*2))</f>
        <v>0.22107314118378785</v>
      </c>
      <c r="X15" s="13">
        <f>$F15*MAX(0.001,(1-$C15)*INDEX(Curve!$G$1:$G$100,4+($B15-1)*24+1+X$8*2)+$C15*INDEX(Curve!$G$1:$G$100,4+$B15*24+1+X$8*2))</f>
        <v>0.20509786663213248</v>
      </c>
      <c r="Y15" s="13">
        <f>$F15*MAX(0.001,(1-$C15)*INDEX(Curve!$G$1:$G$100,4+($B15-1)*24+1+Y$8*2)+$C15*INDEX(Curve!$G$1:$G$100,4+$B15*24+1+Y$8*2))</f>
        <v>0.19098504276647429</v>
      </c>
      <c r="Z15" s="13">
        <f>$F15*MAX(0.001,(1-$C15)*INDEX(Curve!$G$1:$G$100,4+($B15-1)*24+1+Z$8*2)+$C15*INDEX(Curve!$G$1:$G$100,4+$B15*24+1+Z$8*2))</f>
        <v>0.17858257796004745</v>
      </c>
      <c r="AA15" s="13">
        <f>$F15*MAX(0.001,(1-$C15)*INDEX(Curve!$G$1:$G$100,4+($B15-1)*24+1+AA$8*2)+$C15*INDEX(Curve!$G$1:$G$100,4+$B15*24+1+AA$8*2))</f>
        <v>0.16472101642552842</v>
      </c>
      <c r="AB15" s="13">
        <f>$F15*MAX(0.001,(1-$C15)*INDEX(Curve!$G$1:$G$100,4+($B15-1)*24+1+AB$8*2)+$C15*INDEX(Curve!$G$1:$G$100,4+$B15*24+1+AB$8*2))</f>
        <v>0.1518773447721021</v>
      </c>
      <c r="AC15" s="13">
        <f>$F15*MAX(0.001,(1-$C15)*INDEX(Curve!$G$1:$G$100,4+($B15-1)*24+1+AC$8*2)+$C15*INDEX(Curve!$G$1:$G$100,4+$B15*24+1+AC$8*2))</f>
        <v>0.12992586894431066</v>
      </c>
      <c r="AD15" s="13">
        <f>$F15*MAX(0.001,(1-$C15)*INDEX(Curve!$G$1:$G$100,4+($B15-1)*24+1+AD$8*2)+$C15*INDEX(Curve!$G$1:$G$100,4+$B15*24+1+AD$8*2))</f>
        <v>8.3223416497510486E-2</v>
      </c>
      <c r="AE15" s="18">
        <f t="array" ref="AE15">SUMPRODUCT(MAX(ISNUMBER(L15:AC15)*ISNUMBER(M15:AD15)*(L15:AC15&gt;=$B$5)*(M15:AD15&lt;$B$5)*(COLUMN(L15:AC15)-COLUMN(L15)+1)))</f>
        <v>10</v>
      </c>
      <c r="AF15" s="9">
        <f t="shared" si="4"/>
        <v>5</v>
      </c>
      <c r="AG15" s="9">
        <f t="shared" si="5"/>
        <v>5.5</v>
      </c>
      <c r="AH15" s="13">
        <f t="shared" si="6"/>
        <v>0.26103121548601155</v>
      </c>
      <c r="AI15" s="13">
        <f t="shared" si="7"/>
        <v>0.23931212982013794</v>
      </c>
      <c r="AJ15" s="18">
        <f t="shared" si="8"/>
        <v>16</v>
      </c>
    </row>
    <row r="16" spans="1:36" x14ac:dyDescent="0.25">
      <c r="A16" s="12">
        <v>1200</v>
      </c>
      <c r="B16" s="18">
        <f>IFERROR(MIN(MATCH(A16,Parametri!$A$17:$A$19,1),2),1)</f>
        <v>2</v>
      </c>
      <c r="C16" s="13">
        <f>(A16-INDEX(Parametri!$A$17:$A$19,B16))/(INDEX(Parametri!$A$17:$A$19,B16+1)-INDEX(Parametri!$A$17:$A$19,B16))</f>
        <v>0.4</v>
      </c>
      <c r="D16" s="13">
        <f>(1-C16)*INDEX(Riepilogo!$C$5:$C$7,B16)+C16*INDEX(Riepilogo!$C$5:$C$7,B16+1)</f>
        <v>0.51240816361213748</v>
      </c>
      <c r="E16" s="14">
        <f>A16/1000*Parametri!$B$4*D16</f>
        <v>2.4595591853382601E-2</v>
      </c>
      <c r="F16" s="23">
        <f t="shared" si="0"/>
        <v>1.6940705031636105</v>
      </c>
      <c r="G16" s="13">
        <f t="shared" si="1"/>
        <v>0.14757355112029563</v>
      </c>
      <c r="H16" s="13">
        <f>(1-C16)*INDEX(Riepilogo!$F$5:$F$7,B16)+C16*INDEX(Riepilogo!$F$5:$F$7,B16+1)</f>
        <v>0.152</v>
      </c>
      <c r="I16" s="24">
        <f t="shared" si="2"/>
        <v>4.6223430288053953</v>
      </c>
      <c r="J16" s="23">
        <f t="shared" si="3"/>
        <v>0.14735742480767106</v>
      </c>
      <c r="K16" s="5" t="str">
        <f>IF(OR(A16&lt;MIN(Parametri!$A$17:$A$19),A16&gt;MAX(Parametri!$A$17:$A$19)),"L fuori 500–1500 mm: estrapolazione",IF(OR($B$4&lt;MAX(INDEX(Riepilogo!$H$5:$H$7,B16),INDEX(Riepilogo!$H$5:$H$7,B16+1))*0.99,$B$4&gt;MIN(INDEX(Riepilogo!$I$5:$I$7,B16),INDEX(Riepilogo!$I$5:$I$7,B16+1))*1.01),"Q fuori dal campo simulato (estrapolazione)",IF(NOT(ISNUMBER(I16)),"vₜ non raggiunta / &lt; 0,5 m",IF(G16&gt;H16,"vₜ nel plateau/transizione: L poco significativo",IF(I16&gt;Parametri!$B$7,"Oltre x max: troncato dal pavimento","OK")))))</f>
        <v>OK</v>
      </c>
      <c r="L16" s="13">
        <f>$F16*MAX(0.001,(1-$C16)*INDEX(Curve!$G$1:$G$100,4+($B16-1)*24+1+L$8*2)+$C16*INDEX(Curve!$G$1:$G$100,4+$B16*24+1+L$8*2))</f>
        <v>0.44174692759035683</v>
      </c>
      <c r="M16" s="13">
        <f>$F16*MAX(0.001,(1-$C16)*INDEX(Curve!$G$1:$G$100,4+($B16-1)*24+1+M$8*2)+$C16*INDEX(Curve!$G$1:$G$100,4+$B16*24+1+M$8*2))</f>
        <v>0.34911133291375901</v>
      </c>
      <c r="N16" s="13">
        <f>$F16*MAX(0.001,(1-$C16)*INDEX(Curve!$G$1:$G$100,4+($B16-1)*24+1+N$8*2)+$C16*INDEX(Curve!$G$1:$G$100,4+$B16*24+1+N$8*2))</f>
        <v>0.33426315408068064</v>
      </c>
      <c r="O16" s="13">
        <f>$F16*MAX(0.001,(1-$C16)*INDEX(Curve!$G$1:$G$100,4+($B16-1)*24+1+O$8*2)+$C16*INDEX(Curve!$G$1:$G$100,4+$B16*24+1+O$8*2))</f>
        <v>0.32472976519210939</v>
      </c>
      <c r="P16" s="13">
        <f>$F16*MAX(0.001,(1-$C16)*INDEX(Curve!$G$1:$G$100,4+($B16-1)*24+1+P$8*2)+$C16*INDEX(Curve!$G$1:$G$100,4+$B16*24+1+P$8*2))</f>
        <v>0.31502690970635644</v>
      </c>
      <c r="Q16" s="13">
        <f>$F16*MAX(0.001,(1-$C16)*INDEX(Curve!$G$1:$G$100,4+($B16-1)*24+1+Q$8*2)+$C16*INDEX(Curve!$G$1:$G$100,4+$B16*24+1+Q$8*2))</f>
        <v>0.30353593140251089</v>
      </c>
      <c r="R16" s="13">
        <f>$F16*MAX(0.001,(1-$C16)*INDEX(Curve!$G$1:$G$100,4+($B16-1)*24+1+R$8*2)+$C16*INDEX(Curve!$G$1:$G$100,4+$B16*24+1+R$8*2))</f>
        <v>0.28730184370166106</v>
      </c>
      <c r="S16" s="13">
        <f>$F16*MAX(0.001,(1-$C16)*INDEX(Curve!$G$1:$G$100,4+($B16-1)*24+1+S$8*2)+$C16*INDEX(Curve!$G$1:$G$100,4+$B16*24+1+S$8*2))</f>
        <v>0.2696213754238041</v>
      </c>
      <c r="T16" s="13">
        <f>$F16*MAX(0.001,(1-$C16)*INDEX(Curve!$G$1:$G$100,4+($B16-1)*24+1+T$8*2)+$C16*INDEX(Curve!$G$1:$G$100,4+$B16*24+1+T$8*2))</f>
        <v>0.25412546590728768</v>
      </c>
      <c r="U16" s="13">
        <f>$F16*MAX(0.001,(1-$C16)*INDEX(Curve!$G$1:$G$100,4+($B16-1)*24+1+U$8*2)+$C16*INDEX(Curve!$G$1:$G$100,4+$B16*24+1+U$8*2))</f>
        <v>0.23830255770553252</v>
      </c>
      <c r="V16" s="13">
        <f>$F16*MAX(0.001,(1-$C16)*INDEX(Curve!$G$1:$G$100,4+($B16-1)*24+1+V$8*2)+$C16*INDEX(Curve!$G$1:$G$100,4+$B16*24+1+V$8*2))</f>
        <v>0.21908963325880554</v>
      </c>
      <c r="W16" s="13">
        <f>$F16*MAX(0.001,(1-$C16)*INDEX(Curve!$G$1:$G$100,4+($B16-1)*24+1+W$8*2)+$C16*INDEX(Curve!$G$1:$G$100,4+$B16*24+1+W$8*2))</f>
        <v>0.20291528648979501</v>
      </c>
      <c r="X16" s="13">
        <f>$F16*MAX(0.001,(1-$C16)*INDEX(Curve!$G$1:$G$100,4+($B16-1)*24+1+X$8*2)+$C16*INDEX(Curve!$G$1:$G$100,4+$B16*24+1+X$8*2))</f>
        <v>0.18879759978063834</v>
      </c>
      <c r="Y16" s="13">
        <f>$F16*MAX(0.001,(1-$C16)*INDEX(Curve!$G$1:$G$100,4+($B16-1)*24+1+Y$8*2)+$C16*INDEX(Curve!$G$1:$G$100,4+$B16*24+1+Y$8*2))</f>
        <v>0.17636099144905584</v>
      </c>
      <c r="Z16" s="13">
        <f>$F16*MAX(0.001,(1-$C16)*INDEX(Curve!$G$1:$G$100,4+($B16-1)*24+1+Z$8*2)+$C16*INDEX(Curve!$G$1:$G$100,4+$B16*24+1+Z$8*2))</f>
        <v>0.16534087424748878</v>
      </c>
      <c r="AA16" s="13">
        <f>$F16*MAX(0.001,(1-$C16)*INDEX(Curve!$G$1:$G$100,4+($B16-1)*24+1+AA$8*2)+$C16*INDEX(Curve!$G$1:$G$100,4+$B16*24+1+AA$8*2))</f>
        <v>0.15281692215772305</v>
      </c>
      <c r="AB16" s="13">
        <f>$F16*MAX(0.001,(1-$C16)*INDEX(Curve!$G$1:$G$100,4+($B16-1)*24+1+AB$8*2)+$C16*INDEX(Curve!$G$1:$G$100,4+$B16*24+1+AB$8*2))</f>
        <v>0.14088487242536504</v>
      </c>
      <c r="AC16" s="13">
        <f>$F16*MAX(0.001,(1-$C16)*INDEX(Curve!$G$1:$G$100,4+($B16-1)*24+1+AC$8*2)+$C16*INDEX(Curve!$G$1:$G$100,4+$B16*24+1+AC$8*2))</f>
        <v>0.12053093808158241</v>
      </c>
      <c r="AD16" s="13">
        <f>$F16*MAX(0.001,(1-$C16)*INDEX(Curve!$G$1:$G$100,4+($B16-1)*24+1+AD$8*2)+$C16*INDEX(Curve!$G$1:$G$100,4+$B16*24+1+AD$8*2))</f>
        <v>7.8367214063664634E-2</v>
      </c>
      <c r="AE16" s="18">
        <f t="array" ref="AE16">SUMPRODUCT(MAX(ISNUMBER(L16:AC16)*ISNUMBER(M16:AD16)*(L16:AC16&gt;=$B$5)*(M16:AD16&lt;$B$5)*(COLUMN(L16:AC16)-COLUMN(L16)+1)))</f>
        <v>9</v>
      </c>
      <c r="AF16" s="9">
        <f t="shared" si="4"/>
        <v>4.5</v>
      </c>
      <c r="AG16" s="9">
        <f t="shared" si="5"/>
        <v>5</v>
      </c>
      <c r="AH16" s="13">
        <f t="shared" si="6"/>
        <v>0.25412546590728768</v>
      </c>
      <c r="AI16" s="13">
        <f t="shared" si="7"/>
        <v>0.23830255770553252</v>
      </c>
      <c r="AJ16" s="18">
        <f t="shared" si="8"/>
        <v>16</v>
      </c>
    </row>
    <row r="17" spans="1:36" x14ac:dyDescent="0.25">
      <c r="A17" s="12">
        <v>1300</v>
      </c>
      <c r="B17" s="18">
        <f>IFERROR(MIN(MATCH(A17,Parametri!$A$17:$A$19,1),2),1)</f>
        <v>2</v>
      </c>
      <c r="C17" s="13">
        <f>(A17-INDEX(Parametri!$A$17:$A$19,B17))/(INDEX(Parametri!$A$17:$A$19,B17+1)-INDEX(Parametri!$A$17:$A$19,B17))</f>
        <v>0.6</v>
      </c>
      <c r="D17" s="13">
        <f>(1-C17)*INDEX(Riepilogo!$C$5:$C$7,B17)+C17*INDEX(Riepilogo!$C$5:$C$7,B17+1)</f>
        <v>0.50281661131076116</v>
      </c>
      <c r="E17" s="14">
        <f>A17/1000*Parametri!$B$4*D17</f>
        <v>2.6146463788159584E-2</v>
      </c>
      <c r="F17" s="23">
        <f t="shared" si="0"/>
        <v>1.5935870718217504</v>
      </c>
      <c r="G17" s="13">
        <f t="shared" si="1"/>
        <v>0.15687878272895753</v>
      </c>
      <c r="H17" s="13">
        <f>(1-C17)*INDEX(Riepilogo!$F$5:$F$7,B17)+C17*INDEX(Riepilogo!$F$5:$F$7,B17+1)</f>
        <v>0.153</v>
      </c>
      <c r="I17" s="24">
        <f t="shared" si="2"/>
        <v>3.8016450847310672</v>
      </c>
      <c r="J17" s="23">
        <f t="shared" si="3"/>
        <v>0.13769913626077007</v>
      </c>
      <c r="K17" s="5" t="str">
        <f>IF(OR(A17&lt;MIN(Parametri!$A$17:$A$19),A17&gt;MAX(Parametri!$A$17:$A$19)),"L fuori 500–1500 mm: estrapolazione",IF(OR($B$4&lt;MAX(INDEX(Riepilogo!$H$5:$H$7,B17),INDEX(Riepilogo!$H$5:$H$7,B17+1))*0.99,$B$4&gt;MIN(INDEX(Riepilogo!$I$5:$I$7,B17),INDEX(Riepilogo!$I$5:$I$7,B17+1))*1.01),"Q fuori dal campo simulato (estrapolazione)",IF(NOT(ISNUMBER(I17)),"vₜ non raggiunta / &lt; 0,5 m",IF(G17&gt;H17,"vₜ nel plateau/transizione: L poco significativo",IF(I17&gt;Parametri!$B$7,"Oltre x max: troncato dal pavimento","OK")))))</f>
        <v>vₜ nel plateau/transizione: L poco significativo</v>
      </c>
      <c r="L17" s="13">
        <f>$F17*MAX(0.001,(1-$C17)*INDEX(Curve!$G$1:$G$100,4+($B17-1)*24+1+L$8*2)+$C17*INDEX(Curve!$G$1:$G$100,4+$B17*24+1+L$8*2))</f>
        <v>0.44833595561204564</v>
      </c>
      <c r="M17" s="13">
        <f>$F17*MAX(0.001,(1-$C17)*INDEX(Curve!$G$1:$G$100,4+($B17-1)*24+1+M$8*2)+$C17*INDEX(Curve!$G$1:$G$100,4+$B17*24+1+M$8*2))</f>
        <v>0.3206995556810166</v>
      </c>
      <c r="N17" s="13">
        <f>$F17*MAX(0.001,(1-$C17)*INDEX(Curve!$G$1:$G$100,4+($B17-1)*24+1+N$8*2)+$C17*INDEX(Curve!$G$1:$G$100,4+$B17*24+1+N$8*2))</f>
        <v>0.2993132425095098</v>
      </c>
      <c r="O17" s="13">
        <f>$F17*MAX(0.001,(1-$C17)*INDEX(Curve!$G$1:$G$100,4+($B17-1)*24+1+O$8*2)+$C17*INDEX(Curve!$G$1:$G$100,4+$B17*24+1+O$8*2))</f>
        <v>0.28832829195736154</v>
      </c>
      <c r="P17" s="13">
        <f>$F17*MAX(0.001,(1-$C17)*INDEX(Curve!$G$1:$G$100,4+($B17-1)*24+1+P$8*2)+$C17*INDEX(Curve!$G$1:$G$100,4+$B17*24+1+P$8*2))</f>
        <v>0.2800997334592078</v>
      </c>
      <c r="Q17" s="13">
        <f>$F17*MAX(0.001,(1-$C17)*INDEX(Curve!$G$1:$G$100,4+($B17-1)*24+1+Q$8*2)+$C17*INDEX(Curve!$G$1:$G$100,4+$B17*24+1+Q$8*2))</f>
        <v>0.27126808842405603</v>
      </c>
      <c r="R17" s="13">
        <f>$F17*MAX(0.001,(1-$C17)*INDEX(Curve!$G$1:$G$100,4+($B17-1)*24+1+R$8*2)+$C17*INDEX(Curve!$G$1:$G$100,4+$B17*24+1+R$8*2))</f>
        <v>0.25913963225822845</v>
      </c>
      <c r="S17" s="13">
        <f>$F17*MAX(0.001,(1-$C17)*INDEX(Curve!$G$1:$G$100,4+($B17-1)*24+1+S$8*2)+$C17*INDEX(Curve!$G$1:$G$100,4+$B17*24+1+S$8*2))</f>
        <v>0.24453804496937614</v>
      </c>
      <c r="T17" s="13">
        <f>$F17*MAX(0.001,(1-$C17)*INDEX(Curve!$G$1:$G$100,4+($B17-1)*24+1+T$8*2)+$C17*INDEX(Curve!$G$1:$G$100,4+$B17*24+1+T$8*2))</f>
        <v>0.23174730270209923</v>
      </c>
      <c r="U17" s="13">
        <f>$F17*MAX(0.001,(1-$C17)*INDEX(Curve!$G$1:$G$100,4+($B17-1)*24+1+U$8*2)+$C17*INDEX(Curve!$G$1:$G$100,4+$B17*24+1+U$8*2))</f>
        <v>0.21903624313567879</v>
      </c>
      <c r="V17" s="13">
        <f>$F17*MAX(0.001,(1-$C17)*INDEX(Curve!$G$1:$G$100,4+($B17-1)*24+1+V$8*2)+$C17*INDEX(Curve!$G$1:$G$100,4+$B17*24+1+V$8*2))</f>
        <v>0.20196843574385107</v>
      </c>
      <c r="W17" s="13">
        <f>$F17*MAX(0.001,(1-$C17)*INDEX(Curve!$G$1:$G$100,4+($B17-1)*24+1+W$8*2)+$C17*INDEX(Curve!$G$1:$G$100,4+$B17*24+1+W$8*2))</f>
        <v>0.18756027702351061</v>
      </c>
      <c r="X17" s="13">
        <f>$F17*MAX(0.001,(1-$C17)*INDEX(Curve!$G$1:$G$100,4+($B17-1)*24+1+X$8*2)+$C17*INDEX(Curve!$G$1:$G$100,4+$B17*24+1+X$8*2))</f>
        <v>0.17503293042460208</v>
      </c>
      <c r="Y17" s="13">
        <f>$F17*MAX(0.001,(1-$C17)*INDEX(Curve!$G$1:$G$100,4+($B17-1)*24+1+Y$8*2)+$C17*INDEX(Curve!$G$1:$G$100,4+$B17*24+1+Y$8*2))</f>
        <v>0.16403227177647822</v>
      </c>
      <c r="Z17" s="13">
        <f>$F17*MAX(0.001,(1-$C17)*INDEX(Curve!$G$1:$G$100,4+($B17-1)*24+1+Z$8*2)+$C17*INDEX(Curve!$G$1:$G$100,4+$B17*24+1+Z$8*2))</f>
        <v>0.15419411717282425</v>
      </c>
      <c r="AA17" s="13">
        <f>$F17*MAX(0.001,(1-$C17)*INDEX(Curve!$G$1:$G$100,4+($B17-1)*24+1+AA$8*2)+$C17*INDEX(Curve!$G$1:$G$100,4+$B17*24+1+AA$8*2))</f>
        <v>0.1428084147567602</v>
      </c>
      <c r="AB17" s="13">
        <f>$F17*MAX(0.001,(1-$C17)*INDEX(Curve!$G$1:$G$100,4+($B17-1)*24+1+AB$8*2)+$C17*INDEX(Curve!$G$1:$G$100,4+$B17*24+1+AB$8*2))</f>
        <v>0.13164214910968655</v>
      </c>
      <c r="AC17" s="13">
        <f>$F17*MAX(0.001,(1-$C17)*INDEX(Curve!$G$1:$G$100,4+($B17-1)*24+1+AC$8*2)+$C17*INDEX(Curve!$G$1:$G$100,4+$B17*24+1+AC$8*2))</f>
        <v>0.11263181925919255</v>
      </c>
      <c r="AD17" s="13">
        <f>$F17*MAX(0.001,(1-$C17)*INDEX(Curve!$G$1:$G$100,4+($B17-1)*24+1+AD$8*2)+$C17*INDEX(Curve!$G$1:$G$100,4+$B17*24+1+AD$8*2))</f>
        <v>7.433133786278677E-2</v>
      </c>
      <c r="AE17" s="18">
        <f t="array" ref="AE17">SUMPRODUCT(MAX(ISNUMBER(L17:AC17)*ISNUMBER(M17:AD17)*(L17:AC17&gt;=$B$5)*(M17:AD17&lt;$B$5)*(COLUMN(L17:AC17)-COLUMN(L17)+1)))</f>
        <v>7</v>
      </c>
      <c r="AF17" s="9">
        <f t="shared" si="4"/>
        <v>3.5</v>
      </c>
      <c r="AG17" s="9">
        <f t="shared" si="5"/>
        <v>4</v>
      </c>
      <c r="AH17" s="13">
        <f t="shared" si="6"/>
        <v>0.25913963225822845</v>
      </c>
      <c r="AI17" s="13">
        <f t="shared" si="7"/>
        <v>0.24453804496937614</v>
      </c>
      <c r="AJ17" s="18">
        <f t="shared" si="8"/>
        <v>16</v>
      </c>
    </row>
    <row r="18" spans="1:36" x14ac:dyDescent="0.25">
      <c r="A18" s="12">
        <v>1400</v>
      </c>
      <c r="B18" s="18">
        <f>IFERROR(MIN(MATCH(A18,Parametri!$A$17:$A$19,1),2),1)</f>
        <v>2</v>
      </c>
      <c r="C18" s="13">
        <f>(A18-INDEX(Parametri!$A$17:$A$19,B18))/(INDEX(Parametri!$A$17:$A$19,B18+1)-INDEX(Parametri!$A$17:$A$19,B18))</f>
        <v>0.8</v>
      </c>
      <c r="D18" s="13">
        <f>(1-C18)*INDEX(Riepilogo!$C$5:$C$7,B18)+C18*INDEX(Riepilogo!$C$5:$C$7,B18+1)</f>
        <v>0.49322505900938479</v>
      </c>
      <c r="E18" s="14">
        <f>A18/1000*Parametri!$B$4*D18</f>
        <v>2.7620603304525544E-2</v>
      </c>
      <c r="F18" s="23">
        <f t="shared" si="0"/>
        <v>1.5085357190528752</v>
      </c>
      <c r="G18" s="13">
        <f t="shared" si="1"/>
        <v>0.16572361982715328</v>
      </c>
      <c r="H18" s="13">
        <f>(1-C18)*INDEX(Riepilogo!$F$5:$F$7,B18)+C18*INDEX(Riepilogo!$F$5:$F$7,B18+1)</f>
        <v>0.154</v>
      </c>
      <c r="I18" s="24">
        <f t="shared" si="2"/>
        <v>2.4818102053246736</v>
      </c>
      <c r="J18" s="23">
        <f t="shared" si="3"/>
        <v>0.12948116413071298</v>
      </c>
      <c r="K18" s="5" t="str">
        <f>IF(OR(A18&lt;MIN(Parametri!$A$17:$A$19),A18&gt;MAX(Parametri!$A$17:$A$19)),"L fuori 500–1500 mm: estrapolazione",IF(OR($B$4&lt;MAX(INDEX(Riepilogo!$H$5:$H$7,B18),INDEX(Riepilogo!$H$5:$H$7,B18+1))*0.99,$B$4&gt;MIN(INDEX(Riepilogo!$I$5:$I$7,B18),INDEX(Riepilogo!$I$5:$I$7,B18+1))*1.01),"Q fuori dal campo simulato (estrapolazione)",IF(NOT(ISNUMBER(I18)),"vₜ non raggiunta / &lt; 0,5 m",IF(G18&gt;H18,"vₜ nel plateau/transizione: L poco significativo",IF(I18&gt;Parametri!$B$7,"Oltre x max: troncato dal pavimento","OK")))))</f>
        <v>vₜ nel plateau/transizione: L poco significativo</v>
      </c>
      <c r="L18" s="13">
        <f>$F18*MAX(0.001,(1-$C18)*INDEX(Curve!$G$1:$G$100,4+($B18-1)*24+1+L$8*2)+$C18*INDEX(Curve!$G$1:$G$100,4+$B18*24+1+L$8*2))</f>
        <v>0.45544886853073263</v>
      </c>
      <c r="M18" s="13">
        <f>$F18*MAX(0.001,(1-$C18)*INDEX(Curve!$G$1:$G$100,4+($B18-1)*24+1+M$8*2)+$C18*INDEX(Curve!$G$1:$G$100,4+$B18*24+1+M$8*2))</f>
        <v>0.29629037038112316</v>
      </c>
      <c r="N18" s="13">
        <f>$F18*MAX(0.001,(1-$C18)*INDEX(Curve!$G$1:$G$100,4+($B18-1)*24+1+N$8*2)+$C18*INDEX(Curve!$G$1:$G$100,4+$B18*24+1+N$8*2))</f>
        <v>0.26902256702600036</v>
      </c>
      <c r="O18" s="13">
        <f>$F18*MAX(0.001,(1-$C18)*INDEX(Curve!$G$1:$G$100,4+($B18-1)*24+1+O$8*2)+$C18*INDEX(Curve!$G$1:$G$100,4+$B18*24+1+O$8*2))</f>
        <v>0.25671451285998698</v>
      </c>
      <c r="P18" s="13">
        <f>$F18*MAX(0.001,(1-$C18)*INDEX(Curve!$G$1:$G$100,4+($B18-1)*24+1+P$8*2)+$C18*INDEX(Curve!$G$1:$G$100,4+$B18*24+1+P$8*2))</f>
        <v>0.24977592653916883</v>
      </c>
      <c r="Q18" s="13">
        <f>$F18*MAX(0.001,(1-$C18)*INDEX(Curve!$G$1:$G$100,4+($B18-1)*24+1+Q$8*2)+$C18*INDEX(Curve!$G$1:$G$100,4+$B18*24+1+Q$8*2))</f>
        <v>0.24328782923478715</v>
      </c>
      <c r="R18" s="13">
        <f>$F18*MAX(0.001,(1-$C18)*INDEX(Curve!$G$1:$G$100,4+($B18-1)*24+1+R$8*2)+$C18*INDEX(Curve!$G$1:$G$100,4+$B18*24+1+R$8*2))</f>
        <v>0.23478166149834362</v>
      </c>
      <c r="S18" s="13">
        <f>$F18*MAX(0.001,(1-$C18)*INDEX(Curve!$G$1:$G$100,4+($B18-1)*24+1+S$8*2)+$C18*INDEX(Curve!$G$1:$G$100,4+$B18*24+1+S$8*2))</f>
        <v>0.22288119135175</v>
      </c>
      <c r="T18" s="13">
        <f>$F18*MAX(0.001,(1-$C18)*INDEX(Curve!$G$1:$G$100,4+($B18-1)*24+1+T$8*2)+$C18*INDEX(Curve!$G$1:$G$100,4+$B18*24+1+T$8*2))</f>
        <v>0.21246381233969402</v>
      </c>
      <c r="U18" s="13">
        <f>$F18*MAX(0.001,(1-$C18)*INDEX(Curve!$G$1:$G$100,4+($B18-1)*24+1+U$8*2)+$C18*INDEX(Curve!$G$1:$G$100,4+$B18*24+1+U$8*2))</f>
        <v>0.20248847899076436</v>
      </c>
      <c r="V18" s="13">
        <f>$F18*MAX(0.001,(1-$C18)*INDEX(Curve!$G$1:$G$100,4+($B18-1)*24+1+V$8*2)+$C18*INDEX(Curve!$G$1:$G$100,4+$B18*24+1+V$8*2))</f>
        <v>0.18728343936163258</v>
      </c>
      <c r="W18" s="13">
        <f>$F18*MAX(0.001,(1-$C18)*INDEX(Curve!$G$1:$G$100,4+($B18-1)*24+1+W$8*2)+$C18*INDEX(Curve!$G$1:$G$100,4+$B18*24+1+W$8*2))</f>
        <v>0.17440800847678478</v>
      </c>
      <c r="X18" s="13">
        <f>$F18*MAX(0.001,(1-$C18)*INDEX(Curve!$G$1:$G$100,4+($B18-1)*24+1+X$8*2)+$C18*INDEX(Curve!$G$1:$G$100,4+$B18*24+1+X$8*2))</f>
        <v>0.16326202571842163</v>
      </c>
      <c r="Y18" s="13">
        <f>$F18*MAX(0.001,(1-$C18)*INDEX(Curve!$G$1:$G$100,4+($B18-1)*24+1+Y$8*2)+$C18*INDEX(Curve!$G$1:$G$100,4+$B18*24+1+Y$8*2))</f>
        <v>0.15350949061105001</v>
      </c>
      <c r="Z18" s="13">
        <f>$F18*MAX(0.001,(1-$C18)*INDEX(Curve!$G$1:$G$100,4+($B18-1)*24+1+Z$8*2)+$C18*INDEX(Curve!$G$1:$G$100,4+$B18*24+1+Z$8*2))</f>
        <v>0.14469651869209704</v>
      </c>
      <c r="AA18" s="13">
        <f>$F18*MAX(0.001,(1-$C18)*INDEX(Curve!$G$1:$G$100,4+($B18-1)*24+1+AA$8*2)+$C18*INDEX(Curve!$G$1:$G$100,4+$B18*24+1+AA$8*2))</f>
        <v>0.13429277425938649</v>
      </c>
      <c r="AB18" s="13">
        <f>$F18*MAX(0.001,(1-$C18)*INDEX(Curve!$G$1:$G$100,4+($B18-1)*24+1+AB$8*2)+$C18*INDEX(Curve!$G$1:$G$100,4+$B18*24+1+AB$8*2))</f>
        <v>0.12377740309291255</v>
      </c>
      <c r="AC18" s="13">
        <f>$F18*MAX(0.001,(1-$C18)*INDEX(Curve!$G$1:$G$100,4+($B18-1)*24+1+AC$8*2)+$C18*INDEX(Curve!$G$1:$G$100,4+$B18*24+1+AC$8*2))</f>
        <v>0.10591071369070315</v>
      </c>
      <c r="AD18" s="13">
        <f>$F18*MAX(0.001,(1-$C18)*INDEX(Curve!$G$1:$G$100,4+($B18-1)*24+1+AD$8*2)+$C18*INDEX(Curve!$G$1:$G$100,4+$B18*24+1+AD$8*2))</f>
        <v>7.094397012653228E-2</v>
      </c>
      <c r="AE18" s="18">
        <f t="array" ref="AE18">SUMPRODUCT(MAX(ISNUMBER(L18:AC18)*ISNUMBER(M18:AD18)*(L18:AC18&gt;=$B$5)*(M18:AD18&lt;$B$5)*(COLUMN(L18:AC18)-COLUMN(L18)+1)))</f>
        <v>4</v>
      </c>
      <c r="AF18" s="9">
        <f t="shared" si="4"/>
        <v>2</v>
      </c>
      <c r="AG18" s="9">
        <f t="shared" si="5"/>
        <v>2.5</v>
      </c>
      <c r="AH18" s="13">
        <f t="shared" si="6"/>
        <v>0.25671451285998698</v>
      </c>
      <c r="AI18" s="13">
        <f t="shared" si="7"/>
        <v>0.24977592653916883</v>
      </c>
      <c r="AJ18" s="18">
        <f t="shared" si="8"/>
        <v>16</v>
      </c>
    </row>
    <row r="19" spans="1:36" x14ac:dyDescent="0.25">
      <c r="A19" s="12">
        <v>1500</v>
      </c>
      <c r="B19" s="18">
        <f>IFERROR(MIN(MATCH(A19,Parametri!$A$17:$A$19,1),2),1)</f>
        <v>2</v>
      </c>
      <c r="C19" s="13">
        <f>(A19-INDEX(Parametri!$A$17:$A$19,B19))/(INDEX(Parametri!$A$17:$A$19,B19+1)-INDEX(Parametri!$A$17:$A$19,B19))</f>
        <v>1</v>
      </c>
      <c r="D19" s="13">
        <f>(1-C19)*INDEX(Riepilogo!$C$5:$C$7,B19)+C19*INDEX(Riepilogo!$C$5:$C$7,B19+1)</f>
        <v>0.48363350670800842</v>
      </c>
      <c r="E19" s="14">
        <f>A19/1000*Parametri!$B$4*D19</f>
        <v>2.9018010402480504E-2</v>
      </c>
      <c r="F19" s="23">
        <f t="shared" si="0"/>
        <v>1.435889852155575</v>
      </c>
      <c r="G19" s="13">
        <f t="shared" si="1"/>
        <v>0.17410806241488302</v>
      </c>
      <c r="H19" s="13">
        <f>(1-C19)*INDEX(Riepilogo!$F$5:$F$7,B19)+C19*INDEX(Riepilogo!$F$5:$F$7,B19+1)</f>
        <v>0.155</v>
      </c>
      <c r="I19" s="24">
        <f t="shared" si="2"/>
        <v>1.3592056624966347</v>
      </c>
      <c r="J19" s="23">
        <f t="shared" si="3"/>
        <v>0.12241880809478058</v>
      </c>
      <c r="K19" s="5" t="str">
        <f>IF(OR(A19&lt;MIN(Parametri!$A$17:$A$19),A19&gt;MAX(Parametri!$A$17:$A$19)),"L fuori 500–1500 mm: estrapolazione",IF(OR($B$4&lt;MAX(INDEX(Riepilogo!$H$5:$H$7,B19),INDEX(Riepilogo!$H$5:$H$7,B19+1))*0.99,$B$4&gt;MIN(INDEX(Riepilogo!$I$5:$I$7,B19),INDEX(Riepilogo!$I$5:$I$7,B19+1))*1.01),"Q fuori dal campo simulato (estrapolazione)",IF(NOT(ISNUMBER(I19)),"vₜ non raggiunta / &lt; 0,5 m",IF(G19&gt;H19,"vₜ nel plateau/transizione: L poco significativo",IF(I19&gt;Parametri!$B$7,"Oltre x max: troncato dal pavimento","OK")))))</f>
        <v>vₜ nel plateau/transizione: L poco significativo</v>
      </c>
      <c r="L19" s="13">
        <f>$F19*MAX(0.001,(1-$C19)*INDEX(Curve!$G$1:$G$100,4+($B19-1)*24+1+L$8*2)+$C19*INDEX(Curve!$G$1:$G$100,4+$B19*24+1+L$8*2))</f>
        <v>0.46306225105205168</v>
      </c>
      <c r="M19" s="13">
        <f>$F19*MAX(0.001,(1-$C19)*INDEX(Curve!$G$1:$G$100,4+($B19-1)*24+1+M$8*2)+$C19*INDEX(Curve!$G$1:$G$100,4+$B19*24+1+M$8*2))</f>
        <v>0.27508013596690239</v>
      </c>
      <c r="N19" s="13">
        <f>$F19*MAX(0.001,(1-$C19)*INDEX(Curve!$G$1:$G$100,4+($B19-1)*24+1+N$8*2)+$C19*INDEX(Curve!$G$1:$G$100,4+$B19*24+1+N$8*2))</f>
        <v>0.24244075501426107</v>
      </c>
      <c r="O19" s="13">
        <f>$F19*MAX(0.001,(1-$C19)*INDEX(Curve!$G$1:$G$100,4+($B19-1)*24+1+O$8*2)+$C19*INDEX(Curve!$G$1:$G$100,4+$B19*24+1+O$8*2))</f>
        <v>0.22890798188932973</v>
      </c>
      <c r="P19" s="13">
        <f>$F19*MAX(0.001,(1-$C19)*INDEX(Curve!$G$1:$G$100,4+($B19-1)*24+1+P$8*2)+$C19*INDEX(Curve!$G$1:$G$100,4+$B19*24+1+P$8*2))</f>
        <v>0.22311336773797677</v>
      </c>
      <c r="Q19" s="13">
        <f>$F19*MAX(0.001,(1-$C19)*INDEX(Curve!$G$1:$G$100,4+($B19-1)*24+1+Q$8*2)+$C19*INDEX(Curve!$G$1:$G$100,4+$B19*24+1+Q$8*2))</f>
        <v>0.21871975029759549</v>
      </c>
      <c r="R19" s="13">
        <f>$F19*MAX(0.001,(1-$C19)*INDEX(Curve!$G$1:$G$100,4+($B19-1)*24+1+R$8*2)+$C19*INDEX(Curve!$G$1:$G$100,4+$B19*24+1+R$8*2))</f>
        <v>0.21345492588975218</v>
      </c>
      <c r="S19" s="13">
        <f>$F19*MAX(0.001,(1-$C19)*INDEX(Curve!$G$1:$G$100,4+($B19-1)*24+1+S$8*2)+$C19*INDEX(Curve!$G$1:$G$100,4+$B19*24+1+S$8*2))</f>
        <v>0.20395680892747992</v>
      </c>
      <c r="T19" s="13">
        <f>$F19*MAX(0.001,(1-$C19)*INDEX(Curve!$G$1:$G$100,4+($B19-1)*24+1+T$8*2)+$C19*INDEX(Curve!$G$1:$G$100,4+$B19*24+1+T$8*2))</f>
        <v>0.19565038462507026</v>
      </c>
      <c r="U19" s="13">
        <f>$F19*MAX(0.001,(1-$C19)*INDEX(Curve!$G$1:$G$100,4+($B19-1)*24+1+U$8*2)+$C19*INDEX(Curve!$G$1:$G$100,4+$B19*24+1+U$8*2))</f>
        <v>0.18811367935732606</v>
      </c>
      <c r="V19" s="13">
        <f>$F19*MAX(0.001,(1-$C19)*INDEX(Curve!$G$1:$G$100,4+($B19-1)*24+1+V$8*2)+$C19*INDEX(Curve!$G$1:$G$100,4+$B19*24+1+V$8*2))</f>
        <v>0.17454686611694212</v>
      </c>
      <c r="W19" s="13">
        <f>$F19*MAX(0.001,(1-$C19)*INDEX(Curve!$G$1:$G$100,4+($B19-1)*24+1+W$8*2)+$C19*INDEX(Curve!$G$1:$G$100,4+$B19*24+1+W$8*2))</f>
        <v>0.1630184417758164</v>
      </c>
      <c r="X19" s="13">
        <f>$F19*MAX(0.001,(1-$C19)*INDEX(Curve!$G$1:$G$100,4+($B19-1)*24+1+X$8*2)+$C19*INDEX(Curve!$G$1:$G$100,4+$B19*24+1+X$8*2))</f>
        <v>0.15308765333758012</v>
      </c>
      <c r="Y19" s="13">
        <f>$F19*MAX(0.001,(1-$C19)*INDEX(Curve!$G$1:$G$100,4+($B19-1)*24+1+Y$8*2)+$C19*INDEX(Curve!$G$1:$G$100,4+$B19*24+1+Y$8*2))</f>
        <v>0.1444339420611585</v>
      </c>
      <c r="Z19" s="13">
        <f>$F19*MAX(0.001,(1-$C19)*INDEX(Curve!$G$1:$G$100,4+($B19-1)*24+1+Z$8*2)+$C19*INDEX(Curve!$G$1:$G$100,4+$B19*24+1+Z$8*2))</f>
        <v>0.13652139925263204</v>
      </c>
      <c r="AA19" s="13">
        <f>$F19*MAX(0.001,(1-$C19)*INDEX(Curve!$G$1:$G$100,4+($B19-1)*24+1+AA$8*2)+$C19*INDEX(Curve!$G$1:$G$100,4+$B19*24+1+AA$8*2))</f>
        <v>0.12697493014780781</v>
      </c>
      <c r="AB19" s="13">
        <f>$F19*MAX(0.001,(1-$C19)*INDEX(Curve!$G$1:$G$100,4+($B19-1)*24+1+AB$8*2)+$C19*INDEX(Curve!$G$1:$G$100,4+$B19*24+1+AB$8*2))</f>
        <v>0.11701823681216938</v>
      </c>
      <c r="AC19" s="13">
        <f>$F19*MAX(0.001,(1-$C19)*INDEX(Curve!$G$1:$G$100,4+($B19-1)*24+1+AC$8*2)+$C19*INDEX(Curve!$G$1:$G$100,4+$B19*24+1+AC$8*2))</f>
        <v>0.10013477123837515</v>
      </c>
      <c r="AD19" s="13">
        <f>$F19*MAX(0.001,(1-$C19)*INDEX(Curve!$G$1:$G$100,4+($B19-1)*24+1+AD$8*2)+$C19*INDEX(Curve!$G$1:$G$100,4+$B19*24+1+AD$8*2))</f>
        <v>6.8079404834124571E-2</v>
      </c>
      <c r="AE19" s="18">
        <f t="array" ref="AE19">SUMPRODUCT(MAX(ISNUMBER(L19:AC19)*ISNUMBER(M19:AD19)*(L19:AC19&gt;=$B$5)*(M19:AD19&lt;$B$5)*(COLUMN(L19:AC19)-COLUMN(L19)+1)))</f>
        <v>2</v>
      </c>
      <c r="AF19" s="9">
        <f t="shared" si="4"/>
        <v>1</v>
      </c>
      <c r="AG19" s="9">
        <f t="shared" si="5"/>
        <v>1.5</v>
      </c>
      <c r="AH19" s="13">
        <f t="shared" si="6"/>
        <v>0.27508013596690239</v>
      </c>
      <c r="AI19" s="13">
        <f t="shared" si="7"/>
        <v>0.24244075501426107</v>
      </c>
      <c r="AJ19" s="18">
        <f t="shared" si="8"/>
        <v>16</v>
      </c>
    </row>
    <row r="21" spans="1:36" x14ac:dyDescent="0.25">
      <c r="A21" s="3" t="s">
        <v>96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L$8&gt;Parametri!$B$7</xm:f>
            <x14:dxf>
              <fill>
                <patternFill>
                  <bgColor rgb="FFD9D9D9"/>
                </patternFill>
              </fill>
            </x14:dxf>
          </x14:cfRule>
          <xm:sqref>L9:AD19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2" width="16" customWidth="1"/>
    <col min="3" max="5" width="14" customWidth="1"/>
    <col min="6" max="6" width="46" customWidth="1"/>
    <col min="7" max="31" width="7" customWidth="1"/>
  </cols>
  <sheetData>
    <row r="1" spans="1:2" ht="18" x14ac:dyDescent="0.25">
      <c r="A1" s="2" t="s">
        <v>97</v>
      </c>
    </row>
    <row r="2" spans="1:2" x14ac:dyDescent="0.25">
      <c r="A2" s="3" t="s">
        <v>98</v>
      </c>
    </row>
    <row r="4" spans="1:2" x14ac:dyDescent="0.25">
      <c r="A4" s="16" t="s">
        <v>74</v>
      </c>
      <c r="B4" s="12">
        <v>1000</v>
      </c>
    </row>
    <row r="5" spans="1:2" x14ac:dyDescent="0.25">
      <c r="A5" s="16" t="s">
        <v>99</v>
      </c>
      <c r="B5" s="12">
        <v>30</v>
      </c>
    </row>
    <row r="6" spans="1:2" x14ac:dyDescent="0.25">
      <c r="A6" s="16" t="s">
        <v>48</v>
      </c>
      <c r="B6" s="12">
        <v>150</v>
      </c>
    </row>
    <row r="7" spans="1:2" x14ac:dyDescent="0.25">
      <c r="A7" s="16" t="s">
        <v>49</v>
      </c>
      <c r="B7" s="17">
        <f>Parametri!B10</f>
        <v>0.25</v>
      </c>
    </row>
    <row r="8" spans="1:2" x14ac:dyDescent="0.25">
      <c r="A8" s="16" t="s">
        <v>53</v>
      </c>
      <c r="B8" s="17">
        <f>Catalogo!B11</f>
        <v>8.2200000000000006</v>
      </c>
    </row>
    <row r="9" spans="1:2" x14ac:dyDescent="0.25">
      <c r="A9" s="16" t="s">
        <v>100</v>
      </c>
      <c r="B9" s="30">
        <f>Parametri!B4*1000</f>
        <v>40</v>
      </c>
    </row>
    <row r="11" spans="1:2" ht="25.5" x14ac:dyDescent="0.25">
      <c r="A11" s="22" t="s">
        <v>101</v>
      </c>
    </row>
    <row r="12" spans="1:2" x14ac:dyDescent="0.25">
      <c r="A12" s="16" t="s">
        <v>76</v>
      </c>
      <c r="B12" s="18">
        <f>IFERROR(MIN(MATCH(B4,Parametri!$A$17:$A$19,1),2),1)</f>
        <v>2</v>
      </c>
    </row>
    <row r="13" spans="1:2" x14ac:dyDescent="0.25">
      <c r="A13" s="16" t="s">
        <v>77</v>
      </c>
      <c r="B13" s="18">
        <f>INDEX(Parametri!$A$17:$A$19,B12)</f>
        <v>1000</v>
      </c>
    </row>
    <row r="14" spans="1:2" x14ac:dyDescent="0.25">
      <c r="A14" s="16" t="s">
        <v>78</v>
      </c>
      <c r="B14" s="18">
        <f>INDEX(Parametri!$A$17:$A$19,B12+1)</f>
        <v>1500</v>
      </c>
    </row>
    <row r="15" spans="1:2" x14ac:dyDescent="0.25">
      <c r="A15" s="16" t="s">
        <v>79</v>
      </c>
      <c r="B15" s="13">
        <f>(B4-B13)/(B14-B13)</f>
        <v>0</v>
      </c>
    </row>
    <row r="16" spans="1:2" x14ac:dyDescent="0.25">
      <c r="A16" s="16" t="s">
        <v>30</v>
      </c>
      <c r="B16" s="14">
        <f>B4/1000*B5/1000</f>
        <v>0.03</v>
      </c>
    </row>
    <row r="17" spans="1:31" x14ac:dyDescent="0.25">
      <c r="A17" s="16" t="s">
        <v>80</v>
      </c>
      <c r="B17" s="13">
        <f>(1-B15)*INDEX(Riepilogo!$C$5:$C$7,B12)+B15*INDEX(Riepilogo!$C$5:$C$7,B12+1)</f>
        <v>0.53159126821489022</v>
      </c>
    </row>
    <row r="18" spans="1:31" x14ac:dyDescent="0.25">
      <c r="A18" s="16" t="s">
        <v>81</v>
      </c>
      <c r="B18" s="14">
        <f>B16*B17</f>
        <v>1.5947738046446707E-2</v>
      </c>
    </row>
    <row r="19" spans="1:31" x14ac:dyDescent="0.25">
      <c r="A19" s="16" t="s">
        <v>102</v>
      </c>
      <c r="B19" s="13">
        <f>SQRT(B5/B9)</f>
        <v>0.8660254037844386</v>
      </c>
    </row>
    <row r="20" spans="1:31" x14ac:dyDescent="0.25">
      <c r="A20" s="16" t="s">
        <v>103</v>
      </c>
      <c r="B20" s="13">
        <f>B19*((1-B15)*INDEX(Riepilogo!$F$5:$F$7,B12)+B15*INDEX(Riepilogo!$F$5:$F$7,B12+1))</f>
        <v>0.12990381056766578</v>
      </c>
    </row>
    <row r="21" spans="1:31" x14ac:dyDescent="0.25">
      <c r="A21" s="16" t="s">
        <v>104</v>
      </c>
      <c r="B21" s="9">
        <f>B6*B9/B5</f>
        <v>200</v>
      </c>
    </row>
    <row r="22" spans="1:31" x14ac:dyDescent="0.25">
      <c r="A22" s="16" t="s">
        <v>83</v>
      </c>
      <c r="B22" s="18">
        <f>MAX(INDEX(Riepilogo!$H$5:$H$7,B12),INDEX(Riepilogo!$H$5:$H$7,B12+1))</f>
        <v>80</v>
      </c>
    </row>
    <row r="23" spans="1:31" x14ac:dyDescent="0.25">
      <c r="A23" s="16" t="s">
        <v>84</v>
      </c>
      <c r="B23" s="18">
        <f>MIN(INDEX(Riepilogo!$I$5:$I$7,B12),INDEX(Riepilogo!$I$5:$I$7,B12+1))</f>
        <v>250</v>
      </c>
    </row>
    <row r="24" spans="1:31" x14ac:dyDescent="0.25">
      <c r="A24" s="16" t="s">
        <v>105</v>
      </c>
      <c r="B24" s="29" t="str">
        <f>IF(OR(B4&lt;MIN(Parametri!$A$17:$A$19),B4&gt;MAX(Parametri!$A$17:$A$19)),"L fuori 500–1500 mm. ","")&amp;IF(OR(B5&lt;20,B5&gt;60),"h fuori 20–60 mm. ","")&amp;IF(B5=B9,"h = 40 mm: dati CFD diretti","Stima per similarità del getto piano: non validata da CFD")</f>
        <v>Stima per similarità del getto piano: non validata da CFD</v>
      </c>
    </row>
    <row r="26" spans="1:31" x14ac:dyDescent="0.25">
      <c r="A26" s="22" t="s">
        <v>106</v>
      </c>
    </row>
    <row r="27" spans="1:31" x14ac:dyDescent="0.25">
      <c r="A27" s="16" t="s">
        <v>55</v>
      </c>
      <c r="B27" s="23">
        <f>B34</f>
        <v>2.6127007193945198</v>
      </c>
    </row>
    <row r="28" spans="1:31" x14ac:dyDescent="0.25">
      <c r="A28" s="16" t="s">
        <v>56</v>
      </c>
      <c r="B28" s="24">
        <f>D34</f>
        <v>6.7449069005414923</v>
      </c>
    </row>
    <row r="29" spans="1:31" x14ac:dyDescent="0.25">
      <c r="A29" s="16" t="s">
        <v>57</v>
      </c>
      <c r="B29" s="23">
        <f>E34</f>
        <v>0.19942252580429665</v>
      </c>
    </row>
    <row r="30" spans="1:31" x14ac:dyDescent="0.25">
      <c r="A30" s="16" t="s">
        <v>58</v>
      </c>
      <c r="B30" s="29" t="str">
        <f>F34</f>
        <v>OK (stima per similarità)</v>
      </c>
    </row>
    <row r="32" spans="1:31" ht="25.5" x14ac:dyDescent="0.25">
      <c r="A32" s="4" t="s">
        <v>59</v>
      </c>
      <c r="B32" s="4" t="s">
        <v>60</v>
      </c>
      <c r="C32" s="4" t="s">
        <v>61</v>
      </c>
      <c r="D32" s="4" t="s">
        <v>62</v>
      </c>
      <c r="E32" s="4" t="s">
        <v>63</v>
      </c>
      <c r="F32" s="4" t="s">
        <v>58</v>
      </c>
      <c r="G32" s="26">
        <v>0.5</v>
      </c>
      <c r="H32" s="26">
        <v>1</v>
      </c>
      <c r="I32" s="26">
        <v>1.5</v>
      </c>
      <c r="J32" s="26">
        <v>2</v>
      </c>
      <c r="K32" s="26">
        <v>2.5</v>
      </c>
      <c r="L32" s="26">
        <v>3</v>
      </c>
      <c r="M32" s="26">
        <v>3.5</v>
      </c>
      <c r="N32" s="26">
        <v>4</v>
      </c>
      <c r="O32" s="26">
        <v>4.5</v>
      </c>
      <c r="P32" s="26">
        <v>5</v>
      </c>
      <c r="Q32" s="26">
        <v>5.5</v>
      </c>
      <c r="R32" s="26">
        <v>6</v>
      </c>
      <c r="S32" s="26">
        <v>6.5</v>
      </c>
      <c r="T32" s="26">
        <v>7</v>
      </c>
      <c r="U32" s="26">
        <v>7.5</v>
      </c>
      <c r="V32" s="26">
        <v>8</v>
      </c>
      <c r="W32" s="26">
        <v>8.5</v>
      </c>
      <c r="X32" s="26">
        <v>9</v>
      </c>
      <c r="Y32" s="26">
        <v>9.5</v>
      </c>
      <c r="Z32" s="4" t="s">
        <v>64</v>
      </c>
      <c r="AA32" s="4" t="s">
        <v>65</v>
      </c>
      <c r="AB32" s="4" t="s">
        <v>66</v>
      </c>
      <c r="AC32" s="4" t="s">
        <v>67</v>
      </c>
      <c r="AD32" s="4" t="s">
        <v>68</v>
      </c>
      <c r="AE32" s="4" t="s">
        <v>69</v>
      </c>
    </row>
    <row r="33" spans="1:31" x14ac:dyDescent="0.25">
      <c r="A33" s="16" t="s">
        <v>107</v>
      </c>
      <c r="B33" s="13"/>
      <c r="C33" s="13"/>
      <c r="D33" s="13"/>
      <c r="E33" s="13"/>
      <c r="F33" s="13"/>
      <c r="G33" s="13">
        <f>$B$19*MAX(0.001,(1-$B$15)*INDEX(Curve!$G$1:$G$100,4+($B$12-1)*24+1+G$32*2)+$B$15*INDEX(Curve!$G$1:$G$100,4+$B$12*24+1+G$32*2))</f>
        <v>0.19018503460626901</v>
      </c>
      <c r="H33" s="13">
        <f>$B$19*MAX(0.001,(1-$B$15)*INDEX(Curve!$G$1:$G$100,4+($B$12-1)*24+1+H$32*2)+$B$15*INDEX(Curve!$G$1:$G$100,4+$B$12*24+1+H$32*2))</f>
        <v>0.18684285241631546</v>
      </c>
      <c r="I33" s="13">
        <f>$B$19*MAX(0.001,(1-$B$15)*INDEX(Curve!$G$1:$G$100,4+($B$12-1)*24+1+I$32*2)+$B$15*INDEX(Curve!$G$1:$G$100,4+$B$12*24+1+I$32*2))</f>
        <v>0.18731577891483223</v>
      </c>
      <c r="J33" s="13">
        <f>$B$19*MAX(0.001,(1-$B$15)*INDEX(Curve!$G$1:$G$100,4+($B$12-1)*24+1+J$32*2)+$B$15*INDEX(Curve!$G$1:$G$100,4+$B$12*24+1+J$32*2))</f>
        <v>0.18463450601385839</v>
      </c>
      <c r="K33" s="13">
        <f>$B$19*MAX(0.001,(1-$B$15)*INDEX(Curve!$G$1:$G$100,4+($B$12-1)*24+1+K$32*2)+$B$15*INDEX(Curve!$G$1:$G$100,4+$B$12*24+1+K$32*2))</f>
        <v>0.17869744447610011</v>
      </c>
      <c r="L33" s="13">
        <f>$B$19*MAX(0.001,(1-$B$15)*INDEX(Curve!$G$1:$G$100,4+($B$12-1)*24+1+L$32*2)+$B$15*INDEX(Curve!$G$1:$G$100,4+$B$12*24+1+L$32*2))</f>
        <v>0.17067355291208383</v>
      </c>
      <c r="M33" s="13">
        <f>$B$19*MAX(0.001,(1-$B$15)*INDEX(Curve!$G$1:$G$100,4+($B$12-1)*24+1+M$32*2)+$B$15*INDEX(Curve!$G$1:$G$100,4+$B$12*24+1+M$32*2))</f>
        <v>0.15895875441019081</v>
      </c>
      <c r="N33" s="13">
        <f>$B$19*MAX(0.001,(1-$B$15)*INDEX(Curve!$G$1:$G$100,4+($B$12-1)*24+1+N$32*2)+$B$15*INDEX(Curve!$G$1:$G$100,4+$B$12*24+1+N$32*2))</f>
        <v>0.14771376099333822</v>
      </c>
      <c r="O33" s="13">
        <f>$B$19*MAX(0.001,(1-$B$15)*INDEX(Curve!$G$1:$G$100,4+($B$12-1)*24+1+O$32*2)+$B$15*INDEX(Curve!$G$1:$G$100,4+$B$12*24+1+O$32*2))</f>
        <v>0.13785088508132312</v>
      </c>
      <c r="P33" s="13">
        <f>$B$19*MAX(0.001,(1-$B$15)*INDEX(Curve!$G$1:$G$100,4+($B$12-1)*24+1+P$32*2)+$B$15*INDEX(Curve!$G$1:$G$100,4+$B$12*24+1+P$32*2))</f>
        <v>0.12739990821615463</v>
      </c>
      <c r="Q33" s="13">
        <f>$B$19*MAX(0.001,(1-$B$15)*INDEX(Curve!$G$1:$G$100,4+($B$12-1)*24+1+Q$32*2)+$B$15*INDEX(Curve!$G$1:$G$100,4+$B$12*24+1+Q$32*2))</f>
        <v>0.11648520032665681</v>
      </c>
      <c r="R33" s="13">
        <f>$B$19*MAX(0.001,(1-$B$15)*INDEX(Curve!$G$1:$G$100,4+($B$12-1)*24+1+R$32*2)+$B$15*INDEX(Curve!$G$1:$G$100,4+$B$12*24+1+R$32*2))</f>
        <v>0.10733980382362163</v>
      </c>
      <c r="S33" s="13">
        <f>$B$19*MAX(0.001,(1-$B$15)*INDEX(Curve!$G$1:$G$100,4+($B$12-1)*24+1+S$32*2)+$B$15*INDEX(Curve!$G$1:$G$100,4+$B$12*24+1+S$32*2))</f>
        <v>9.9304329218034296E-2</v>
      </c>
      <c r="T33" s="13">
        <f>$B$19*MAX(0.001,(1-$B$15)*INDEX(Curve!$G$1:$G$100,4+($B$12-1)*24+1+T$32*2)+$B$15*INDEX(Curve!$G$1:$G$100,4+$B$12*24+1+T$32*2))</f>
        <v>9.2187666769201204E-2</v>
      </c>
      <c r="U33" s="13">
        <f>$B$19*MAX(0.001,(1-$B$15)*INDEX(Curve!$G$1:$G$100,4+($B$12-1)*24+1+U$32*2)+$B$15*INDEX(Curve!$G$1:$G$100,4+$B$12*24+1+U$32*2))</f>
        <v>8.5979864863901689E-2</v>
      </c>
      <c r="V33" s="13">
        <f>$B$19*MAX(0.001,(1-$B$15)*INDEX(Curve!$G$1:$G$100,4+($B$12-1)*24+1+V$32*2)+$B$15*INDEX(Curve!$G$1:$G$100,4+$B$12*24+1+V$32*2))</f>
        <v>7.9147748950914407E-2</v>
      </c>
      <c r="W33" s="13">
        <f>$B$19*MAX(0.001,(1-$B$15)*INDEX(Curve!$G$1:$G$100,4+($B$12-1)*24+1+W$32*2)+$B$15*INDEX(Curve!$G$1:$G$100,4+$B$12*24+1+W$32*2))</f>
        <v>7.2984888643395862E-2</v>
      </c>
      <c r="X33" s="13">
        <f>$B$19*MAX(0.001,(1-$B$15)*INDEX(Curve!$G$1:$G$100,4+($B$12-1)*24+1+X$32*2)+$B$15*INDEX(Curve!$G$1:$G$100,4+$B$12*24+1+X$32*2))</f>
        <v>6.243159903299289E-2</v>
      </c>
      <c r="Y33" s="13">
        <f>$B$19*MAX(0.001,(1-$B$15)*INDEX(Curve!$G$1:$G$100,4+($B$12-1)*24+1+Y$32*2)+$B$15*INDEX(Curve!$G$1:$G$100,4+$B$12*24+1+Y$32*2))</f>
        <v>3.9396412244661429E-2</v>
      </c>
    </row>
    <row r="34" spans="1:31" x14ac:dyDescent="0.25">
      <c r="A34" s="18">
        <f>B6</f>
        <v>150</v>
      </c>
      <c r="B34" s="23">
        <f t="shared" ref="B34:B42" si="0">IF(OR(A34="",NOT(ISNUMBER($B$18))),"",A34/3600/$B$18)</f>
        <v>2.6127007193945198</v>
      </c>
      <c r="C34" s="13">
        <f t="shared" ref="C34:C42" si="1">IF(B34="","",$B$7/B34)</f>
        <v>9.5686428278680249E-2</v>
      </c>
      <c r="D34" s="23">
        <f t="shared" ref="D34:D42" si="2">IF(B34="","",IF(AA34="",IF(ISNUMBER(G34),IF(G34&lt;$B$7,"&lt; 0,5","n.d."),"n.d."),EXP(LN(AA34)+(LN($B$7)-LN(AC34))*(LN(AB34)-LN(AA34))/(LN(AD34)-LN(AC34)))))</f>
        <v>6.7449069005414923</v>
      </c>
      <c r="E34" s="23">
        <f t="shared" ref="E34:E42" si="3">IF(OR(B34="",AE34=""),"",IFERROR(EXP(LN(INDEX(G34:Y34,AE34))+(LN($B$8)-LN(INDEX(G$32:Y$32,AE34)))*(LN(INDEX(G34:Y34,AE34+1))-LN(INDEX(G34:Y34,AE34)))/(LN(INDEX(G$32:Y$32,AE34+1))-LN(INDEX(G$32:Y$32,AE34)))),""))</f>
        <v>0.19942252580429665</v>
      </c>
      <c r="F34" s="5" t="str">
        <f>IF(B34="","",IF(OR($B$4&lt;MIN(Parametri!$A$17:$A$19),$B$4&gt;MAX(Parametri!$A$17:$A$19),$B$5&lt;20,$B$5&gt;60),"L o h fuori campo: estrapolazione",IF(OR(A34*$B$9/$B$5&lt;$B$22*0.99,A34*$B$9/$B$5&gt;$B$23*1.01),"Q fuori dal campo simulato (estrapolazione)",IF(NOT(ISNUMBER(D34)),"vₜ non raggiunta / &lt; 0,5 m",IF(C34&gt;$B$20,"vₜ nel plateau/transizione: L poco significativo",IF(D34&gt;Parametri!$B$7,"Oltre x max: troncato dal pavimento",IF($B$5=$B$9,"OK","OK (stima per similarità)")))))))</f>
        <v>OK (stima per similarità)</v>
      </c>
      <c r="G34" s="13">
        <f t="shared" ref="G34:P42" si="4">IF(OR($B34="",NOT(ISNUMBER(G$33))),"",G$33*$B34)</f>
        <v>0.49689657673387067</v>
      </c>
      <c r="H34" s="13">
        <f t="shared" si="4"/>
        <v>0.48816445492183147</v>
      </c>
      <c r="I34" s="13">
        <f t="shared" si="4"/>
        <v>0.48940007032472699</v>
      </c>
      <c r="J34" s="13">
        <f t="shared" si="4"/>
        <v>0.4823947066874596</v>
      </c>
      <c r="K34" s="13">
        <f t="shared" si="4"/>
        <v>0.466882941736669</v>
      </c>
      <c r="L34" s="13">
        <f t="shared" si="4"/>
        <v>0.44591891447502008</v>
      </c>
      <c r="M34" s="13">
        <f t="shared" si="4"/>
        <v>0.41531165200156228</v>
      </c>
      <c r="N34" s="13">
        <f t="shared" si="4"/>
        <v>0.38593184961176491</v>
      </c>
      <c r="O34" s="13">
        <f t="shared" si="4"/>
        <v>0.3601631066211442</v>
      </c>
      <c r="P34" s="13">
        <f t="shared" si="4"/>
        <v>0.33285783184714296</v>
      </c>
      <c r="Q34" s="13">
        <f t="shared" ref="Q34:Y42" si="5">IF(OR($B34="",NOT(ISNUMBER(Q$33))),"",Q$33*$B34)</f>
        <v>0.30434096669227101</v>
      </c>
      <c r="R34" s="13">
        <f t="shared" si="5"/>
        <v>0.28044678266964285</v>
      </c>
      <c r="S34" s="13">
        <f t="shared" si="5"/>
        <v>0.25945249238694845</v>
      </c>
      <c r="T34" s="13">
        <f t="shared" si="5"/>
        <v>0.24085878328719426</v>
      </c>
      <c r="U34" s="13">
        <f t="shared" si="5"/>
        <v>0.22463965478335954</v>
      </c>
      <c r="V34" s="13">
        <f t="shared" si="5"/>
        <v>0.20678938062251093</v>
      </c>
      <c r="W34" s="13">
        <f t="shared" si="5"/>
        <v>0.1906876710635293</v>
      </c>
      <c r="X34" s="13">
        <f t="shared" si="5"/>
        <v>0.16311508370645073</v>
      </c>
      <c r="Y34" s="13">
        <f t="shared" si="5"/>
        <v>0.10293103461318998</v>
      </c>
      <c r="Z34" s="18">
        <f t="array" ref="Z34">IF(B34="","",SUMPRODUCT(MAX(ISNUMBER(G34:X34)*ISNUMBER(H34:Y34)*(G34:X34&gt;=$B$7)*(H34:Y34&lt;$B$7)*(COLUMN(G34:X34)-COLUMN(G34)+1))))</f>
        <v>13</v>
      </c>
      <c r="AA34" s="9">
        <f t="shared" ref="AA34:AA42" si="6">IF(OR(Z34="",Z34=0),"",INDEX(G$32:Y$32,Z34))</f>
        <v>6.5</v>
      </c>
      <c r="AB34" s="9">
        <f t="shared" ref="AB34:AB42" si="7">IF(AA34="","",INDEX(G$32:Y$32,Z34+1))</f>
        <v>7</v>
      </c>
      <c r="AC34" s="13">
        <f t="shared" ref="AC34:AC42" si="8">IF(AA34="","",INDEX(G34:Y34,Z34))</f>
        <v>0.25945249238694845</v>
      </c>
      <c r="AD34" s="13">
        <f t="shared" ref="AD34:AD42" si="9">IF(AA34="","",INDEX(G34:Y34,Z34+1))</f>
        <v>0.24085878328719426</v>
      </c>
      <c r="AE34" s="18">
        <f t="shared" ref="AE34:AE42" si="10">IF(B34="","",IFERROR(MATCH($B$8,$G$32:$Y$32,1),""))</f>
        <v>16</v>
      </c>
    </row>
    <row r="35" spans="1:31" x14ac:dyDescent="0.25">
      <c r="A35" s="12">
        <v>60</v>
      </c>
      <c r="B35" s="23">
        <f t="shared" si="0"/>
        <v>1.045080287757808</v>
      </c>
      <c r="C35" s="13">
        <f t="shared" si="1"/>
        <v>0.23921607069670059</v>
      </c>
      <c r="D35" s="23" t="str">
        <f t="shared" si="2"/>
        <v>&lt; 0,5</v>
      </c>
      <c r="E35" s="23">
        <f t="shared" si="3"/>
        <v>7.9769010321718653E-2</v>
      </c>
      <c r="F35" s="5" t="str">
        <f>IF(B35="","",IF(OR($B$4&lt;MIN(Parametri!$A$17:$A$19),$B$4&gt;MAX(Parametri!$A$17:$A$19),$B$5&lt;20,$B$5&gt;60),"L o h fuori campo: estrapolazione",IF(OR(A35*$B$9/$B$5&lt;$B$22*0.99,A35*$B$9/$B$5&gt;$B$23*1.01),"Q fuori dal campo simulato (estrapolazione)",IF(NOT(ISNUMBER(D35)),"vₜ non raggiunta / &lt; 0,5 m",IF(C35&gt;$B$20,"vₜ nel plateau/transizione: L poco significativo",IF(D35&gt;Parametri!$B$7,"Oltre x max: troncato dal pavimento",IF($B$5=$B$9,"OK","OK (stima per similarità)")))))))</f>
        <v>vₜ non raggiunta / &lt; 0,5 m</v>
      </c>
      <c r="G35" s="13">
        <f t="shared" si="4"/>
        <v>0.19875863069354829</v>
      </c>
      <c r="H35" s="13">
        <f t="shared" si="4"/>
        <v>0.19526578196873262</v>
      </c>
      <c r="I35" s="13">
        <f t="shared" si="4"/>
        <v>0.19576002812989082</v>
      </c>
      <c r="J35" s="13">
        <f t="shared" si="4"/>
        <v>0.19295788267498387</v>
      </c>
      <c r="K35" s="13">
        <f t="shared" si="4"/>
        <v>0.18675317669466762</v>
      </c>
      <c r="L35" s="13">
        <f t="shared" si="4"/>
        <v>0.17836756579000804</v>
      </c>
      <c r="M35" s="13">
        <f t="shared" si="4"/>
        <v>0.16612466080062493</v>
      </c>
      <c r="N35" s="13">
        <f t="shared" si="4"/>
        <v>0.15437273984470598</v>
      </c>
      <c r="O35" s="13">
        <f t="shared" si="4"/>
        <v>0.14406524264845769</v>
      </c>
      <c r="P35" s="13">
        <f t="shared" si="4"/>
        <v>0.13314313273885722</v>
      </c>
      <c r="Q35" s="13">
        <f t="shared" si="5"/>
        <v>0.12173638667690842</v>
      </c>
      <c r="R35" s="13">
        <f t="shared" si="5"/>
        <v>0.11217871306785715</v>
      </c>
      <c r="S35" s="13">
        <f t="shared" si="5"/>
        <v>0.10378099695477938</v>
      </c>
      <c r="T35" s="13">
        <f t="shared" si="5"/>
        <v>9.6343513314877713E-2</v>
      </c>
      <c r="U35" s="13">
        <f t="shared" si="5"/>
        <v>8.9855861913343826E-2</v>
      </c>
      <c r="V35" s="13">
        <f t="shared" si="5"/>
        <v>8.2715752249004376E-2</v>
      </c>
      <c r="W35" s="13">
        <f t="shared" si="5"/>
        <v>7.6275068425411721E-2</v>
      </c>
      <c r="X35" s="13">
        <f t="shared" si="5"/>
        <v>6.5246033482580304E-2</v>
      </c>
      <c r="Y35" s="13">
        <f t="shared" si="5"/>
        <v>4.1172413845276E-2</v>
      </c>
      <c r="Z35" s="18">
        <f t="array" ref="Z35">IF(B35="","",SUMPRODUCT(MAX(ISNUMBER(G35:X35)*ISNUMBER(H35:Y35)*(G35:X35&gt;=$B$7)*(H35:Y35&lt;$B$7)*(COLUMN(G35:X35)-COLUMN(G35)+1))))</f>
        <v>0</v>
      </c>
      <c r="AA35" s="9" t="str">
        <f t="shared" si="6"/>
        <v/>
      </c>
      <c r="AB35" s="9" t="str">
        <f t="shared" si="7"/>
        <v/>
      </c>
      <c r="AC35" s="13" t="str">
        <f t="shared" si="8"/>
        <v/>
      </c>
      <c r="AD35" s="13" t="str">
        <f t="shared" si="9"/>
        <v/>
      </c>
      <c r="AE35" s="18">
        <f t="shared" si="10"/>
        <v>16</v>
      </c>
    </row>
    <row r="36" spans="1:31" x14ac:dyDescent="0.25">
      <c r="A36" s="12">
        <v>80</v>
      </c>
      <c r="B36" s="23">
        <f t="shared" si="0"/>
        <v>1.3934403836770772</v>
      </c>
      <c r="C36" s="13">
        <f t="shared" si="1"/>
        <v>0.17941205302252547</v>
      </c>
      <c r="D36" s="23">
        <f t="shared" si="2"/>
        <v>2.4328003000021878</v>
      </c>
      <c r="E36" s="23">
        <f t="shared" si="3"/>
        <v>0.10635868042895819</v>
      </c>
      <c r="F36" s="5" t="str">
        <f>IF(B36="","",IF(OR($B$4&lt;MIN(Parametri!$A$17:$A$19),$B$4&gt;MAX(Parametri!$A$17:$A$19),$B$5&lt;20,$B$5&gt;60),"L o h fuori campo: estrapolazione",IF(OR(A36*$B$9/$B$5&lt;$B$22*0.99,A36*$B$9/$B$5&gt;$B$23*1.01),"Q fuori dal campo simulato (estrapolazione)",IF(NOT(ISNUMBER(D36)),"vₜ non raggiunta / &lt; 0,5 m",IF(C36&gt;$B$20,"vₜ nel plateau/transizione: L poco significativo",IF(D36&gt;Parametri!$B$7,"Oltre x max: troncato dal pavimento",IF($B$5=$B$9,"OK","OK (stima per similarità)")))))))</f>
        <v>vₜ nel plateau/transizione: L poco significativo</v>
      </c>
      <c r="G36" s="13">
        <f t="shared" si="4"/>
        <v>0.26501150759139769</v>
      </c>
      <c r="H36" s="13">
        <f t="shared" si="4"/>
        <v>0.26035437595831012</v>
      </c>
      <c r="I36" s="13">
        <f t="shared" si="4"/>
        <v>0.26101337083985438</v>
      </c>
      <c r="J36" s="13">
        <f t="shared" si="4"/>
        <v>0.25727717689997848</v>
      </c>
      <c r="K36" s="13">
        <f t="shared" si="4"/>
        <v>0.24900423559289014</v>
      </c>
      <c r="L36" s="13">
        <f t="shared" si="4"/>
        <v>0.23782342105334403</v>
      </c>
      <c r="M36" s="13">
        <f t="shared" si="4"/>
        <v>0.22149954773416658</v>
      </c>
      <c r="N36" s="13">
        <f t="shared" si="4"/>
        <v>0.20583031979294128</v>
      </c>
      <c r="O36" s="13">
        <f t="shared" si="4"/>
        <v>0.19208699019794356</v>
      </c>
      <c r="P36" s="13">
        <f t="shared" si="4"/>
        <v>0.17752417698514292</v>
      </c>
      <c r="Q36" s="13">
        <f t="shared" si="5"/>
        <v>0.16231518223587788</v>
      </c>
      <c r="R36" s="13">
        <f t="shared" si="5"/>
        <v>0.14957161742380953</v>
      </c>
      <c r="S36" s="13">
        <f t="shared" si="5"/>
        <v>0.13837466260637249</v>
      </c>
      <c r="T36" s="13">
        <f t="shared" si="5"/>
        <v>0.12845801775317026</v>
      </c>
      <c r="U36" s="13">
        <f t="shared" si="5"/>
        <v>0.11980781588445842</v>
      </c>
      <c r="V36" s="13">
        <f t="shared" si="5"/>
        <v>0.11028766966533916</v>
      </c>
      <c r="W36" s="13">
        <f t="shared" si="5"/>
        <v>0.10170009123388228</v>
      </c>
      <c r="X36" s="13">
        <f t="shared" si="5"/>
        <v>8.6994711310107053E-2</v>
      </c>
      <c r="Y36" s="13">
        <f t="shared" si="5"/>
        <v>5.4896551793701322E-2</v>
      </c>
      <c r="Z36" s="18">
        <f t="array" ref="Z36">IF(B36="","",SUMPRODUCT(MAX(ISNUMBER(G36:X36)*ISNUMBER(H36:Y36)*(G36:X36&gt;=$B$7)*(H36:Y36&lt;$B$7)*(COLUMN(G36:X36)-COLUMN(G36)+1))))</f>
        <v>4</v>
      </c>
      <c r="AA36" s="9">
        <f t="shared" si="6"/>
        <v>2</v>
      </c>
      <c r="AB36" s="9">
        <f t="shared" si="7"/>
        <v>2.5</v>
      </c>
      <c r="AC36" s="13">
        <f t="shared" si="8"/>
        <v>0.25727717689997848</v>
      </c>
      <c r="AD36" s="13">
        <f t="shared" si="9"/>
        <v>0.24900423559289014</v>
      </c>
      <c r="AE36" s="18">
        <f t="shared" si="10"/>
        <v>16</v>
      </c>
    </row>
    <row r="37" spans="1:31" x14ac:dyDescent="0.25">
      <c r="A37" s="12">
        <v>100</v>
      </c>
      <c r="B37" s="23">
        <f t="shared" si="0"/>
        <v>1.7418004795963464</v>
      </c>
      <c r="C37" s="13">
        <f t="shared" si="1"/>
        <v>0.14352964241802038</v>
      </c>
      <c r="D37" s="23">
        <f t="shared" si="2"/>
        <v>4.2007830897614342</v>
      </c>
      <c r="E37" s="23">
        <f t="shared" si="3"/>
        <v>0.13294835053619772</v>
      </c>
      <c r="F37" s="5" t="str">
        <f>IF(B37="","",IF(OR($B$4&lt;MIN(Parametri!$A$17:$A$19),$B$4&gt;MAX(Parametri!$A$17:$A$19),$B$5&lt;20,$B$5&gt;60),"L o h fuori campo: estrapolazione",IF(OR(A37*$B$9/$B$5&lt;$B$22*0.99,A37*$B$9/$B$5&gt;$B$23*1.01),"Q fuori dal campo simulato (estrapolazione)",IF(NOT(ISNUMBER(D37)),"vₜ non raggiunta / &lt; 0,5 m",IF(C37&gt;$B$20,"vₜ nel plateau/transizione: L poco significativo",IF(D37&gt;Parametri!$B$7,"Oltre x max: troncato dal pavimento",IF($B$5=$B$9,"OK","OK (stima per similarità)")))))))</f>
        <v>vₜ nel plateau/transizione: L poco significativo</v>
      </c>
      <c r="G37" s="13">
        <f t="shared" si="4"/>
        <v>0.33126438448924711</v>
      </c>
      <c r="H37" s="13">
        <f t="shared" si="4"/>
        <v>0.32544296994788763</v>
      </c>
      <c r="I37" s="13">
        <f t="shared" si="4"/>
        <v>0.32626671354981795</v>
      </c>
      <c r="J37" s="13">
        <f t="shared" si="4"/>
        <v>0.32159647112497303</v>
      </c>
      <c r="K37" s="13">
        <f t="shared" si="4"/>
        <v>0.31125529449111267</v>
      </c>
      <c r="L37" s="13">
        <f t="shared" si="4"/>
        <v>0.29727927631668005</v>
      </c>
      <c r="M37" s="13">
        <f t="shared" si="4"/>
        <v>0.27687443466770817</v>
      </c>
      <c r="N37" s="13">
        <f t="shared" si="4"/>
        <v>0.25728789974117661</v>
      </c>
      <c r="O37" s="13">
        <f t="shared" si="4"/>
        <v>0.24010873774742944</v>
      </c>
      <c r="P37" s="13">
        <f t="shared" si="4"/>
        <v>0.22190522123142864</v>
      </c>
      <c r="Q37" s="13">
        <f t="shared" si="5"/>
        <v>0.20289397779484733</v>
      </c>
      <c r="R37" s="13">
        <f t="shared" si="5"/>
        <v>0.18696452177976189</v>
      </c>
      <c r="S37" s="13">
        <f t="shared" si="5"/>
        <v>0.17296832825796563</v>
      </c>
      <c r="T37" s="13">
        <f t="shared" si="5"/>
        <v>0.16057252219146281</v>
      </c>
      <c r="U37" s="13">
        <f t="shared" si="5"/>
        <v>0.14975976985557302</v>
      </c>
      <c r="V37" s="13">
        <f t="shared" si="5"/>
        <v>0.13785958708167395</v>
      </c>
      <c r="W37" s="13">
        <f t="shared" si="5"/>
        <v>0.12712511404235285</v>
      </c>
      <c r="X37" s="13">
        <f t="shared" si="5"/>
        <v>0.10874338913763382</v>
      </c>
      <c r="Y37" s="13">
        <f t="shared" si="5"/>
        <v>6.862068974212665E-2</v>
      </c>
      <c r="Z37" s="18">
        <f t="array" ref="Z37">IF(B37="","",SUMPRODUCT(MAX(ISNUMBER(G37:X37)*ISNUMBER(H37:Y37)*(G37:X37&gt;=$B$7)*(H37:Y37&lt;$B$7)*(COLUMN(G37:X37)-COLUMN(G37)+1))))</f>
        <v>8</v>
      </c>
      <c r="AA37" s="9">
        <f t="shared" si="6"/>
        <v>4</v>
      </c>
      <c r="AB37" s="9">
        <f t="shared" si="7"/>
        <v>4.5</v>
      </c>
      <c r="AC37" s="13">
        <f t="shared" si="8"/>
        <v>0.25728789974117661</v>
      </c>
      <c r="AD37" s="13">
        <f t="shared" si="9"/>
        <v>0.24010873774742944</v>
      </c>
      <c r="AE37" s="18">
        <f t="shared" si="10"/>
        <v>16</v>
      </c>
    </row>
    <row r="38" spans="1:31" x14ac:dyDescent="0.25">
      <c r="A38" s="12">
        <v>120</v>
      </c>
      <c r="B38" s="23">
        <f t="shared" si="0"/>
        <v>2.0901605755156161</v>
      </c>
      <c r="C38" s="13">
        <f t="shared" si="1"/>
        <v>0.11960803534835029</v>
      </c>
      <c r="D38" s="23">
        <f t="shared" si="2"/>
        <v>5.3473218349134362</v>
      </c>
      <c r="E38" s="23">
        <f t="shared" si="3"/>
        <v>0.15953802064343731</v>
      </c>
      <c r="F38" s="5" t="str">
        <f>IF(B38="","",IF(OR($B$4&lt;MIN(Parametri!$A$17:$A$19),$B$4&gt;MAX(Parametri!$A$17:$A$19),$B$5&lt;20,$B$5&gt;60),"L o h fuori campo: estrapolazione",IF(OR(A38*$B$9/$B$5&lt;$B$22*0.99,A38*$B$9/$B$5&gt;$B$23*1.01),"Q fuori dal campo simulato (estrapolazione)",IF(NOT(ISNUMBER(D38)),"vₜ non raggiunta / &lt; 0,5 m",IF(C38&gt;$B$20,"vₜ nel plateau/transizione: L poco significativo",IF(D38&gt;Parametri!$B$7,"Oltre x max: troncato dal pavimento",IF($B$5=$B$9,"OK","OK (stima per similarità)")))))))</f>
        <v>OK (stima per similarità)</v>
      </c>
      <c r="G38" s="13">
        <f t="shared" si="4"/>
        <v>0.39751726138709659</v>
      </c>
      <c r="H38" s="13">
        <f t="shared" si="4"/>
        <v>0.39053156393746524</v>
      </c>
      <c r="I38" s="13">
        <f t="shared" si="4"/>
        <v>0.39152005625978165</v>
      </c>
      <c r="J38" s="13">
        <f t="shared" si="4"/>
        <v>0.38591576534996774</v>
      </c>
      <c r="K38" s="13">
        <f t="shared" si="4"/>
        <v>0.37350635338933524</v>
      </c>
      <c r="L38" s="13">
        <f t="shared" si="4"/>
        <v>0.35673513158001607</v>
      </c>
      <c r="M38" s="13">
        <f t="shared" si="4"/>
        <v>0.33224932160124987</v>
      </c>
      <c r="N38" s="13">
        <f t="shared" si="4"/>
        <v>0.30874547968941196</v>
      </c>
      <c r="O38" s="13">
        <f t="shared" si="4"/>
        <v>0.28813048529691537</v>
      </c>
      <c r="P38" s="13">
        <f t="shared" si="4"/>
        <v>0.26628626547771445</v>
      </c>
      <c r="Q38" s="13">
        <f t="shared" si="5"/>
        <v>0.24347277335381684</v>
      </c>
      <c r="R38" s="13">
        <f t="shared" si="5"/>
        <v>0.2243574261357143</v>
      </c>
      <c r="S38" s="13">
        <f t="shared" si="5"/>
        <v>0.20756199390955876</v>
      </c>
      <c r="T38" s="13">
        <f t="shared" si="5"/>
        <v>0.19268702662975543</v>
      </c>
      <c r="U38" s="13">
        <f t="shared" si="5"/>
        <v>0.17971172382668765</v>
      </c>
      <c r="V38" s="13">
        <f t="shared" si="5"/>
        <v>0.16543150449800875</v>
      </c>
      <c r="W38" s="13">
        <f t="shared" si="5"/>
        <v>0.15255013685082344</v>
      </c>
      <c r="X38" s="13">
        <f t="shared" si="5"/>
        <v>0.13049206696516061</v>
      </c>
      <c r="Y38" s="13">
        <f t="shared" si="5"/>
        <v>8.2344827690552E-2</v>
      </c>
      <c r="Z38" s="18">
        <f t="array" ref="Z38">IF(B38="","",SUMPRODUCT(MAX(ISNUMBER(G38:X38)*ISNUMBER(H38:Y38)*(G38:X38&gt;=$B$7)*(H38:Y38&lt;$B$7)*(COLUMN(G38:X38)-COLUMN(G38)+1))))</f>
        <v>10</v>
      </c>
      <c r="AA38" s="9">
        <f t="shared" si="6"/>
        <v>5</v>
      </c>
      <c r="AB38" s="9">
        <f t="shared" si="7"/>
        <v>5.5</v>
      </c>
      <c r="AC38" s="13">
        <f t="shared" si="8"/>
        <v>0.26628626547771445</v>
      </c>
      <c r="AD38" s="13">
        <f t="shared" si="9"/>
        <v>0.24347277335381684</v>
      </c>
      <c r="AE38" s="18">
        <f t="shared" si="10"/>
        <v>16</v>
      </c>
    </row>
    <row r="39" spans="1:31" x14ac:dyDescent="0.25">
      <c r="A39" s="12">
        <v>150</v>
      </c>
      <c r="B39" s="23">
        <f t="shared" si="0"/>
        <v>2.6127007193945198</v>
      </c>
      <c r="C39" s="13">
        <f t="shared" si="1"/>
        <v>9.5686428278680249E-2</v>
      </c>
      <c r="D39" s="23">
        <f t="shared" si="2"/>
        <v>6.7449069005414923</v>
      </c>
      <c r="E39" s="23">
        <f t="shared" si="3"/>
        <v>0.19942252580429665</v>
      </c>
      <c r="F39" s="5" t="str">
        <f>IF(B39="","",IF(OR($B$4&lt;MIN(Parametri!$A$17:$A$19),$B$4&gt;MAX(Parametri!$A$17:$A$19),$B$5&lt;20,$B$5&gt;60),"L o h fuori campo: estrapolazione",IF(OR(A39*$B$9/$B$5&lt;$B$22*0.99,A39*$B$9/$B$5&gt;$B$23*1.01),"Q fuori dal campo simulato (estrapolazione)",IF(NOT(ISNUMBER(D39)),"vₜ non raggiunta / &lt; 0,5 m",IF(C39&gt;$B$20,"vₜ nel plateau/transizione: L poco significativo",IF(D39&gt;Parametri!$B$7,"Oltre x max: troncato dal pavimento",IF($B$5=$B$9,"OK","OK (stima per similarità)")))))))</f>
        <v>OK (stima per similarità)</v>
      </c>
      <c r="G39" s="13">
        <f t="shared" si="4"/>
        <v>0.49689657673387067</v>
      </c>
      <c r="H39" s="13">
        <f t="shared" si="4"/>
        <v>0.48816445492183147</v>
      </c>
      <c r="I39" s="13">
        <f t="shared" si="4"/>
        <v>0.48940007032472699</v>
      </c>
      <c r="J39" s="13">
        <f t="shared" si="4"/>
        <v>0.4823947066874596</v>
      </c>
      <c r="K39" s="13">
        <f t="shared" si="4"/>
        <v>0.466882941736669</v>
      </c>
      <c r="L39" s="13">
        <f t="shared" si="4"/>
        <v>0.44591891447502008</v>
      </c>
      <c r="M39" s="13">
        <f t="shared" si="4"/>
        <v>0.41531165200156228</v>
      </c>
      <c r="N39" s="13">
        <f t="shared" si="4"/>
        <v>0.38593184961176491</v>
      </c>
      <c r="O39" s="13">
        <f t="shared" si="4"/>
        <v>0.3601631066211442</v>
      </c>
      <c r="P39" s="13">
        <f t="shared" si="4"/>
        <v>0.33285783184714296</v>
      </c>
      <c r="Q39" s="13">
        <f t="shared" si="5"/>
        <v>0.30434096669227101</v>
      </c>
      <c r="R39" s="13">
        <f t="shared" si="5"/>
        <v>0.28044678266964285</v>
      </c>
      <c r="S39" s="13">
        <f t="shared" si="5"/>
        <v>0.25945249238694845</v>
      </c>
      <c r="T39" s="13">
        <f t="shared" si="5"/>
        <v>0.24085878328719426</v>
      </c>
      <c r="U39" s="13">
        <f t="shared" si="5"/>
        <v>0.22463965478335954</v>
      </c>
      <c r="V39" s="13">
        <f t="shared" si="5"/>
        <v>0.20678938062251093</v>
      </c>
      <c r="W39" s="13">
        <f t="shared" si="5"/>
        <v>0.1906876710635293</v>
      </c>
      <c r="X39" s="13">
        <f t="shared" si="5"/>
        <v>0.16311508370645073</v>
      </c>
      <c r="Y39" s="13">
        <f t="shared" si="5"/>
        <v>0.10293103461318998</v>
      </c>
      <c r="Z39" s="18">
        <f t="array" ref="Z39">IF(B39="","",SUMPRODUCT(MAX(ISNUMBER(G39:X39)*ISNUMBER(H39:Y39)*(G39:X39&gt;=$B$7)*(H39:Y39&lt;$B$7)*(COLUMN(G39:X39)-COLUMN(G39)+1))))</f>
        <v>13</v>
      </c>
      <c r="AA39" s="9">
        <f t="shared" si="6"/>
        <v>6.5</v>
      </c>
      <c r="AB39" s="9">
        <f t="shared" si="7"/>
        <v>7</v>
      </c>
      <c r="AC39" s="13">
        <f t="shared" si="8"/>
        <v>0.25945249238694845</v>
      </c>
      <c r="AD39" s="13">
        <f t="shared" si="9"/>
        <v>0.24085878328719426</v>
      </c>
      <c r="AE39" s="18">
        <f t="shared" si="10"/>
        <v>16</v>
      </c>
    </row>
    <row r="40" spans="1:31" x14ac:dyDescent="0.25">
      <c r="A40" s="12">
        <v>200</v>
      </c>
      <c r="B40" s="23">
        <f t="shared" si="0"/>
        <v>3.4836009591926929</v>
      </c>
      <c r="C40" s="13">
        <f t="shared" si="1"/>
        <v>7.1764821209010191E-2</v>
      </c>
      <c r="D40" s="23">
        <f t="shared" si="2"/>
        <v>8.5526039151280173</v>
      </c>
      <c r="E40" s="23">
        <f t="shared" si="3"/>
        <v>0.26589670107239549</v>
      </c>
      <c r="F40" s="5" t="str">
        <f>IF(B40="","",IF(OR($B$4&lt;MIN(Parametri!$A$17:$A$19),$B$4&gt;MAX(Parametri!$A$17:$A$19),$B$5&lt;20,$B$5&gt;60),"L o h fuori campo: estrapolazione",IF(OR(A40*$B$9/$B$5&lt;$B$22*0.99,A40*$B$9/$B$5&gt;$B$23*1.01),"Q fuori dal campo simulato (estrapolazione)",IF(NOT(ISNUMBER(D40)),"vₜ non raggiunta / &lt; 0,5 m",IF(C40&gt;$B$20,"vₜ nel plateau/transizione: L poco significativo",IF(D40&gt;Parametri!$B$7,"Oltre x max: troncato dal pavimento",IF($B$5=$B$9,"OK","OK (stima per similarità)")))))))</f>
        <v>Q fuori dal campo simulato (estrapolazione)</v>
      </c>
      <c r="G40" s="13">
        <f t="shared" si="4"/>
        <v>0.66252876897849422</v>
      </c>
      <c r="H40" s="13">
        <f t="shared" si="4"/>
        <v>0.65088593989577526</v>
      </c>
      <c r="I40" s="13">
        <f t="shared" si="4"/>
        <v>0.65253342709963591</v>
      </c>
      <c r="J40" s="13">
        <f t="shared" si="4"/>
        <v>0.64319294224994605</v>
      </c>
      <c r="K40" s="13">
        <f t="shared" si="4"/>
        <v>0.62251058898222533</v>
      </c>
      <c r="L40" s="13">
        <f t="shared" si="4"/>
        <v>0.5945585526333601</v>
      </c>
      <c r="M40" s="13">
        <f t="shared" si="4"/>
        <v>0.55374886933541634</v>
      </c>
      <c r="N40" s="13">
        <f t="shared" si="4"/>
        <v>0.51457579948235321</v>
      </c>
      <c r="O40" s="13">
        <f t="shared" si="4"/>
        <v>0.48021747549485888</v>
      </c>
      <c r="P40" s="13">
        <f t="shared" si="4"/>
        <v>0.44381044246285728</v>
      </c>
      <c r="Q40" s="13">
        <f t="shared" si="5"/>
        <v>0.40578795558969466</v>
      </c>
      <c r="R40" s="13">
        <f t="shared" si="5"/>
        <v>0.37392904355952378</v>
      </c>
      <c r="S40" s="13">
        <f t="shared" si="5"/>
        <v>0.34593665651593125</v>
      </c>
      <c r="T40" s="13">
        <f t="shared" si="5"/>
        <v>0.32114504438292563</v>
      </c>
      <c r="U40" s="13">
        <f t="shared" si="5"/>
        <v>0.29951953971114603</v>
      </c>
      <c r="V40" s="13">
        <f t="shared" si="5"/>
        <v>0.2757191741633479</v>
      </c>
      <c r="W40" s="13">
        <f t="shared" si="5"/>
        <v>0.25425022808470571</v>
      </c>
      <c r="X40" s="13">
        <f t="shared" si="5"/>
        <v>0.21748677827526763</v>
      </c>
      <c r="Y40" s="13">
        <f t="shared" si="5"/>
        <v>0.1372413794842533</v>
      </c>
      <c r="Z40" s="18">
        <f t="array" ref="Z40">IF(B40="","",SUMPRODUCT(MAX(ISNUMBER(G40:X40)*ISNUMBER(H40:Y40)*(G40:X40&gt;=$B$7)*(H40:Y40&lt;$B$7)*(COLUMN(G40:X40)-COLUMN(G40)+1))))</f>
        <v>17</v>
      </c>
      <c r="AA40" s="9">
        <f t="shared" si="6"/>
        <v>8.5</v>
      </c>
      <c r="AB40" s="9">
        <f t="shared" si="7"/>
        <v>9</v>
      </c>
      <c r="AC40" s="13">
        <f t="shared" si="8"/>
        <v>0.25425022808470571</v>
      </c>
      <c r="AD40" s="13">
        <f t="shared" si="9"/>
        <v>0.21748677827526763</v>
      </c>
      <c r="AE40" s="18">
        <f t="shared" si="10"/>
        <v>16</v>
      </c>
    </row>
    <row r="41" spans="1:31" x14ac:dyDescent="0.25">
      <c r="A41" s="12">
        <v>250</v>
      </c>
      <c r="B41" s="23">
        <f t="shared" si="0"/>
        <v>4.3545011989908664</v>
      </c>
      <c r="C41" s="13">
        <f t="shared" si="1"/>
        <v>5.7411856967208144E-2</v>
      </c>
      <c r="D41" s="23">
        <f t="shared" si="2"/>
        <v>9.0890296727864666</v>
      </c>
      <c r="E41" s="23">
        <f t="shared" si="3"/>
        <v>0.33237087634049434</v>
      </c>
      <c r="F41" s="5" t="str">
        <f>IF(B41="","",IF(OR($B$4&lt;MIN(Parametri!$A$17:$A$19),$B$4&gt;MAX(Parametri!$A$17:$A$19),$B$5&lt;20,$B$5&gt;60),"L o h fuori campo: estrapolazione",IF(OR(A41*$B$9/$B$5&lt;$B$22*0.99,A41*$B$9/$B$5&gt;$B$23*1.01),"Q fuori dal campo simulato (estrapolazione)",IF(NOT(ISNUMBER(D41)),"vₜ non raggiunta / &lt; 0,5 m",IF(C41&gt;$B$20,"vₜ nel plateau/transizione: L poco significativo",IF(D41&gt;Parametri!$B$7,"Oltre x max: troncato dal pavimento",IF($B$5=$B$9,"OK","OK (stima per similarità)")))))))</f>
        <v>Q fuori dal campo simulato (estrapolazione)</v>
      </c>
      <c r="G41" s="13">
        <f t="shared" si="4"/>
        <v>0.82816096122311778</v>
      </c>
      <c r="H41" s="13">
        <f t="shared" si="4"/>
        <v>0.81360742486971915</v>
      </c>
      <c r="I41" s="13">
        <f t="shared" si="4"/>
        <v>0.81566678387454494</v>
      </c>
      <c r="J41" s="13">
        <f t="shared" si="4"/>
        <v>0.80399117781243268</v>
      </c>
      <c r="K41" s="13">
        <f t="shared" si="4"/>
        <v>0.77813823622778178</v>
      </c>
      <c r="L41" s="13">
        <f t="shared" si="4"/>
        <v>0.74319819079170013</v>
      </c>
      <c r="M41" s="13">
        <f t="shared" si="4"/>
        <v>0.69218608666927051</v>
      </c>
      <c r="N41" s="13">
        <f t="shared" si="4"/>
        <v>0.64321974935294157</v>
      </c>
      <c r="O41" s="13">
        <f t="shared" si="4"/>
        <v>0.60027184436857361</v>
      </c>
      <c r="P41" s="13">
        <f t="shared" si="4"/>
        <v>0.55476305307857166</v>
      </c>
      <c r="Q41" s="13">
        <f t="shared" si="5"/>
        <v>0.50723494448711837</v>
      </c>
      <c r="R41" s="13">
        <f t="shared" si="5"/>
        <v>0.46741130444940476</v>
      </c>
      <c r="S41" s="13">
        <f t="shared" si="5"/>
        <v>0.43242082064491405</v>
      </c>
      <c r="T41" s="13">
        <f t="shared" si="5"/>
        <v>0.40143130547865707</v>
      </c>
      <c r="U41" s="13">
        <f t="shared" si="5"/>
        <v>0.37439942463893255</v>
      </c>
      <c r="V41" s="13">
        <f t="shared" si="5"/>
        <v>0.34464896770418485</v>
      </c>
      <c r="W41" s="13">
        <f t="shared" si="5"/>
        <v>0.31781278510588218</v>
      </c>
      <c r="X41" s="13">
        <f t="shared" si="5"/>
        <v>0.27185847284408454</v>
      </c>
      <c r="Y41" s="13">
        <f t="shared" si="5"/>
        <v>0.17155172435531665</v>
      </c>
      <c r="Z41" s="18">
        <f t="array" ref="Z41">IF(B41="","",SUMPRODUCT(MAX(ISNUMBER(G41:X41)*ISNUMBER(H41:Y41)*(G41:X41&gt;=$B$7)*(H41:Y41&lt;$B$7)*(COLUMN(G41:X41)-COLUMN(G41)+1))))</f>
        <v>18</v>
      </c>
      <c r="AA41" s="9">
        <f t="shared" si="6"/>
        <v>9</v>
      </c>
      <c r="AB41" s="9">
        <f t="shared" si="7"/>
        <v>9.5</v>
      </c>
      <c r="AC41" s="13">
        <f t="shared" si="8"/>
        <v>0.27185847284408454</v>
      </c>
      <c r="AD41" s="13">
        <f t="shared" si="9"/>
        <v>0.17155172435531665</v>
      </c>
      <c r="AE41" s="18">
        <f t="shared" si="10"/>
        <v>16</v>
      </c>
    </row>
    <row r="42" spans="1:31" x14ac:dyDescent="0.25">
      <c r="A42" s="12">
        <v>300</v>
      </c>
      <c r="B42" s="23">
        <f t="shared" si="0"/>
        <v>5.2254014387890395</v>
      </c>
      <c r="C42" s="13">
        <f t="shared" si="1"/>
        <v>4.7843214139340125E-2</v>
      </c>
      <c r="D42" s="23">
        <f t="shared" si="2"/>
        <v>9.2857344787042422</v>
      </c>
      <c r="E42" s="23">
        <f t="shared" si="3"/>
        <v>0.39884505160859324</v>
      </c>
      <c r="F42" s="5" t="str">
        <f>IF(B42="","",IF(OR($B$4&lt;MIN(Parametri!$A$17:$A$19),$B$4&gt;MAX(Parametri!$A$17:$A$19),$B$5&lt;20,$B$5&gt;60),"L o h fuori campo: estrapolazione",IF(OR(A42*$B$9/$B$5&lt;$B$22*0.99,A42*$B$9/$B$5&gt;$B$23*1.01),"Q fuori dal campo simulato (estrapolazione)",IF(NOT(ISNUMBER(D42)),"vₜ non raggiunta / &lt; 0,5 m",IF(C42&gt;$B$20,"vₜ nel plateau/transizione: L poco significativo",IF(D42&gt;Parametri!$B$7,"Oltre x max: troncato dal pavimento",IF($B$5=$B$9,"OK","OK (stima per similarità)")))))))</f>
        <v>Q fuori dal campo simulato (estrapolazione)</v>
      </c>
      <c r="G42" s="13">
        <f t="shared" si="4"/>
        <v>0.99379315346774133</v>
      </c>
      <c r="H42" s="13">
        <f t="shared" si="4"/>
        <v>0.97632890984366294</v>
      </c>
      <c r="I42" s="13">
        <f t="shared" si="4"/>
        <v>0.97880014064945398</v>
      </c>
      <c r="J42" s="13">
        <f t="shared" si="4"/>
        <v>0.96478941337491919</v>
      </c>
      <c r="K42" s="13">
        <f t="shared" si="4"/>
        <v>0.933765883473338</v>
      </c>
      <c r="L42" s="13">
        <f t="shared" si="4"/>
        <v>0.89183782895004016</v>
      </c>
      <c r="M42" s="13">
        <f t="shared" si="4"/>
        <v>0.83062330400312456</v>
      </c>
      <c r="N42" s="13">
        <f t="shared" si="4"/>
        <v>0.77186369922352982</v>
      </c>
      <c r="O42" s="13">
        <f t="shared" si="4"/>
        <v>0.7203262132422884</v>
      </c>
      <c r="P42" s="13">
        <f t="shared" si="4"/>
        <v>0.66571566369428592</v>
      </c>
      <c r="Q42" s="13">
        <f t="shared" si="5"/>
        <v>0.60868193338454202</v>
      </c>
      <c r="R42" s="13">
        <f t="shared" si="5"/>
        <v>0.56089356533928569</v>
      </c>
      <c r="S42" s="13">
        <f t="shared" si="5"/>
        <v>0.5189049847738969</v>
      </c>
      <c r="T42" s="13">
        <f t="shared" si="5"/>
        <v>0.48171756657438852</v>
      </c>
      <c r="U42" s="13">
        <f t="shared" si="5"/>
        <v>0.44927930956671908</v>
      </c>
      <c r="V42" s="13">
        <f t="shared" si="5"/>
        <v>0.41357876124502185</v>
      </c>
      <c r="W42" s="13">
        <f t="shared" si="5"/>
        <v>0.38137534212705859</v>
      </c>
      <c r="X42" s="13">
        <f t="shared" si="5"/>
        <v>0.32623016741290145</v>
      </c>
      <c r="Y42" s="13">
        <f t="shared" si="5"/>
        <v>0.20586206922637995</v>
      </c>
      <c r="Z42" s="18">
        <f t="array" ref="Z42">IF(B42="","",SUMPRODUCT(MAX(ISNUMBER(G42:X42)*ISNUMBER(H42:Y42)*(G42:X42&gt;=$B$7)*(H42:Y42&lt;$B$7)*(COLUMN(G42:X42)-COLUMN(G42)+1))))</f>
        <v>18</v>
      </c>
      <c r="AA42" s="9">
        <f t="shared" si="6"/>
        <v>9</v>
      </c>
      <c r="AB42" s="9">
        <f t="shared" si="7"/>
        <v>9.5</v>
      </c>
      <c r="AC42" s="13">
        <f t="shared" si="8"/>
        <v>0.32623016741290145</v>
      </c>
      <c r="AD42" s="13">
        <f t="shared" si="9"/>
        <v>0.20586206922637995</v>
      </c>
      <c r="AE42" s="18">
        <f t="shared" si="10"/>
        <v>16</v>
      </c>
    </row>
    <row r="44" spans="1:31" x14ac:dyDescent="0.25">
      <c r="A44" s="3" t="s">
        <v>108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G$32&gt;Parametri!$B$7</xm:f>
            <x14:dxf>
              <fill>
                <patternFill>
                  <bgColor rgb="FFD9D9D9"/>
                </patternFill>
              </fill>
            </x14:dxf>
          </x14:cfRule>
          <xm:sqref>G34:Y42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6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8.7109375" defaultRowHeight="15" x14ac:dyDescent="0.25"/>
  <cols>
    <col min="1" max="1" width="30" customWidth="1"/>
    <col min="2" max="11" width="13" customWidth="1"/>
    <col min="12" max="12" width="46" customWidth="1"/>
    <col min="13" max="37" width="7" customWidth="1"/>
  </cols>
  <sheetData>
    <row r="1" spans="1:37" ht="18" x14ac:dyDescent="0.25">
      <c r="A1" s="2" t="s">
        <v>109</v>
      </c>
    </row>
    <row r="2" spans="1:37" x14ac:dyDescent="0.25">
      <c r="A2" s="3" t="s">
        <v>110</v>
      </c>
    </row>
    <row r="4" spans="1:37" x14ac:dyDescent="0.25">
      <c r="A4" s="16" t="s">
        <v>48</v>
      </c>
      <c r="B4" s="30">
        <f>Catalogo_L_h!B6</f>
        <v>150</v>
      </c>
    </row>
    <row r="5" spans="1:37" x14ac:dyDescent="0.25">
      <c r="A5" s="16" t="s">
        <v>49</v>
      </c>
      <c r="B5" s="17">
        <f>Catalogo_L_h!B7</f>
        <v>0.25</v>
      </c>
    </row>
    <row r="6" spans="1:37" x14ac:dyDescent="0.25">
      <c r="A6" s="16" t="s">
        <v>53</v>
      </c>
      <c r="B6" s="17">
        <f>Catalogo_L_h!B8</f>
        <v>8.2200000000000006</v>
      </c>
    </row>
    <row r="7" spans="1:37" ht="25.5" x14ac:dyDescent="0.25">
      <c r="A7" s="16" t="s">
        <v>100</v>
      </c>
      <c r="B7" s="30">
        <f>Catalogo_L_h!B9</f>
        <v>40</v>
      </c>
    </row>
    <row r="9" spans="1:37" ht="25.5" x14ac:dyDescent="0.25">
      <c r="A9" s="4" t="s">
        <v>90</v>
      </c>
      <c r="B9" s="4" t="s">
        <v>111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60</v>
      </c>
      <c r="H9" s="4" t="s">
        <v>61</v>
      </c>
      <c r="I9" s="4" t="s">
        <v>31</v>
      </c>
      <c r="J9" s="4" t="s">
        <v>95</v>
      </c>
      <c r="K9" s="4" t="s">
        <v>63</v>
      </c>
      <c r="L9" s="4" t="s">
        <v>58</v>
      </c>
      <c r="M9" s="26">
        <v>0.5</v>
      </c>
      <c r="N9" s="26">
        <v>1</v>
      </c>
      <c r="O9" s="26">
        <v>1.5</v>
      </c>
      <c r="P9" s="26">
        <v>2</v>
      </c>
      <c r="Q9" s="26">
        <v>2.5</v>
      </c>
      <c r="R9" s="26">
        <v>3</v>
      </c>
      <c r="S9" s="26">
        <v>3.5</v>
      </c>
      <c r="T9" s="26">
        <v>4</v>
      </c>
      <c r="U9" s="26">
        <v>4.5</v>
      </c>
      <c r="V9" s="26">
        <v>5</v>
      </c>
      <c r="W9" s="26">
        <v>5.5</v>
      </c>
      <c r="X9" s="26">
        <v>6</v>
      </c>
      <c r="Y9" s="26">
        <v>6.5</v>
      </c>
      <c r="Z9" s="26">
        <v>7</v>
      </c>
      <c r="AA9" s="26">
        <v>7.5</v>
      </c>
      <c r="AB9" s="26">
        <v>8</v>
      </c>
      <c r="AC9" s="26">
        <v>8.5</v>
      </c>
      <c r="AD9" s="26">
        <v>9</v>
      </c>
      <c r="AE9" s="26">
        <v>9.5</v>
      </c>
      <c r="AF9" s="4" t="s">
        <v>64</v>
      </c>
      <c r="AG9" s="4" t="s">
        <v>65</v>
      </c>
      <c r="AH9" s="4" t="s">
        <v>66</v>
      </c>
      <c r="AI9" s="4" t="s">
        <v>67</v>
      </c>
      <c r="AJ9" s="4" t="s">
        <v>68</v>
      </c>
      <c r="AK9" s="4" t="s">
        <v>69</v>
      </c>
    </row>
    <row r="10" spans="1:37" x14ac:dyDescent="0.25">
      <c r="A10" s="12">
        <v>500</v>
      </c>
      <c r="B10" s="12">
        <v>20</v>
      </c>
      <c r="C10" s="18">
        <f>IFERROR(MIN(MATCH(A10,Parametri!$A$17:$A$19,1),2),1)</f>
        <v>1</v>
      </c>
      <c r="D10" s="13">
        <f>(A10-INDEX(Parametri!$A$17:$A$19,C10))/(INDEX(Parametri!$A$17:$A$19,C10+1)-INDEX(Parametri!$A$17:$A$19,C10))</f>
        <v>0</v>
      </c>
      <c r="E10" s="13">
        <f>(1-D10)*INDEX(Riepilogo!$C$5:$C$7,C10)+D10*INDEX(Riepilogo!$C$5:$C$7,C10+1)</f>
        <v>0.50683116301872999</v>
      </c>
      <c r="F10" s="14">
        <f t="shared" ref="F10:F29" si="0">A10/1000*B10/1000*E10</f>
        <v>5.0683116301872997E-3</v>
      </c>
      <c r="G10" s="23">
        <f t="shared" ref="G10:G29" si="1">$B$4/3600/F10</f>
        <v>8.2210151440760697</v>
      </c>
      <c r="H10" s="13">
        <f t="shared" ref="H10:H29" si="2">$B$5/G10</f>
        <v>3.04098697811238E-2</v>
      </c>
      <c r="I10" s="13">
        <f>SQRT(B10/$B$7)*((1-D10)*INDEX(Riepilogo!$F$5:$F$7,C10)+D10*INDEX(Riepilogo!$F$5:$F$7,C10+1))</f>
        <v>8.8388347648318447E-2</v>
      </c>
      <c r="J10" s="24">
        <f t="shared" ref="J10:J29" si="3">IF(AG10="",IF(ISNUMBER(M10),IF(M10&lt;$B$5,"&lt; 0,5","n.d."),"n.d."),EXP(LN(AG10)+(LN($B$5)-LN(AI10))*(LN(AH10)-LN(AG10))/(LN(AJ10)-LN(AI10))))</f>
        <v>9.1804301779490665</v>
      </c>
      <c r="K10" s="23">
        <f t="shared" ref="K10:K29" si="4">IF(AK10="","",IFERROR(EXP(LN(INDEX(M10:AE10,AK10))+(LN($B$6)-LN(INDEX(M$9:AE$9,AK10)))*(LN(INDEX(M10:AE10,AK10+1))-LN(INDEX(M10:AE10,AK10)))/(LN(INDEX(M$9:AE$9,AK10+1))-LN(INDEX(M$9:AE$9,AK10)))),""))</f>
        <v>0.3540013572486565</v>
      </c>
      <c r="L10" s="5" t="str">
        <f>IF(OR(A10&lt;MIN(Parametri!$A$17:$A$19),A10&gt;MAX(Parametri!$A$17:$A$19),B10&lt;20,B10&gt;60),"L o h fuori campo: estrapolazione",IF(OR($B$4*$B$7/B10&lt;MAX(INDEX(Riepilogo!$H$5:$H$7,C10),INDEX(Riepilogo!$H$5:$H$7,C10+1))*0.99,$B$4*$B$7/B10&gt;MIN(INDEX(Riepilogo!$I$5:$I$7,C10),INDEX(Riepilogo!$I$5:$I$7,C10+1))*1.01),"Q fuori dal campo simulato (estrapolazione)",IF(NOT(ISNUMBER(J10)),"vₜ non raggiunta / &lt; 0,5 m",IF(H10&gt;I10,"vₜ nel plateau/transizione: L poco significativo",IF(J10&gt;Parametri!$B$7,"Oltre x max: troncato dal pavimento",IF(B10=$B$7,"OK","OK (stima per similarità)"))))))</f>
        <v>Q fuori dal campo simulato (estrapolazione)</v>
      </c>
      <c r="M10" s="13">
        <f>$G10*SQRT($B10/$B$7)*MAX(0.001,(1-$D10)*INDEX(Curve!$G$1:$G$100,4+($C10-1)*24+1+M$9*2)+$D10*INDEX(Curve!$G$1:$G$100,4+$C10*24+1+M$9*2))</f>
        <v>1.3239165775597157</v>
      </c>
      <c r="N10" s="13">
        <f>$G10*SQRT($B10/$B$7)*MAX(0.001,(1-$D10)*INDEX(Curve!$G$1:$G$100,4+($C10-1)*24+1+N$9*2)+$D10*INDEX(Curve!$G$1:$G$100,4+$C10*24+1+N$9*2))</f>
        <v>1.2373353210072056</v>
      </c>
      <c r="O10" s="13">
        <f>$G10*SQRT($B10/$B$7)*MAX(0.001,(1-$D10)*INDEX(Curve!$G$1:$G$100,4+($C10-1)*24+1+O$9*2)+$D10*INDEX(Curve!$G$1:$G$100,4+$C10*24+1+O$9*2))</f>
        <v>1.1187728913280404</v>
      </c>
      <c r="P10" s="13">
        <f>$G10*SQRT($B10/$B$7)*MAX(0.001,(1-$D10)*INDEX(Curve!$G$1:$G$100,4+($C10-1)*24+1+P$9*2)+$D10*INDEX(Curve!$G$1:$G$100,4+$C10*24+1+P$9*2))</f>
        <v>1.0305880843264972</v>
      </c>
      <c r="Q10" s="13">
        <f>$G10*SQRT($B10/$B$7)*MAX(0.001,(1-$D10)*INDEX(Curve!$G$1:$G$100,4+($C10-1)*24+1+Q$9*2)+$D10*INDEX(Curve!$G$1:$G$100,4+$C10*24+1+Q$9*2))</f>
        <v>0.95468307960324705</v>
      </c>
      <c r="R10" s="13">
        <f>$G10*SQRT($B10/$B$7)*MAX(0.001,(1-$D10)*INDEX(Curve!$G$1:$G$100,4+($C10-1)*24+1+R$9*2)+$D10*INDEX(Curve!$G$1:$G$100,4+$C10*24+1+R$9*2))</f>
        <v>0.8640440358872653</v>
      </c>
      <c r="S10" s="13">
        <f>$G10*SQRT($B10/$B$7)*MAX(0.001,(1-$D10)*INDEX(Curve!$G$1:$G$100,4+($C10-1)*24+1+S$9*2)+$D10*INDEX(Curve!$G$1:$G$100,4+$C10*24+1+S$9*2))</f>
        <v>0.78042383920423075</v>
      </c>
      <c r="T10" s="13">
        <f>$G10*SQRT($B10/$B$7)*MAX(0.001,(1-$D10)*INDEX(Curve!$G$1:$G$100,4+($C10-1)*24+1+T$9*2)+$D10*INDEX(Curve!$G$1:$G$100,4+$C10*24+1+T$9*2))</f>
        <v>0.71342437607257392</v>
      </c>
      <c r="U10" s="13">
        <f>$G10*SQRT($B10/$B$7)*MAX(0.001,(1-$D10)*INDEX(Curve!$G$1:$G$100,4+($C10-1)*24+1+U$9*2)+$D10*INDEX(Curve!$G$1:$G$100,4+$C10*24+1+U$9*2))</f>
        <v>0.64284158845296968</v>
      </c>
      <c r="V10" s="13">
        <f>$G10*SQRT($B10/$B$7)*MAX(0.001,(1-$D10)*INDEX(Curve!$G$1:$G$100,4+($C10-1)*24+1+V$9*2)+$D10*INDEX(Curve!$G$1:$G$100,4+$C10*24+1+V$9*2))</f>
        <v>0.58457588550428463</v>
      </c>
      <c r="W10" s="13">
        <f>$G10*SQRT($B10/$B$7)*MAX(0.001,(1-$D10)*INDEX(Curve!$G$1:$G$100,4+($C10-1)*24+1+W$9*2)+$D10*INDEX(Curve!$G$1:$G$100,4+$C10*24+1+W$9*2))</f>
        <v>0.5332886885098439</v>
      </c>
      <c r="X10" s="13">
        <f>$G10*SQRT($B10/$B$7)*MAX(0.001,(1-$D10)*INDEX(Curve!$G$1:$G$100,4+($C10-1)*24+1+X$9*2)+$D10*INDEX(Curve!$G$1:$G$100,4+$C10*24+1+X$9*2))</f>
        <v>0.49041223707447806</v>
      </c>
      <c r="Y10" s="13">
        <f>$G10*SQRT($B10/$B$7)*MAX(0.001,(1-$D10)*INDEX(Curve!$G$1:$G$100,4+($C10-1)*24+1+Y$9*2)+$D10*INDEX(Curve!$G$1:$G$100,4+$C10*24+1+Y$9*2))</f>
        <v>0.45400201439645588</v>
      </c>
      <c r="Z10" s="13">
        <f>$G10*SQRT($B10/$B$7)*MAX(0.001,(1-$D10)*INDEX(Curve!$G$1:$G$100,4+($C10-1)*24+1+Z$9*2)+$D10*INDEX(Curve!$G$1:$G$100,4+$C10*24+1+Z$9*2))</f>
        <v>0.42273633288504026</v>
      </c>
      <c r="AA10" s="13">
        <f>$G10*SQRT($B10/$B$7)*MAX(0.001,(1-$D10)*INDEX(Curve!$G$1:$G$100,4+($C10-1)*24+1+AA$9*2)+$D10*INDEX(Curve!$G$1:$G$100,4+$C10*24+1+AA$9*2))</f>
        <v>0.39557633903210648</v>
      </c>
      <c r="AB10" s="13">
        <f>$G10*SQRT($B10/$B$7)*MAX(0.001,(1-$D10)*INDEX(Curve!$G$1:$G$100,4+($C10-1)*24+1+AB$9*2)+$D10*INDEX(Curve!$G$1:$G$100,4+$C10*24+1+AB$9*2))</f>
        <v>0.36839320107909079</v>
      </c>
      <c r="AC10" s="13">
        <f>$G10*SQRT($B10/$B$7)*MAX(0.001,(1-$D10)*INDEX(Curve!$G$1:$G$100,4+($C10-1)*24+1+AC$9*2)+$D10*INDEX(Curve!$G$1:$G$100,4+$C10*24+1+AC$9*2))</f>
        <v>0.3370049265723426</v>
      </c>
      <c r="AD10" s="13">
        <f>$G10*SQRT($B10/$B$7)*MAX(0.001,(1-$D10)*INDEX(Curve!$G$1:$G$100,4+($C10-1)*24+1+AD$9*2)+$D10*INDEX(Curve!$G$1:$G$100,4+$C10*24+1+AD$9*2))</f>
        <v>0.2908455964055715</v>
      </c>
      <c r="AE10" s="13">
        <f>$G10*SQRT($B10/$B$7)*MAX(0.001,(1-$D10)*INDEX(Curve!$G$1:$G$100,4+($C10-1)*24+1+AE$9*2)+$D10*INDEX(Curve!$G$1:$G$100,4+$C10*24+1+AE$9*2))</f>
        <v>0.19259439823662713</v>
      </c>
      <c r="AF10" s="18">
        <f t="array" ref="AF10">SUMPRODUCT(MAX(ISNUMBER(M10:AD10)*ISNUMBER(N10:AE10)*(M10:AD10&gt;=$B$5)*(N10:AE10&lt;$B$5)*(COLUMN(M10:AD10)-COLUMN(M10)+1)))</f>
        <v>18</v>
      </c>
      <c r="AG10" s="9">
        <f t="shared" ref="AG10:AG29" si="5">IF(OR(AF10="",AF10=0),"",INDEX(M$9:AE$9,AF10))</f>
        <v>9</v>
      </c>
      <c r="AH10" s="9">
        <f t="shared" ref="AH10:AH29" si="6">IF(AG10="","",INDEX(M$9:AE$9,AF10+1))</f>
        <v>9.5</v>
      </c>
      <c r="AI10" s="13">
        <f t="shared" ref="AI10:AI29" si="7">IF(AG10="","",INDEX(M10:AE10,AF10))</f>
        <v>0.2908455964055715</v>
      </c>
      <c r="AJ10" s="13">
        <f t="shared" ref="AJ10:AJ29" si="8">IF(AG10="","",INDEX(M10:AE10,AF10+1))</f>
        <v>0.19259439823662713</v>
      </c>
      <c r="AK10" s="18">
        <f t="shared" ref="AK10:AK29" si="9">IFERROR(MATCH($B$6,M$9:AE$9,1),"")</f>
        <v>16</v>
      </c>
    </row>
    <row r="11" spans="1:37" x14ac:dyDescent="0.25">
      <c r="A11" s="12">
        <v>750</v>
      </c>
      <c r="B11" s="12">
        <v>20</v>
      </c>
      <c r="C11" s="18">
        <f>IFERROR(MIN(MATCH(A11,Parametri!$A$17:$A$19,1),2),1)</f>
        <v>1</v>
      </c>
      <c r="D11" s="13">
        <f>(A11-INDEX(Parametri!$A$17:$A$19,C11))/(INDEX(Parametri!$A$17:$A$19,C11+1)-INDEX(Parametri!$A$17:$A$19,C11))</f>
        <v>0.5</v>
      </c>
      <c r="E11" s="13">
        <f>(1-D11)*INDEX(Riepilogo!$C$5:$C$7,C11)+D11*INDEX(Riepilogo!$C$5:$C$7,C11+1)</f>
        <v>0.51921121561681005</v>
      </c>
      <c r="F11" s="14">
        <f t="shared" si="0"/>
        <v>7.7881682342521505E-3</v>
      </c>
      <c r="G11" s="23">
        <f t="shared" si="1"/>
        <v>5.3499957131662628</v>
      </c>
      <c r="H11" s="13">
        <f t="shared" si="2"/>
        <v>4.6729009405512903E-2</v>
      </c>
      <c r="I11" s="13">
        <f>SQRT(B11/$B$7)*((1-D11)*INDEX(Riepilogo!$F$5:$F$7,C11)+D11*INDEX(Riepilogo!$F$5:$F$7,C11+1))</f>
        <v>9.7227182413150301E-2</v>
      </c>
      <c r="J11" s="24">
        <f t="shared" si="3"/>
        <v>8.7373024733233766</v>
      </c>
      <c r="K11" s="23">
        <f t="shared" si="4"/>
        <v>0.28189766221634927</v>
      </c>
      <c r="L11" s="5" t="str">
        <f>IF(OR(A11&lt;MIN(Parametri!$A$17:$A$19),A11&gt;MAX(Parametri!$A$17:$A$19),B11&lt;20,B11&gt;60),"L o h fuori campo: estrapolazione",IF(OR($B$4*$B$7/B11&lt;MAX(INDEX(Riepilogo!$H$5:$H$7,C11),INDEX(Riepilogo!$H$5:$H$7,C11+1))*0.99,$B$4*$B$7/B11&gt;MIN(INDEX(Riepilogo!$I$5:$I$7,C11),INDEX(Riepilogo!$I$5:$I$7,C11+1))*1.01),"Q fuori dal campo simulato (estrapolazione)",IF(NOT(ISNUMBER(J11)),"vₜ non raggiunta / &lt; 0,5 m",IF(H11&gt;I11,"vₜ nel plateau/transizione: L poco significativo",IF(J11&gt;Parametri!$B$7,"Oltre x max: troncato dal pavimento",IF(B11=$B$7,"OK","OK (stima per similarità)"))))))</f>
        <v>Q fuori dal campo simulato (estrapolazione)</v>
      </c>
      <c r="M11" s="13">
        <f>$G11*SQRT($B11/$B$7)*MAX(0.001,(1-$D11)*INDEX(Curve!$G$1:$G$100,4+($C11-1)*24+1+M$9*2)+$D11*INDEX(Curve!$G$1:$G$100,4+$C11*24+1+M$9*2))</f>
        <v>0.84617124732203608</v>
      </c>
      <c r="N11" s="13">
        <f>$G11*SQRT($B11/$B$7)*MAX(0.001,(1-$D11)*INDEX(Curve!$G$1:$G$100,4+($C11-1)*24+1+N$9*2)+$D11*INDEX(Curve!$G$1:$G$100,4+$C11*24+1+N$9*2))</f>
        <v>0.81069922617118273</v>
      </c>
      <c r="O11" s="13">
        <f>$G11*SQRT($B11/$B$7)*MAX(0.001,(1-$D11)*INDEX(Curve!$G$1:$G$100,4+($C11-1)*24+1+O$9*2)+$D11*INDEX(Curve!$G$1:$G$100,4+$C11*24+1+O$9*2))</f>
        <v>0.77315368032235687</v>
      </c>
      <c r="P11" s="13">
        <f>$G11*SQRT($B11/$B$7)*MAX(0.001,(1-$D11)*INDEX(Curve!$G$1:$G$100,4+($C11-1)*24+1+P$9*2)+$D11*INDEX(Curve!$G$1:$G$100,4+$C11*24+1+P$9*2))</f>
        <v>0.73860339691474053</v>
      </c>
      <c r="Q11" s="13">
        <f>$G11*SQRT($B11/$B$7)*MAX(0.001,(1-$D11)*INDEX(Curve!$G$1:$G$100,4+($C11-1)*24+1+Q$9*2)+$D11*INDEX(Curve!$G$1:$G$100,4+$C11*24+1+Q$9*2))</f>
        <v>0.70093772664120579</v>
      </c>
      <c r="R11" s="13">
        <f>$G11*SQRT($B11/$B$7)*MAX(0.001,(1-$D11)*INDEX(Curve!$G$1:$G$100,4+($C11-1)*24+1+R$9*2)+$D11*INDEX(Curve!$G$1:$G$100,4+$C11*24+1+R$9*2))</f>
        <v>0.65391991501487245</v>
      </c>
      <c r="S11" s="13">
        <f>$G11*SQRT($B11/$B$7)*MAX(0.001,(1-$D11)*INDEX(Curve!$G$1:$G$100,4+($C11-1)*24+1+S$9*2)+$D11*INDEX(Curve!$G$1:$G$100,4+$C11*24+1+S$9*2))</f>
        <v>0.60112452532291638</v>
      </c>
      <c r="T11" s="13">
        <f>$G11*SQRT($B11/$B$7)*MAX(0.001,(1-$D11)*INDEX(Curve!$G$1:$G$100,4+($C11-1)*24+1+T$9*2)+$D11*INDEX(Curve!$G$1:$G$100,4+$C11*24+1+T$9*2))</f>
        <v>0.55476339255213003</v>
      </c>
      <c r="U11" s="13">
        <f>$G11*SQRT($B11/$B$7)*MAX(0.001,(1-$D11)*INDEX(Curve!$G$1:$G$100,4+($C11-1)*24+1+U$9*2)+$D11*INDEX(Curve!$G$1:$G$100,4+$C11*24+1+U$9*2))</f>
        <v>0.51025501811525575</v>
      </c>
      <c r="V11" s="13">
        <f>$G11*SQRT($B11/$B$7)*MAX(0.001,(1-$D11)*INDEX(Curve!$G$1:$G$100,4+($C11-1)*24+1+V$9*2)+$D11*INDEX(Curve!$G$1:$G$100,4+$C11*24+1+V$9*2))</f>
        <v>0.46846995559737098</v>
      </c>
      <c r="W11" s="13">
        <f>$G11*SQRT($B11/$B$7)*MAX(0.001,(1-$D11)*INDEX(Curve!$G$1:$G$100,4+($C11-1)*24+1+W$9*2)+$D11*INDEX(Curve!$G$1:$G$100,4+$C11*24+1+W$9*2))</f>
        <v>0.42794274938622351</v>
      </c>
      <c r="X11" s="13">
        <f>$G11*SQRT($B11/$B$7)*MAX(0.001,(1-$D11)*INDEX(Curve!$G$1:$G$100,4+($C11-1)*24+1+X$9*2)+$D11*INDEX(Curve!$G$1:$G$100,4+$C11*24+1+X$9*2))</f>
        <v>0.39401667659811462</v>
      </c>
      <c r="Y11" s="13">
        <f>$G11*SQRT($B11/$B$7)*MAX(0.001,(1-$D11)*INDEX(Curve!$G$1:$G$100,4+($C11-1)*24+1+Y$9*2)+$D11*INDEX(Curve!$G$1:$G$100,4+$C11*24+1+Y$9*2))</f>
        <v>0.36461882983555682</v>
      </c>
      <c r="Z11" s="13">
        <f>$G11*SQRT($B11/$B$7)*MAX(0.001,(1-$D11)*INDEX(Curve!$G$1:$G$100,4+($C11-1)*24+1+Z$9*2)+$D11*INDEX(Curve!$G$1:$G$100,4+$C11*24+1+Z$9*2))</f>
        <v>0.33890174345571022</v>
      </c>
      <c r="AA11" s="13">
        <f>$G11*SQRT($B11/$B$7)*MAX(0.001,(1-$D11)*INDEX(Curve!$G$1:$G$100,4+($C11-1)*24+1+AA$9*2)+$D11*INDEX(Curve!$G$1:$G$100,4+$C11*24+1+AA$9*2))</f>
        <v>0.31650565416727217</v>
      </c>
      <c r="AB11" s="13">
        <f>$G11*SQRT($B11/$B$7)*MAX(0.001,(1-$D11)*INDEX(Curve!$G$1:$G$100,4+($C11-1)*24+1+AB$9*2)+$D11*INDEX(Curve!$G$1:$G$100,4+$C11*24+1+AB$9*2))</f>
        <v>0.29273845329445114</v>
      </c>
      <c r="AC11" s="13">
        <f>$G11*SQRT($B11/$B$7)*MAX(0.001,(1-$D11)*INDEX(Curve!$G$1:$G$100,4+($C11-1)*24+1+AC$9*2)+$D11*INDEX(Curve!$G$1:$G$100,4+$C11*24+1+AC$9*2))</f>
        <v>0.26906470158210072</v>
      </c>
      <c r="AD11" s="13">
        <f>$G11*SQRT($B11/$B$7)*MAX(0.001,(1-$D11)*INDEX(Curve!$G$1:$G$100,4+($C11-1)*24+1+AD$9*2)+$D11*INDEX(Curve!$G$1:$G$100,4+$C11*24+1+AD$9*2))</f>
        <v>0.2309954113710804</v>
      </c>
      <c r="AE11" s="13">
        <f>$G11*SQRT($B11/$B$7)*MAX(0.001,(1-$D11)*INDEX(Curve!$G$1:$G$100,4+($C11-1)*24+1+AE$9*2)+$D11*INDEX(Curve!$G$1:$G$100,4+$C11*24+1+AE$9*2))</f>
        <v>0.14871414697650695</v>
      </c>
      <c r="AF11" s="18">
        <f t="array" ref="AF11">SUMPRODUCT(MAX(ISNUMBER(M11:AD11)*ISNUMBER(N11:AE11)*(M11:AD11&gt;=$B$5)*(N11:AE11&lt;$B$5)*(COLUMN(M11:AD11)-COLUMN(M11)+1)))</f>
        <v>17</v>
      </c>
      <c r="AG11" s="9">
        <f t="shared" si="5"/>
        <v>8.5</v>
      </c>
      <c r="AH11" s="9">
        <f t="shared" si="6"/>
        <v>9</v>
      </c>
      <c r="AI11" s="13">
        <f t="shared" si="7"/>
        <v>0.26906470158210072</v>
      </c>
      <c r="AJ11" s="13">
        <f t="shared" si="8"/>
        <v>0.2309954113710804</v>
      </c>
      <c r="AK11" s="18">
        <f t="shared" si="9"/>
        <v>16</v>
      </c>
    </row>
    <row r="12" spans="1:37" x14ac:dyDescent="0.25">
      <c r="A12" s="12">
        <v>1000</v>
      </c>
      <c r="B12" s="12">
        <v>20</v>
      </c>
      <c r="C12" s="18">
        <f>IFERROR(MIN(MATCH(A12,Parametri!$A$17:$A$19,1),2),1)</f>
        <v>2</v>
      </c>
      <c r="D12" s="13">
        <f>(A12-INDEX(Parametri!$A$17:$A$19,C12))/(INDEX(Parametri!$A$17:$A$19,C12+1)-INDEX(Parametri!$A$17:$A$19,C12))</f>
        <v>0</v>
      </c>
      <c r="E12" s="13">
        <f>(1-D12)*INDEX(Riepilogo!$C$5:$C$7,C12)+D12*INDEX(Riepilogo!$C$5:$C$7,C12+1)</f>
        <v>0.53159126821489022</v>
      </c>
      <c r="F12" s="14">
        <f t="shared" si="0"/>
        <v>1.0631825364297805E-2</v>
      </c>
      <c r="G12" s="23">
        <f t="shared" si="1"/>
        <v>3.9190510790917794</v>
      </c>
      <c r="H12" s="13">
        <f t="shared" si="2"/>
        <v>6.3790952185786828E-2</v>
      </c>
      <c r="I12" s="13">
        <f>SQRT(B12/$B$7)*((1-D12)*INDEX(Riepilogo!$F$5:$F$7,C12)+D12*INDEX(Riepilogo!$F$5:$F$7,C12+1))</f>
        <v>0.10606601717798213</v>
      </c>
      <c r="J12" s="24">
        <f t="shared" si="3"/>
        <v>8.0779903673894715</v>
      </c>
      <c r="K12" s="23">
        <f t="shared" si="4"/>
        <v>0.24424171571876904</v>
      </c>
      <c r="L12" s="5" t="str">
        <f>IF(OR(A12&lt;MIN(Parametri!$A$17:$A$19),A12&gt;MAX(Parametri!$A$17:$A$19),B12&lt;20,B12&gt;60),"L o h fuori campo: estrapolazione",IF(OR($B$4*$B$7/B12&lt;MAX(INDEX(Riepilogo!$H$5:$H$7,C12),INDEX(Riepilogo!$H$5:$H$7,C12+1))*0.99,$B$4*$B$7/B12&gt;MIN(INDEX(Riepilogo!$I$5:$I$7,C12),INDEX(Riepilogo!$I$5:$I$7,C12+1))*1.01),"Q fuori dal campo simulato (estrapolazione)",IF(NOT(ISNUMBER(J12)),"vₜ non raggiunta / &lt; 0,5 m",IF(H12&gt;I12,"vₜ nel plateau/transizione: L poco significativo",IF(J12&gt;Parametri!$B$7,"Oltre x max: troncato dal pavimento",IF(B12=$B$7,"OK","OK (stima per similarità)"))))))</f>
        <v>Q fuori dal campo simulato (estrapolazione)</v>
      </c>
      <c r="M12" s="13">
        <f>$G12*SQRT($B12/$B$7)*MAX(0.001,(1-$D12)*INDEX(Curve!$G$1:$G$100,4+($C12-1)*24+1+M$9*2)+$D12*INDEX(Curve!$G$1:$G$100,4+$C12*24+1+M$9*2))</f>
        <v>0.60857153396684527</v>
      </c>
      <c r="N12" s="13">
        <f>$G12*SQRT($B12/$B$7)*MAX(0.001,(1-$D12)*INDEX(Curve!$G$1:$G$100,4+($C12-1)*24+1+N$9*2)+$D12*INDEX(Curve!$G$1:$G$100,4+$C12*24+1+N$9*2))</f>
        <v>0.59787691256118369</v>
      </c>
      <c r="O12" s="13">
        <f>$G12*SQRT($B12/$B$7)*MAX(0.001,(1-$D12)*INDEX(Curve!$G$1:$G$100,4+($C12-1)*24+1+O$9*2)+$D12*INDEX(Curve!$G$1:$G$100,4+$C12*24+1+O$9*2))</f>
        <v>0.59939022618889237</v>
      </c>
      <c r="P12" s="13">
        <f>$G12*SQRT($B12/$B$7)*MAX(0.001,(1-$D12)*INDEX(Curve!$G$1:$G$100,4+($C12-1)*24+1+P$9*2)+$D12*INDEX(Curve!$G$1:$G$100,4+$C12*24+1+P$9*2))</f>
        <v>0.59081044300191599</v>
      </c>
      <c r="Q12" s="13">
        <f>$G12*SQRT($B12/$B$7)*MAX(0.001,(1-$D12)*INDEX(Curve!$G$1:$G$100,4+($C12-1)*24+1+Q$9*2)+$D12*INDEX(Curve!$G$1:$G$100,4+$C12*24+1+Q$9*2))</f>
        <v>0.57181248843220345</v>
      </c>
      <c r="R12" s="13">
        <f>$G12*SQRT($B12/$B$7)*MAX(0.001,(1-$D12)*INDEX(Curve!$G$1:$G$100,4+($C12-1)*24+1+R$9*2)+$D12*INDEX(Curve!$G$1:$G$100,4+$C12*24+1+R$9*2))</f>
        <v>0.54613690355978539</v>
      </c>
      <c r="S12" s="13">
        <f>$G12*SQRT($B12/$B$7)*MAX(0.001,(1-$D12)*INDEX(Curve!$G$1:$G$100,4+($C12-1)*24+1+S$9*2)+$D12*INDEX(Curve!$G$1:$G$100,4+$C12*24+1+S$9*2))</f>
        <v>0.5086508158180818</v>
      </c>
      <c r="T12" s="13">
        <f>$G12*SQRT($B12/$B$7)*MAX(0.001,(1-$D12)*INDEX(Curve!$G$1:$G$100,4+($C12-1)*24+1+T$9*2)+$D12*INDEX(Curve!$G$1:$G$100,4+$C12*24+1+T$9*2))</f>
        <v>0.47266805351867908</v>
      </c>
      <c r="U12" s="13">
        <f>$G12*SQRT($B12/$B$7)*MAX(0.001,(1-$D12)*INDEX(Curve!$G$1:$G$100,4+($C12-1)*24+1+U$9*2)+$D12*INDEX(Curve!$G$1:$G$100,4+$C12*24+1+U$9*2))</f>
        <v>0.44110791769870844</v>
      </c>
      <c r="V12" s="13">
        <f>$G12*SQRT($B12/$B$7)*MAX(0.001,(1-$D12)*INDEX(Curve!$G$1:$G$100,4+($C12-1)*24+1+V$9*2)+$D12*INDEX(Curve!$G$1:$G$100,4+$C12*24+1+V$9*2))</f>
        <v>0.40766592245731231</v>
      </c>
      <c r="W12" s="13">
        <f>$G12*SQRT($B12/$B$7)*MAX(0.001,(1-$D12)*INDEX(Curve!$G$1:$G$100,4+($C12-1)*24+1+W$9*2)+$D12*INDEX(Curve!$G$1:$G$100,4+$C12*24+1+W$9*2))</f>
        <v>0.37274003811071732</v>
      </c>
      <c r="X12" s="13">
        <f>$G12*SQRT($B12/$B$7)*MAX(0.001,(1-$D12)*INDEX(Curve!$G$1:$G$100,4+($C12-1)*24+1+X$9*2)+$D12*INDEX(Curve!$G$1:$G$100,4+$C12*24+1+X$9*2))</f>
        <v>0.34347575877291664</v>
      </c>
      <c r="Y12" s="13">
        <f>$G12*SQRT($B12/$B$7)*MAX(0.001,(1-$D12)*INDEX(Curve!$G$1:$G$100,4+($C12-1)*24+1+Y$9*2)+$D12*INDEX(Curve!$G$1:$G$100,4+$C12*24+1+Y$9*2))</f>
        <v>0.31776310942068037</v>
      </c>
      <c r="Z12" s="13">
        <f>$G12*SQRT($B12/$B$7)*MAX(0.001,(1-$D12)*INDEX(Curve!$G$1:$G$100,4+($C12-1)*24+1+Z$9*2)+$D12*INDEX(Curve!$G$1:$G$100,4+$C12*24+1+Z$9*2))</f>
        <v>0.29499055956060938</v>
      </c>
      <c r="AA12" s="13">
        <f>$G12*SQRT($B12/$B$7)*MAX(0.001,(1-$D12)*INDEX(Curve!$G$1:$G$100,4+($C12-1)*24+1+AA$9*2)+$D12*INDEX(Curve!$G$1:$G$100,4+$C12*24+1+AA$9*2))</f>
        <v>0.27512626510709665</v>
      </c>
      <c r="AB12" s="13">
        <f>$G12*SQRT($B12/$B$7)*MAX(0.001,(1-$D12)*INDEX(Curve!$G$1:$G$100,4+($C12-1)*24+1+AB$9*2)+$D12*INDEX(Curve!$G$1:$G$100,4+$C12*24+1+AB$9*2))</f>
        <v>0.25326423337566345</v>
      </c>
      <c r="AC12" s="13">
        <f>$G12*SQRT($B12/$B$7)*MAX(0.001,(1-$D12)*INDEX(Curve!$G$1:$G$100,4+($C12-1)*24+1+AC$9*2)+$D12*INDEX(Curve!$G$1:$G$100,4+$C12*24+1+AC$9*2))</f>
        <v>0.23354374717266382</v>
      </c>
      <c r="AD12" s="13">
        <f>$G12*SQRT($B12/$B$7)*MAX(0.001,(1-$D12)*INDEX(Curve!$G$1:$G$100,4+($C12-1)*24+1+AD$9*2)+$D12*INDEX(Curve!$G$1:$G$100,4+$C12*24+1+AD$9*2))</f>
        <v>0.1997743622160853</v>
      </c>
      <c r="AE12" s="13">
        <f>$G12*SQRT($B12/$B$7)*MAX(0.001,(1-$D12)*INDEX(Curve!$G$1:$G$100,4+($C12-1)*24+1+AE$9*2)+$D12*INDEX(Curve!$G$1:$G$100,4+$C12*24+1+AE$9*2))</f>
        <v>0.12606425674953456</v>
      </c>
      <c r="AF12" s="18">
        <f t="array" ref="AF12">SUMPRODUCT(MAX(ISNUMBER(M12:AD12)*ISNUMBER(N12:AE12)*(M12:AD12&gt;=$B$5)*(N12:AE12&lt;$B$5)*(COLUMN(M12:AD12)-COLUMN(M12)+1)))</f>
        <v>16</v>
      </c>
      <c r="AG12" s="9">
        <f t="shared" si="5"/>
        <v>8</v>
      </c>
      <c r="AH12" s="9">
        <f t="shared" si="6"/>
        <v>8.5</v>
      </c>
      <c r="AI12" s="13">
        <f t="shared" si="7"/>
        <v>0.25326423337566345</v>
      </c>
      <c r="AJ12" s="13">
        <f t="shared" si="8"/>
        <v>0.23354374717266382</v>
      </c>
      <c r="AK12" s="18">
        <f t="shared" si="9"/>
        <v>16</v>
      </c>
    </row>
    <row r="13" spans="1:37" x14ac:dyDescent="0.25">
      <c r="A13" s="12">
        <v>1250</v>
      </c>
      <c r="B13" s="12">
        <v>20</v>
      </c>
      <c r="C13" s="18">
        <f>IFERROR(MIN(MATCH(A13,Parametri!$A$17:$A$19,1),2),1)</f>
        <v>2</v>
      </c>
      <c r="D13" s="13">
        <f>(A13-INDEX(Parametri!$A$17:$A$19,C13))/(INDEX(Parametri!$A$17:$A$19,C13+1)-INDEX(Parametri!$A$17:$A$19,C13))</f>
        <v>0.5</v>
      </c>
      <c r="E13" s="13">
        <f>(1-D13)*INDEX(Riepilogo!$C$5:$C$7,C13)+D13*INDEX(Riepilogo!$C$5:$C$7,C13+1)</f>
        <v>0.50761238746144932</v>
      </c>
      <c r="F13" s="14">
        <f t="shared" si="0"/>
        <v>1.2690309686536234E-2</v>
      </c>
      <c r="G13" s="23">
        <f t="shared" si="1"/>
        <v>3.2833451425439093</v>
      </c>
      <c r="H13" s="13">
        <f t="shared" si="2"/>
        <v>7.6141858119217407E-2</v>
      </c>
      <c r="I13" s="13">
        <f>SQRT(B13/$B$7)*((1-D13)*INDEX(Riepilogo!$F$5:$F$7,C13)+D13*INDEX(Riepilogo!$F$5:$F$7,C13+1))</f>
        <v>0.1078337841309485</v>
      </c>
      <c r="J13" s="24">
        <f t="shared" si="3"/>
        <v>6.6993233370429559</v>
      </c>
      <c r="K13" s="23">
        <f t="shared" si="4"/>
        <v>0.20128059909775611</v>
      </c>
      <c r="L13" s="5" t="str">
        <f>IF(OR(A13&lt;MIN(Parametri!$A$17:$A$19),A13&gt;MAX(Parametri!$A$17:$A$19),B13&lt;20,B13&gt;60),"L o h fuori campo: estrapolazione",IF(OR($B$4*$B$7/B13&lt;MAX(INDEX(Riepilogo!$H$5:$H$7,C13),INDEX(Riepilogo!$H$5:$H$7,C13+1))*0.99,$B$4*$B$7/B13&gt;MIN(INDEX(Riepilogo!$I$5:$I$7,C13),INDEX(Riepilogo!$I$5:$I$7,C13+1))*1.01),"Q fuori dal campo simulato (estrapolazione)",IF(NOT(ISNUMBER(J13)),"vₜ non raggiunta / &lt; 0,5 m",IF(H13&gt;I13,"vₜ nel plateau/transizione: L poco significativo",IF(J13&gt;Parametri!$B$7,"Oltre x max: troncato dal pavimento",IF(B13=$B$7,"OK","OK (stima per similarità)"))))))</f>
        <v>Q fuori dal campo simulato (estrapolazione)</v>
      </c>
      <c r="M13" s="13">
        <f>$G13*SQRT($B13/$B$7)*MAX(0.001,(1-$D13)*INDEX(Curve!$G$1:$G$100,4+($C13-1)*24+1+M$9*2)+$D13*INDEX(Curve!$G$1:$G$100,4+$C13*24+1+M$9*2))</f>
        <v>0.62928814066756</v>
      </c>
      <c r="N13" s="13">
        <f>$G13*SQRT($B13/$B$7)*MAX(0.001,(1-$D13)*INDEX(Curve!$G$1:$G$100,4+($C13-1)*24+1+N$9*2)+$D13*INDEX(Curve!$G$1:$G$100,4+$C13*24+1+N$9*2))</f>
        <v>0.47283503310412728</v>
      </c>
      <c r="O13" s="13">
        <f>$G13*SQRT($B13/$B$7)*MAX(0.001,(1-$D13)*INDEX(Curve!$G$1:$G$100,4+($C13-1)*24+1+O$9*2)+$D13*INDEX(Curve!$G$1:$G$100,4+$C13*24+1+O$9*2))</f>
        <v>0.44708181265205038</v>
      </c>
      <c r="P13" s="13">
        <f>$G13*SQRT($B13/$B$7)*MAX(0.001,(1-$D13)*INDEX(Curve!$G$1:$G$100,4+($C13-1)*24+1+P$9*2)+$D13*INDEX(Curve!$G$1:$G$100,4+$C13*24+1+P$9*2))</f>
        <v>0.43254727949463495</v>
      </c>
      <c r="Q13" s="13">
        <f>$G13*SQRT($B13/$B$7)*MAX(0.001,(1-$D13)*INDEX(Curve!$G$1:$G$100,4+($C13-1)*24+1+Q$9*2)+$D13*INDEX(Curve!$G$1:$G$100,4+$C13*24+1+Q$9*2))</f>
        <v>0.41990449704592636</v>
      </c>
      <c r="R13" s="13">
        <f>$G13*SQRT($B13/$B$7)*MAX(0.001,(1-$D13)*INDEX(Curve!$G$1:$G$100,4+($C13-1)*24+1+R$9*2)+$D13*INDEX(Curve!$G$1:$G$100,4+$C13*24+1+R$9*2))</f>
        <v>0.40559711443302204</v>
      </c>
      <c r="S13" s="13">
        <f>$G13*SQRT($B13/$B$7)*MAX(0.001,(1-$D13)*INDEX(Curve!$G$1:$G$100,4+($C13-1)*24+1+S$9*2)+$D13*INDEX(Curve!$G$1:$G$100,4+$C13*24+1+S$9*2))</f>
        <v>0.38563804337210345</v>
      </c>
      <c r="T13" s="13">
        <f>$G13*SQRT($B13/$B$7)*MAX(0.001,(1-$D13)*INDEX(Curve!$G$1:$G$100,4+($C13-1)*24+1+T$9*2)+$D13*INDEX(Curve!$G$1:$G$100,4+$C13*24+1+T$9*2))</f>
        <v>0.36288632474676652</v>
      </c>
      <c r="U13" s="13">
        <f>$G13*SQRT($B13/$B$7)*MAX(0.001,(1-$D13)*INDEX(Curve!$G$1:$G$100,4+($C13-1)*24+1+U$9*2)+$D13*INDEX(Curve!$G$1:$G$100,4+$C13*24+1+U$9*2))</f>
        <v>0.34295064196093117</v>
      </c>
      <c r="V13" s="13">
        <f>$G13*SQRT($B13/$B$7)*MAX(0.001,(1-$D13)*INDEX(Curve!$G$1:$G$100,4+($C13-1)*24+1+V$9*2)+$D13*INDEX(Curve!$G$1:$G$100,4+$C13*24+1+V$9*2))</f>
        <v>0.3228489322882202</v>
      </c>
      <c r="W13" s="13">
        <f>$G13*SQRT($B13/$B$7)*MAX(0.001,(1-$D13)*INDEX(Curve!$G$1:$G$100,4+($C13-1)*24+1+W$9*2)+$D13*INDEX(Curve!$G$1:$G$100,4+$C13*24+1+W$9*2))</f>
        <v>0.29725061830498967</v>
      </c>
      <c r="X13" s="13">
        <f>$G13*SQRT($B13/$B$7)*MAX(0.001,(1-$D13)*INDEX(Curve!$G$1:$G$100,4+($C13-1)*24+1+X$9*2)+$D13*INDEX(Curve!$G$1:$G$100,4+$C13*24+1+X$9*2))</f>
        <v>0.27567184984473331</v>
      </c>
      <c r="Y13" s="13">
        <f>$G13*SQRT($B13/$B$7)*MAX(0.001,(1-$D13)*INDEX(Curve!$G$1:$G$100,4+($C13-1)*24+1+Y$9*2)+$D13*INDEX(Curve!$G$1:$G$100,4+$C13*24+1+Y$9*2))</f>
        <v>0.25687244351541461</v>
      </c>
      <c r="Z13" s="13">
        <f>$G13*SQRT($B13/$B$7)*MAX(0.001,(1-$D13)*INDEX(Curve!$G$1:$G$100,4+($C13-1)*24+1+Z$9*2)+$D13*INDEX(Curve!$G$1:$G$100,4+$C13*24+1+Z$9*2))</f>
        <v>0.24033707791565231</v>
      </c>
      <c r="AA13" s="13">
        <f>$G13*SQRT($B13/$B$7)*MAX(0.001,(1-$D13)*INDEX(Curve!$G$1:$G$100,4+($C13-1)*24+1+AA$9*2)+$D13*INDEX(Curve!$G$1:$G$100,4+$C13*24+1+AA$9*2))</f>
        <v>0.22561916106075328</v>
      </c>
      <c r="AB13" s="13">
        <f>$G13*SQRT($B13/$B$7)*MAX(0.001,(1-$D13)*INDEX(Curve!$G$1:$G$100,4+($C13-1)*24+1+AB$9*2)+$D13*INDEX(Curve!$G$1:$G$100,4+$C13*24+1+AB$9*2))</f>
        <v>0.20874346183967871</v>
      </c>
      <c r="AC13" s="13">
        <f>$G13*SQRT($B13/$B$7)*MAX(0.001,(1-$D13)*INDEX(Curve!$G$1:$G$100,4+($C13-1)*24+1+AC$9*2)+$D13*INDEX(Curve!$G$1:$G$100,4+$C13*24+1+AC$9*2))</f>
        <v>0.19243320256356691</v>
      </c>
      <c r="AD13" s="13">
        <f>$G13*SQRT($B13/$B$7)*MAX(0.001,(1-$D13)*INDEX(Curve!$G$1:$G$100,4+($C13-1)*24+1+AD$9*2)+$D13*INDEX(Curve!$G$1:$G$100,4+$C13*24+1+AD$9*2))</f>
        <v>0.1646380102678569</v>
      </c>
      <c r="AE13" s="13">
        <f>$G13*SQRT($B13/$B$7)*MAX(0.001,(1-$D13)*INDEX(Curve!$G$1:$G$100,4+($C13-1)*24+1+AE$9*2)+$D13*INDEX(Curve!$G$1:$G$100,4+$C13*24+1+AE$9*2))</f>
        <v>0.10784618720441141</v>
      </c>
      <c r="AF13" s="18">
        <f t="array" ref="AF13">SUMPRODUCT(MAX(ISNUMBER(M13:AD13)*ISNUMBER(N13:AE13)*(M13:AD13&gt;=$B$5)*(N13:AE13&lt;$B$5)*(COLUMN(M13:AD13)-COLUMN(M13)+1)))</f>
        <v>13</v>
      </c>
      <c r="AG13" s="9">
        <f t="shared" si="5"/>
        <v>6.5</v>
      </c>
      <c r="AH13" s="9">
        <f t="shared" si="6"/>
        <v>7</v>
      </c>
      <c r="AI13" s="13">
        <f t="shared" si="7"/>
        <v>0.25687244351541461</v>
      </c>
      <c r="AJ13" s="13">
        <f t="shared" si="8"/>
        <v>0.24033707791565231</v>
      </c>
      <c r="AK13" s="18">
        <f t="shared" si="9"/>
        <v>16</v>
      </c>
    </row>
    <row r="14" spans="1:37" x14ac:dyDescent="0.25">
      <c r="A14" s="12">
        <v>1500</v>
      </c>
      <c r="B14" s="12">
        <v>20</v>
      </c>
      <c r="C14" s="18">
        <f>IFERROR(MIN(MATCH(A14,Parametri!$A$17:$A$19,1),2),1)</f>
        <v>2</v>
      </c>
      <c r="D14" s="13">
        <f>(A14-INDEX(Parametri!$A$17:$A$19,C14))/(INDEX(Parametri!$A$17:$A$19,C14+1)-INDEX(Parametri!$A$17:$A$19,C14))</f>
        <v>1</v>
      </c>
      <c r="E14" s="13">
        <f>(1-D14)*INDEX(Riepilogo!$C$5:$C$7,C14)+D14*INDEX(Riepilogo!$C$5:$C$7,C14+1)</f>
        <v>0.48363350670800842</v>
      </c>
      <c r="F14" s="14">
        <f t="shared" si="0"/>
        <v>1.4509005201240252E-2</v>
      </c>
      <c r="G14" s="23">
        <f t="shared" si="1"/>
        <v>2.8717797043111499</v>
      </c>
      <c r="H14" s="13">
        <f t="shared" si="2"/>
        <v>8.7054031207441512E-2</v>
      </c>
      <c r="I14" s="13">
        <f>SQRT(B14/$B$7)*((1-D14)*INDEX(Riepilogo!$F$5:$F$7,C14)+D14*INDEX(Riepilogo!$F$5:$F$7,C14+1))</f>
        <v>0.10960155108391487</v>
      </c>
      <c r="J14" s="24">
        <f t="shared" si="3"/>
        <v>5.4118166086217832</v>
      </c>
      <c r="K14" s="23">
        <f t="shared" si="4"/>
        <v>0.17312633869718794</v>
      </c>
      <c r="L14" s="5" t="str">
        <f>IF(OR(A14&lt;MIN(Parametri!$A$17:$A$19),A14&gt;MAX(Parametri!$A$17:$A$19),B14&lt;20,B14&gt;60),"L o h fuori campo: estrapolazione",IF(OR($B$4*$B$7/B14&lt;MAX(INDEX(Riepilogo!$H$5:$H$7,C14),INDEX(Riepilogo!$H$5:$H$7,C14+1))*0.99,$B$4*$B$7/B14&gt;MIN(INDEX(Riepilogo!$I$5:$I$7,C14),INDEX(Riepilogo!$I$5:$I$7,C14+1))*1.01),"Q fuori dal campo simulato (estrapolazione)",IF(NOT(ISNUMBER(J14)),"vₜ non raggiunta / &lt; 0,5 m",IF(H14&gt;I14,"vₜ nel plateau/transizione: L poco significativo",IF(J14&gt;Parametri!$B$7,"Oltre x max: troncato dal pavimento",IF(B14=$B$7,"OK","OK (stima per similarità)"))))))</f>
        <v>Q fuori dal campo simulato (estrapolazione)</v>
      </c>
      <c r="M14" s="13">
        <f>$G14*SQRT($B14/$B$7)*MAX(0.001,(1-$D14)*INDEX(Curve!$G$1:$G$100,4+($C14-1)*24+1+M$9*2)+$D14*INDEX(Curve!$G$1:$G$100,4+$C14*24+1+M$9*2))</f>
        <v>0.6548689156608265</v>
      </c>
      <c r="N14" s="13">
        <f>$G14*SQRT($B14/$B$7)*MAX(0.001,(1-$D14)*INDEX(Curve!$G$1:$G$100,4+($C14-1)*24+1+N$9*2)+$D14*INDEX(Curve!$G$1:$G$100,4+$C14*24+1+N$9*2))</f>
        <v>0.38902205902382841</v>
      </c>
      <c r="O14" s="13">
        <f>$G14*SQRT($B14/$B$7)*MAX(0.001,(1-$D14)*INDEX(Curve!$G$1:$G$100,4+($C14-1)*24+1+O$9*2)+$D14*INDEX(Curve!$G$1:$G$100,4+$C14*24+1+O$9*2))</f>
        <v>0.342863003813141</v>
      </c>
      <c r="P14" s="13">
        <f>$G14*SQRT($B14/$B$7)*MAX(0.001,(1-$D14)*INDEX(Curve!$G$1:$G$100,4+($C14-1)*24+1+P$9*2)+$D14*INDEX(Curve!$G$1:$G$100,4+$C14*24+1+P$9*2))</f>
        <v>0.32372477252334497</v>
      </c>
      <c r="Q14" s="13">
        <f>$G14*SQRT($B14/$B$7)*MAX(0.001,(1-$D14)*INDEX(Curve!$G$1:$G$100,4+($C14-1)*24+1+Q$9*2)+$D14*INDEX(Curve!$G$1:$G$100,4+$C14*24+1+Q$9*2))</f>
        <v>0.31552995060178252</v>
      </c>
      <c r="R14" s="13">
        <f>$G14*SQRT($B14/$B$7)*MAX(0.001,(1-$D14)*INDEX(Curve!$G$1:$G$100,4+($C14-1)*24+1+R$9*2)+$D14*INDEX(Curve!$G$1:$G$100,4+$C14*24+1+R$9*2))</f>
        <v>0.30931643722971636</v>
      </c>
      <c r="S14" s="13">
        <f>$G14*SQRT($B14/$B$7)*MAX(0.001,(1-$D14)*INDEX(Curve!$G$1:$G$100,4+($C14-1)*24+1+S$9*2)+$D14*INDEX(Curve!$G$1:$G$100,4+$C14*24+1+S$9*2))</f>
        <v>0.30187085114863144</v>
      </c>
      <c r="T14" s="13">
        <f>$G14*SQRT($B14/$B$7)*MAX(0.001,(1-$D14)*INDEX(Curve!$G$1:$G$100,4+($C14-1)*24+1+T$9*2)+$D14*INDEX(Curve!$G$1:$G$100,4+$C14*24+1+T$9*2))</f>
        <v>0.28843848532358007</v>
      </c>
      <c r="U14" s="13">
        <f>$G14*SQRT($B14/$B$7)*MAX(0.001,(1-$D14)*INDEX(Curve!$G$1:$G$100,4+($C14-1)*24+1+U$9*2)+$D14*INDEX(Curve!$G$1:$G$100,4+$C14*24+1+U$9*2))</f>
        <v>0.27669142742028685</v>
      </c>
      <c r="V14" s="13">
        <f>$G14*SQRT($B14/$B$7)*MAX(0.001,(1-$D14)*INDEX(Curve!$G$1:$G$100,4+($C14-1)*24+1+V$9*2)+$D14*INDEX(Curve!$G$1:$G$100,4+$C14*24+1+V$9*2))</f>
        <v>0.26603291661503431</v>
      </c>
      <c r="W14" s="13">
        <f>$G14*SQRT($B14/$B$7)*MAX(0.001,(1-$D14)*INDEX(Curve!$G$1:$G$100,4+($C14-1)*24+1+W$9*2)+$D14*INDEX(Curve!$G$1:$G$100,4+$C14*24+1+W$9*2))</f>
        <v>0.24684654533230041</v>
      </c>
      <c r="X14" s="13">
        <f>$G14*SQRT($B14/$B$7)*MAX(0.001,(1-$D14)*INDEX(Curve!$G$1:$G$100,4+($C14-1)*24+1+X$9*2)+$D14*INDEX(Curve!$G$1:$G$100,4+$C14*24+1+X$9*2))</f>
        <v>0.23054289127628833</v>
      </c>
      <c r="Y14" s="13">
        <f>$G14*SQRT($B14/$B$7)*MAX(0.001,(1-$D14)*INDEX(Curve!$G$1:$G$100,4+($C14-1)*24+1+Y$9*2)+$D14*INDEX(Curve!$G$1:$G$100,4+$C14*24+1+Y$9*2))</f>
        <v>0.21649863558187663</v>
      </c>
      <c r="Z14" s="13">
        <f>$G14*SQRT($B14/$B$7)*MAX(0.001,(1-$D14)*INDEX(Curve!$G$1:$G$100,4+($C14-1)*24+1+Z$9*2)+$D14*INDEX(Curve!$G$1:$G$100,4+$C14*24+1+Z$9*2))</f>
        <v>0.20426043972990018</v>
      </c>
      <c r="AA14" s="13">
        <f>$G14*SQRT($B14/$B$7)*MAX(0.001,(1-$D14)*INDEX(Curve!$G$1:$G$100,4+($C14-1)*24+1+AA$9*2)+$D14*INDEX(Curve!$G$1:$G$100,4+$C14*24+1+AA$9*2))</f>
        <v>0.19307041437722439</v>
      </c>
      <c r="AB14" s="13">
        <f>$G14*SQRT($B14/$B$7)*MAX(0.001,(1-$D14)*INDEX(Curve!$G$1:$G$100,4+($C14-1)*24+1+AB$9*2)+$D14*INDEX(Curve!$G$1:$G$100,4+$C14*24+1+AB$9*2))</f>
        <v>0.17956966829640622</v>
      </c>
      <c r="AC14" s="13">
        <f>$G14*SQRT($B14/$B$7)*MAX(0.001,(1-$D14)*INDEX(Curve!$G$1:$G$100,4+($C14-1)*24+1+AC$9*2)+$D14*INDEX(Curve!$G$1:$G$100,4+$C14*24+1+AC$9*2))</f>
        <v>0.16548877754475652</v>
      </c>
      <c r="AD14" s="13">
        <f>$G14*SQRT($B14/$B$7)*MAX(0.001,(1-$D14)*INDEX(Curve!$G$1:$G$100,4+($C14-1)*24+1+AD$9*2)+$D14*INDEX(Curve!$G$1:$G$100,4+$C14*24+1+AD$9*2))</f>
        <v>0.14161195155043749</v>
      </c>
      <c r="AE14" s="13">
        <f>$G14*SQRT($B14/$B$7)*MAX(0.001,(1-$D14)*INDEX(Curve!$G$1:$G$100,4+($C14-1)*24+1+AE$9*2)+$D14*INDEX(Curve!$G$1:$G$100,4+$C14*24+1+AE$9*2))</f>
        <v>9.6278817634707442E-2</v>
      </c>
      <c r="AF14" s="18">
        <f t="array" ref="AF14">SUMPRODUCT(MAX(ISNUMBER(M14:AD14)*ISNUMBER(N14:AE14)*(M14:AD14&gt;=$B$5)*(N14:AE14&lt;$B$5)*(COLUMN(M14:AD14)-COLUMN(M14)+1)))</f>
        <v>10</v>
      </c>
      <c r="AG14" s="9">
        <f t="shared" si="5"/>
        <v>5</v>
      </c>
      <c r="AH14" s="9">
        <f t="shared" si="6"/>
        <v>5.5</v>
      </c>
      <c r="AI14" s="13">
        <f t="shared" si="7"/>
        <v>0.26603291661503431</v>
      </c>
      <c r="AJ14" s="13">
        <f t="shared" si="8"/>
        <v>0.24684654533230041</v>
      </c>
      <c r="AK14" s="18">
        <f t="shared" si="9"/>
        <v>16</v>
      </c>
    </row>
    <row r="15" spans="1:37" x14ac:dyDescent="0.25">
      <c r="A15" s="12">
        <v>500</v>
      </c>
      <c r="B15" s="12">
        <v>30</v>
      </c>
      <c r="C15" s="18">
        <f>IFERROR(MIN(MATCH(A15,Parametri!$A$17:$A$19,1),2),1)</f>
        <v>1</v>
      </c>
      <c r="D15" s="13">
        <f>(A15-INDEX(Parametri!$A$17:$A$19,C15))/(INDEX(Parametri!$A$17:$A$19,C15+1)-INDEX(Parametri!$A$17:$A$19,C15))</f>
        <v>0</v>
      </c>
      <c r="E15" s="13">
        <f>(1-D15)*INDEX(Riepilogo!$C$5:$C$7,C15)+D15*INDEX(Riepilogo!$C$5:$C$7,C15+1)</f>
        <v>0.50683116301872999</v>
      </c>
      <c r="F15" s="14">
        <f t="shared" si="0"/>
        <v>7.6024674452809492E-3</v>
      </c>
      <c r="G15" s="23">
        <f t="shared" si="1"/>
        <v>5.4806767627173798</v>
      </c>
      <c r="H15" s="13">
        <f t="shared" si="2"/>
        <v>4.5614804671685702E-2</v>
      </c>
      <c r="I15" s="13">
        <f>SQRT(B15/$B$7)*((1-D15)*INDEX(Riepilogo!$F$5:$F$7,C15)+D15*INDEX(Riepilogo!$F$5:$F$7,C15+1))</f>
        <v>0.10825317547305482</v>
      </c>
      <c r="J15" s="24">
        <f t="shared" si="3"/>
        <v>8.8222734086091137</v>
      </c>
      <c r="K15" s="23">
        <f t="shared" si="4"/>
        <v>0.28904089783730252</v>
      </c>
      <c r="L15" s="5" t="str">
        <f>IF(OR(A15&lt;MIN(Parametri!$A$17:$A$19),A15&gt;MAX(Parametri!$A$17:$A$19),B15&lt;20,B15&gt;60),"L o h fuori campo: estrapolazione",IF(OR($B$4*$B$7/B15&lt;MAX(INDEX(Riepilogo!$H$5:$H$7,C15),INDEX(Riepilogo!$H$5:$H$7,C15+1))*0.99,$B$4*$B$7/B15&gt;MIN(INDEX(Riepilogo!$I$5:$I$7,C15),INDEX(Riepilogo!$I$5:$I$7,C15+1))*1.01),"Q fuori dal campo simulato (estrapolazione)",IF(NOT(ISNUMBER(J15)),"vₜ non raggiunta / &lt; 0,5 m",IF(H15&gt;I15,"vₜ nel plateau/transizione: L poco significativo",IF(J15&gt;Parametri!$B$7,"Oltre x max: troncato dal pavimento",IF(B15=$B$7,"OK","OK (stima per similarità)"))))))</f>
        <v>Oltre x max: troncato dal pavimento</v>
      </c>
      <c r="M15" s="13">
        <f>$G15*SQRT($B15/$B$7)*MAX(0.001,(1-$D15)*INDEX(Curve!$G$1:$G$100,4+($C15-1)*24+1+M$9*2)+$D15*INDEX(Curve!$G$1:$G$100,4+$C15*24+1+M$9*2))</f>
        <v>1.0809733590110444</v>
      </c>
      <c r="N15" s="13">
        <f>$G15*SQRT($B15/$B$7)*MAX(0.001,(1-$D15)*INDEX(Curve!$G$1:$G$100,4+($C15-1)*24+1+N$9*2)+$D15*INDEX(Curve!$G$1:$G$100,4+$C15*24+1+N$9*2))</f>
        <v>1.0102800590634935</v>
      </c>
      <c r="O15" s="13">
        <f>$G15*SQRT($B15/$B$7)*MAX(0.001,(1-$D15)*INDEX(Curve!$G$1:$G$100,4+($C15-1)*24+1+O$9*2)+$D15*INDEX(Curve!$G$1:$G$100,4+$C15*24+1+O$9*2))</f>
        <v>0.9134742406039712</v>
      </c>
      <c r="P15" s="13">
        <f>$G15*SQRT($B15/$B$7)*MAX(0.001,(1-$D15)*INDEX(Curve!$G$1:$G$100,4+($C15-1)*24+1+P$9*2)+$D15*INDEX(Curve!$G$1:$G$100,4+$C15*24+1+P$9*2))</f>
        <v>0.84147164719743983</v>
      </c>
      <c r="Q15" s="13">
        <f>$G15*SQRT($B15/$B$7)*MAX(0.001,(1-$D15)*INDEX(Curve!$G$1:$G$100,4+($C15-1)*24+1+Q$9*2)+$D15*INDEX(Curve!$G$1:$G$100,4+$C15*24+1+Q$9*2))</f>
        <v>0.77949547036560318</v>
      </c>
      <c r="R15" s="13">
        <f>$G15*SQRT($B15/$B$7)*MAX(0.001,(1-$D15)*INDEX(Curve!$G$1:$G$100,4+($C15-1)*24+1+R$9*2)+$D15*INDEX(Curve!$G$1:$G$100,4+$C15*24+1+R$9*2))</f>
        <v>0.70548900107294543</v>
      </c>
      <c r="S15" s="13">
        <f>$G15*SQRT($B15/$B$7)*MAX(0.001,(1-$D15)*INDEX(Curve!$G$1:$G$100,4+($C15-1)*24+1+S$9*2)+$D15*INDEX(Curve!$G$1:$G$100,4+$C15*24+1+S$9*2))</f>
        <v>0.63721339638474372</v>
      </c>
      <c r="T15" s="13">
        <f>$G15*SQRT($B15/$B$7)*MAX(0.001,(1-$D15)*INDEX(Curve!$G$1:$G$100,4+($C15-1)*24+1+T$9*2)+$D15*INDEX(Curve!$G$1:$G$100,4+$C15*24+1+T$9*2))</f>
        <v>0.58250856381375271</v>
      </c>
      <c r="U15" s="13">
        <f>$G15*SQRT($B15/$B$7)*MAX(0.001,(1-$D15)*INDEX(Curve!$G$1:$G$100,4+($C15-1)*24+1+U$9*2)+$D15*INDEX(Curve!$G$1:$G$100,4+$C15*24+1+U$9*2))</f>
        <v>0.52487795904999801</v>
      </c>
      <c r="V15" s="13">
        <f>$G15*SQRT($B15/$B$7)*MAX(0.001,(1-$D15)*INDEX(Curve!$G$1:$G$100,4+($C15-1)*24+1+V$9*2)+$D15*INDEX(Curve!$G$1:$G$100,4+$C15*24+1+V$9*2))</f>
        <v>0.47730421180704613</v>
      </c>
      <c r="W15" s="13">
        <f>$G15*SQRT($B15/$B$7)*MAX(0.001,(1-$D15)*INDEX(Curve!$G$1:$G$100,4+($C15-1)*24+1+W$9*2)+$D15*INDEX(Curve!$G$1:$G$100,4+$C15*24+1+W$9*2))</f>
        <v>0.43542839081571855</v>
      </c>
      <c r="X15" s="13">
        <f>$G15*SQRT($B15/$B$7)*MAX(0.001,(1-$D15)*INDEX(Curve!$G$1:$G$100,4+($C15-1)*24+1+X$9*2)+$D15*INDEX(Curve!$G$1:$G$100,4+$C15*24+1+X$9*2))</f>
        <v>0.40041991481642869</v>
      </c>
      <c r="Y15" s="13">
        <f>$G15*SQRT($B15/$B$7)*MAX(0.001,(1-$D15)*INDEX(Curve!$G$1:$G$100,4+($C15-1)*24+1+Y$9*2)+$D15*INDEX(Curve!$G$1:$G$100,4+$C15*24+1+Y$9*2))</f>
        <v>0.37069109248900639</v>
      </c>
      <c r="Z15" s="13">
        <f>$G15*SQRT($B15/$B$7)*MAX(0.001,(1-$D15)*INDEX(Curve!$G$1:$G$100,4+($C15-1)*24+1+Z$9*2)+$D15*INDEX(Curve!$G$1:$G$100,4+$C15*24+1+Z$9*2))</f>
        <v>0.34516277043456034</v>
      </c>
      <c r="AA15" s="13">
        <f>$G15*SQRT($B15/$B$7)*MAX(0.001,(1-$D15)*INDEX(Curve!$G$1:$G$100,4+($C15-1)*24+1+AA$9*2)+$D15*INDEX(Curve!$G$1:$G$100,4+$C15*24+1+AA$9*2))</f>
        <v>0.32298672831562186</v>
      </c>
      <c r="AB15" s="13">
        <f>$G15*SQRT($B15/$B$7)*MAX(0.001,(1-$D15)*INDEX(Curve!$G$1:$G$100,4+($C15-1)*24+1+AB$9*2)+$D15*INDEX(Curve!$G$1:$G$100,4+$C15*24+1+AB$9*2))</f>
        <v>0.30079178911809784</v>
      </c>
      <c r="AC15" s="13">
        <f>$G15*SQRT($B15/$B$7)*MAX(0.001,(1-$D15)*INDEX(Curve!$G$1:$G$100,4+($C15-1)*24+1+AC$9*2)+$D15*INDEX(Curve!$G$1:$G$100,4+$C15*24+1+AC$9*2))</f>
        <v>0.27516337030211707</v>
      </c>
      <c r="AD15" s="13">
        <f>$G15*SQRT($B15/$B$7)*MAX(0.001,(1-$D15)*INDEX(Curve!$G$1:$G$100,4+($C15-1)*24+1+AD$9*2)+$D15*INDEX(Curve!$G$1:$G$100,4+$C15*24+1+AD$9*2))</f>
        <v>0.23747443504303439</v>
      </c>
      <c r="AE15" s="13">
        <f>$G15*SQRT($B15/$B$7)*MAX(0.001,(1-$D15)*INDEX(Curve!$G$1:$G$100,4+($C15-1)*24+1+AE$9*2)+$D15*INDEX(Curve!$G$1:$G$100,4+$C15*24+1+AE$9*2))</f>
        <v>0.1572526676660389</v>
      </c>
      <c r="AF15" s="18">
        <f t="array" ref="AF15">SUMPRODUCT(MAX(ISNUMBER(M15:AD15)*ISNUMBER(N15:AE15)*(M15:AD15&gt;=$B$5)*(N15:AE15&lt;$B$5)*(COLUMN(M15:AD15)-COLUMN(M15)+1)))</f>
        <v>17</v>
      </c>
      <c r="AG15" s="9">
        <f t="shared" si="5"/>
        <v>8.5</v>
      </c>
      <c r="AH15" s="9">
        <f t="shared" si="6"/>
        <v>9</v>
      </c>
      <c r="AI15" s="13">
        <f t="shared" si="7"/>
        <v>0.27516337030211707</v>
      </c>
      <c r="AJ15" s="13">
        <f t="shared" si="8"/>
        <v>0.23747443504303439</v>
      </c>
      <c r="AK15" s="18">
        <f t="shared" si="9"/>
        <v>16</v>
      </c>
    </row>
    <row r="16" spans="1:37" x14ac:dyDescent="0.25">
      <c r="A16" s="12">
        <v>750</v>
      </c>
      <c r="B16" s="12">
        <v>30</v>
      </c>
      <c r="C16" s="18">
        <f>IFERROR(MIN(MATCH(A16,Parametri!$A$17:$A$19,1),2),1)</f>
        <v>1</v>
      </c>
      <c r="D16" s="13">
        <f>(A16-INDEX(Parametri!$A$17:$A$19,C16))/(INDEX(Parametri!$A$17:$A$19,C16+1)-INDEX(Parametri!$A$17:$A$19,C16))</f>
        <v>0.5</v>
      </c>
      <c r="E16" s="13">
        <f>(1-D16)*INDEX(Riepilogo!$C$5:$C$7,C16)+D16*INDEX(Riepilogo!$C$5:$C$7,C16+1)</f>
        <v>0.51921121561681005</v>
      </c>
      <c r="F16" s="14">
        <f t="shared" si="0"/>
        <v>1.1682252351378226E-2</v>
      </c>
      <c r="G16" s="23">
        <f t="shared" si="1"/>
        <v>3.5666638087775082</v>
      </c>
      <c r="H16" s="13">
        <f t="shared" si="2"/>
        <v>7.0093514108269361E-2</v>
      </c>
      <c r="I16" s="13">
        <f>SQRT(B16/$B$7)*((1-D16)*INDEX(Riepilogo!$F$5:$F$7,C16)+D16*INDEX(Riepilogo!$F$5:$F$7,C16+1))</f>
        <v>0.11907849302036032</v>
      </c>
      <c r="J16" s="24">
        <f t="shared" si="3"/>
        <v>7.7083820145692608</v>
      </c>
      <c r="K16" s="23">
        <f t="shared" si="4"/>
        <v>0.23016847737116813</v>
      </c>
      <c r="L16" s="5" t="str">
        <f>IF(OR(A16&lt;MIN(Parametri!$A$17:$A$19),A16&gt;MAX(Parametri!$A$17:$A$19),B16&lt;20,B16&gt;60),"L o h fuori campo: estrapolazione",IF(OR($B$4*$B$7/B16&lt;MAX(INDEX(Riepilogo!$H$5:$H$7,C16),INDEX(Riepilogo!$H$5:$H$7,C16+1))*0.99,$B$4*$B$7/B16&gt;MIN(INDEX(Riepilogo!$I$5:$I$7,C16),INDEX(Riepilogo!$I$5:$I$7,C16+1))*1.01),"Q fuori dal campo simulato (estrapolazione)",IF(NOT(ISNUMBER(J16)),"vₜ non raggiunta / &lt; 0,5 m",IF(H16&gt;I16,"vₜ nel plateau/transizione: L poco significativo",IF(J16&gt;Parametri!$B$7,"Oltre x max: troncato dal pavimento",IF(B16=$B$7,"OK","OK (stima per similarità)"))))))</f>
        <v>OK (stima per similarità)</v>
      </c>
      <c r="M16" s="13">
        <f>$G16*SQRT($B16/$B$7)*MAX(0.001,(1-$D16)*INDEX(Curve!$G$1:$G$100,4+($C16-1)*24+1+M$9*2)+$D16*INDEX(Curve!$G$1:$G$100,4+$C16*24+1+M$9*2))</f>
        <v>0.69089593031779162</v>
      </c>
      <c r="N16" s="13">
        <f>$G16*SQRT($B16/$B$7)*MAX(0.001,(1-$D16)*INDEX(Curve!$G$1:$G$100,4+($C16-1)*24+1+N$9*2)+$D16*INDEX(Curve!$G$1:$G$100,4+$C16*24+1+N$9*2))</f>
        <v>0.66193314632952382</v>
      </c>
      <c r="O16" s="13">
        <f>$G16*SQRT($B16/$B$7)*MAX(0.001,(1-$D16)*INDEX(Curve!$G$1:$G$100,4+($C16-1)*24+1+O$9*2)+$D16*INDEX(Curve!$G$1:$G$100,4+$C16*24+1+O$9*2))</f>
        <v>0.63127733651489237</v>
      </c>
      <c r="P16" s="13">
        <f>$G16*SQRT($B16/$B$7)*MAX(0.001,(1-$D16)*INDEX(Curve!$G$1:$G$100,4+($C16-1)*24+1+P$9*2)+$D16*INDEX(Curve!$G$1:$G$100,4+$C16*24+1+P$9*2))</f>
        <v>0.60306714824248964</v>
      </c>
      <c r="Q16" s="13">
        <f>$G16*SQRT($B16/$B$7)*MAX(0.001,(1-$D16)*INDEX(Curve!$G$1:$G$100,4+($C16-1)*24+1+Q$9*2)+$D16*INDEX(Curve!$G$1:$G$100,4+$C16*24+1+Q$9*2))</f>
        <v>0.57231325724579751</v>
      </c>
      <c r="R16" s="13">
        <f>$G16*SQRT($B16/$B$7)*MAX(0.001,(1-$D16)*INDEX(Curve!$G$1:$G$100,4+($C16-1)*24+1+R$9*2)+$D16*INDEX(Curve!$G$1:$G$100,4+$C16*24+1+R$9*2))</f>
        <v>0.53392337481019247</v>
      </c>
      <c r="S16" s="13">
        <f>$G16*SQRT($B16/$B$7)*MAX(0.001,(1-$D16)*INDEX(Curve!$G$1:$G$100,4+($C16-1)*24+1+S$9*2)+$D16*INDEX(Curve!$G$1:$G$100,4+$C16*24+1+S$9*2))</f>
        <v>0.4908161196379634</v>
      </c>
      <c r="T16" s="13">
        <f>$G16*SQRT($B16/$B$7)*MAX(0.001,(1-$D16)*INDEX(Curve!$G$1:$G$100,4+($C16-1)*24+1+T$9*2)+$D16*INDEX(Curve!$G$1:$G$100,4+$C16*24+1+T$9*2))</f>
        <v>0.45296241324267994</v>
      </c>
      <c r="U16" s="13">
        <f>$G16*SQRT($B16/$B$7)*MAX(0.001,(1-$D16)*INDEX(Curve!$G$1:$G$100,4+($C16-1)*24+1+U$9*2)+$D16*INDEX(Curve!$G$1:$G$100,4+$C16*24+1+U$9*2))</f>
        <v>0.41662147769232116</v>
      </c>
      <c r="V16" s="13">
        <f>$G16*SQRT($B16/$B$7)*MAX(0.001,(1-$D16)*INDEX(Curve!$G$1:$G$100,4+($C16-1)*24+1+V$9*2)+$D16*INDEX(Curve!$G$1:$G$100,4+$C16*24+1+V$9*2))</f>
        <v>0.38250411701261694</v>
      </c>
      <c r="W16" s="13">
        <f>$G16*SQRT($B16/$B$7)*MAX(0.001,(1-$D16)*INDEX(Curve!$G$1:$G$100,4+($C16-1)*24+1+W$9*2)+$D16*INDEX(Curve!$G$1:$G$100,4+$C16*24+1+W$9*2))</f>
        <v>0.34941379170666215</v>
      </c>
      <c r="X16" s="13">
        <f>$G16*SQRT($B16/$B$7)*MAX(0.001,(1-$D16)*INDEX(Curve!$G$1:$G$100,4+($C16-1)*24+1+X$9*2)+$D16*INDEX(Curve!$G$1:$G$100,4+$C16*24+1+X$9*2))</f>
        <v>0.32171326927086608</v>
      </c>
      <c r="Y16" s="13">
        <f>$G16*SQRT($B16/$B$7)*MAX(0.001,(1-$D16)*INDEX(Curve!$G$1:$G$100,4+($C16-1)*24+1+Y$9*2)+$D16*INDEX(Curve!$G$1:$G$100,4+$C16*24+1+Y$9*2))</f>
        <v>0.29771002790260043</v>
      </c>
      <c r="Z16" s="13">
        <f>$G16*SQRT($B16/$B$7)*MAX(0.001,(1-$D16)*INDEX(Curve!$G$1:$G$100,4+($C16-1)*24+1+Z$9*2)+$D16*INDEX(Curve!$G$1:$G$100,4+$C16*24+1+Z$9*2))</f>
        <v>0.27671211480203273</v>
      </c>
      <c r="AA16" s="13">
        <f>$G16*SQRT($B16/$B$7)*MAX(0.001,(1-$D16)*INDEX(Curve!$G$1:$G$100,4+($C16-1)*24+1+AA$9*2)+$D16*INDEX(Curve!$G$1:$G$100,4+$C16*24+1+AA$9*2))</f>
        <v>0.25842578447187098</v>
      </c>
      <c r="AB16" s="13">
        <f>$G16*SQRT($B16/$B$7)*MAX(0.001,(1-$D16)*INDEX(Curve!$G$1:$G$100,4+($C16-1)*24+1+AB$9*2)+$D16*INDEX(Curve!$G$1:$G$100,4+$C16*24+1+AB$9*2))</f>
        <v>0.2390199462209901</v>
      </c>
      <c r="AC16" s="13">
        <f>$G16*SQRT($B16/$B$7)*MAX(0.001,(1-$D16)*INDEX(Curve!$G$1:$G$100,4+($C16-1)*24+1+AC$9*2)+$D16*INDEX(Curve!$G$1:$G$100,4+$C16*24+1+AC$9*2))</f>
        <v>0.21969040889012409</v>
      </c>
      <c r="AD16" s="13">
        <f>$G16*SQRT($B16/$B$7)*MAX(0.001,(1-$D16)*INDEX(Curve!$G$1:$G$100,4+($C16-1)*24+1+AD$9*2)+$D16*INDEX(Curve!$G$1:$G$100,4+$C16*24+1+AD$9*2))</f>
        <v>0.18860696359448068</v>
      </c>
      <c r="AE16" s="13">
        <f>$G16*SQRT($B16/$B$7)*MAX(0.001,(1-$D16)*INDEX(Curve!$G$1:$G$100,4+($C16-1)*24+1+AE$9*2)+$D16*INDEX(Curve!$G$1:$G$100,4+$C16*24+1+AE$9*2))</f>
        <v>0.12142459254190123</v>
      </c>
      <c r="AF16" s="18">
        <f t="array" ref="AF16">SUMPRODUCT(MAX(ISNUMBER(M16:AD16)*ISNUMBER(N16:AE16)*(M16:AD16&gt;=$B$5)*(N16:AE16&lt;$B$5)*(COLUMN(M16:AD16)-COLUMN(M16)+1)))</f>
        <v>15</v>
      </c>
      <c r="AG16" s="9">
        <f t="shared" si="5"/>
        <v>7.5</v>
      </c>
      <c r="AH16" s="9">
        <f t="shared" si="6"/>
        <v>8</v>
      </c>
      <c r="AI16" s="13">
        <f t="shared" si="7"/>
        <v>0.25842578447187098</v>
      </c>
      <c r="AJ16" s="13">
        <f t="shared" si="8"/>
        <v>0.2390199462209901</v>
      </c>
      <c r="AK16" s="18">
        <f t="shared" si="9"/>
        <v>16</v>
      </c>
    </row>
    <row r="17" spans="1:37" x14ac:dyDescent="0.25">
      <c r="A17" s="12">
        <v>1000</v>
      </c>
      <c r="B17" s="12">
        <v>30</v>
      </c>
      <c r="C17" s="18">
        <f>IFERROR(MIN(MATCH(A17,Parametri!$A$17:$A$19,1),2),1)</f>
        <v>2</v>
      </c>
      <c r="D17" s="13">
        <f>(A17-INDEX(Parametri!$A$17:$A$19,C17))/(INDEX(Parametri!$A$17:$A$19,C17+1)-INDEX(Parametri!$A$17:$A$19,C17))</f>
        <v>0</v>
      </c>
      <c r="E17" s="13">
        <f>(1-D17)*INDEX(Riepilogo!$C$5:$C$7,C17)+D17*INDEX(Riepilogo!$C$5:$C$7,C17+1)</f>
        <v>0.53159126821489022</v>
      </c>
      <c r="F17" s="14">
        <f t="shared" si="0"/>
        <v>1.5947738046446707E-2</v>
      </c>
      <c r="G17" s="23">
        <f t="shared" si="1"/>
        <v>2.6127007193945198</v>
      </c>
      <c r="H17" s="13">
        <f t="shared" si="2"/>
        <v>9.5686428278680249E-2</v>
      </c>
      <c r="I17" s="13">
        <f>SQRT(B17/$B$7)*((1-D17)*INDEX(Riepilogo!$F$5:$F$7,C17)+D17*INDEX(Riepilogo!$F$5:$F$7,C17+1))</f>
        <v>0.12990381056766578</v>
      </c>
      <c r="J17" s="24">
        <f t="shared" si="3"/>
        <v>6.7449069005414906</v>
      </c>
      <c r="K17" s="23">
        <f t="shared" si="4"/>
        <v>0.19942252580429659</v>
      </c>
      <c r="L17" s="5" t="str">
        <f>IF(OR(A17&lt;MIN(Parametri!$A$17:$A$19),A17&gt;MAX(Parametri!$A$17:$A$19),B17&lt;20,B17&gt;60),"L o h fuori campo: estrapolazione",IF(OR($B$4*$B$7/B17&lt;MAX(INDEX(Riepilogo!$H$5:$H$7,C17),INDEX(Riepilogo!$H$5:$H$7,C17+1))*0.99,$B$4*$B$7/B17&gt;MIN(INDEX(Riepilogo!$I$5:$I$7,C17),INDEX(Riepilogo!$I$5:$I$7,C17+1))*1.01),"Q fuori dal campo simulato (estrapolazione)",IF(NOT(ISNUMBER(J17)),"vₜ non raggiunta / &lt; 0,5 m",IF(H17&gt;I17,"vₜ nel plateau/transizione: L poco significativo",IF(J17&gt;Parametri!$B$7,"Oltre x max: troncato dal pavimento",IF(B17=$B$7,"OK","OK (stima per similarità)"))))))</f>
        <v>OK (stima per similarità)</v>
      </c>
      <c r="M17" s="13">
        <f>$G17*SQRT($B17/$B$7)*MAX(0.001,(1-$D17)*INDEX(Curve!$G$1:$G$100,4+($C17-1)*24+1+M$9*2)+$D17*INDEX(Curve!$G$1:$G$100,4+$C17*24+1+M$9*2))</f>
        <v>0.49689657673387061</v>
      </c>
      <c r="N17" s="13">
        <f>$G17*SQRT($B17/$B$7)*MAX(0.001,(1-$D17)*INDEX(Curve!$G$1:$G$100,4+($C17-1)*24+1+N$9*2)+$D17*INDEX(Curve!$G$1:$G$100,4+$C17*24+1+N$9*2))</f>
        <v>0.48816445492183141</v>
      </c>
      <c r="O17" s="13">
        <f>$G17*SQRT($B17/$B$7)*MAX(0.001,(1-$D17)*INDEX(Curve!$G$1:$G$100,4+($C17-1)*24+1+O$9*2)+$D17*INDEX(Curve!$G$1:$G$100,4+$C17*24+1+O$9*2))</f>
        <v>0.48940007032472693</v>
      </c>
      <c r="P17" s="13">
        <f>$G17*SQRT($B17/$B$7)*MAX(0.001,(1-$D17)*INDEX(Curve!$G$1:$G$100,4+($C17-1)*24+1+P$9*2)+$D17*INDEX(Curve!$G$1:$G$100,4+$C17*24+1+P$9*2))</f>
        <v>0.48239470668745954</v>
      </c>
      <c r="Q17" s="13">
        <f>$G17*SQRT($B17/$B$7)*MAX(0.001,(1-$D17)*INDEX(Curve!$G$1:$G$100,4+($C17-1)*24+1+Q$9*2)+$D17*INDEX(Curve!$G$1:$G$100,4+$C17*24+1+Q$9*2))</f>
        <v>0.466882941736669</v>
      </c>
      <c r="R17" s="13">
        <f>$G17*SQRT($B17/$B$7)*MAX(0.001,(1-$D17)*INDEX(Curve!$G$1:$G$100,4+($C17-1)*24+1+R$9*2)+$D17*INDEX(Curve!$G$1:$G$100,4+$C17*24+1+R$9*2))</f>
        <v>0.44591891447502002</v>
      </c>
      <c r="S17" s="13">
        <f>$G17*SQRT($B17/$B$7)*MAX(0.001,(1-$D17)*INDEX(Curve!$G$1:$G$100,4+($C17-1)*24+1+S$9*2)+$D17*INDEX(Curve!$G$1:$G$100,4+$C17*24+1+S$9*2))</f>
        <v>0.41531165200156228</v>
      </c>
      <c r="T17" s="13">
        <f>$G17*SQRT($B17/$B$7)*MAX(0.001,(1-$D17)*INDEX(Curve!$G$1:$G$100,4+($C17-1)*24+1+T$9*2)+$D17*INDEX(Curve!$G$1:$G$100,4+$C17*24+1+T$9*2))</f>
        <v>0.38593184961176485</v>
      </c>
      <c r="U17" s="13">
        <f>$G17*SQRT($B17/$B$7)*MAX(0.001,(1-$D17)*INDEX(Curve!$G$1:$G$100,4+($C17-1)*24+1+U$9*2)+$D17*INDEX(Curve!$G$1:$G$100,4+$C17*24+1+U$9*2))</f>
        <v>0.36016310662114415</v>
      </c>
      <c r="V17" s="13">
        <f>$G17*SQRT($B17/$B$7)*MAX(0.001,(1-$D17)*INDEX(Curve!$G$1:$G$100,4+($C17-1)*24+1+V$9*2)+$D17*INDEX(Curve!$G$1:$G$100,4+$C17*24+1+V$9*2))</f>
        <v>0.33285783184714296</v>
      </c>
      <c r="W17" s="13">
        <f>$G17*SQRT($B17/$B$7)*MAX(0.001,(1-$D17)*INDEX(Curve!$G$1:$G$100,4+($C17-1)*24+1+W$9*2)+$D17*INDEX(Curve!$G$1:$G$100,4+$C17*24+1+W$9*2))</f>
        <v>0.30434096669227095</v>
      </c>
      <c r="X17" s="13">
        <f>$G17*SQRT($B17/$B$7)*MAX(0.001,(1-$D17)*INDEX(Curve!$G$1:$G$100,4+($C17-1)*24+1+X$9*2)+$D17*INDEX(Curve!$G$1:$G$100,4+$C17*24+1+X$9*2))</f>
        <v>0.28044678266964279</v>
      </c>
      <c r="Y17" s="13">
        <f>$G17*SQRT($B17/$B$7)*MAX(0.001,(1-$D17)*INDEX(Curve!$G$1:$G$100,4+($C17-1)*24+1+Y$9*2)+$D17*INDEX(Curve!$G$1:$G$100,4+$C17*24+1+Y$9*2))</f>
        <v>0.2594524923869484</v>
      </c>
      <c r="Z17" s="13">
        <f>$G17*SQRT($B17/$B$7)*MAX(0.001,(1-$D17)*INDEX(Curve!$G$1:$G$100,4+($C17-1)*24+1+Z$9*2)+$D17*INDEX(Curve!$G$1:$G$100,4+$C17*24+1+Z$9*2))</f>
        <v>0.24085878328719423</v>
      </c>
      <c r="AA17" s="13">
        <f>$G17*SQRT($B17/$B$7)*MAX(0.001,(1-$D17)*INDEX(Curve!$G$1:$G$100,4+($C17-1)*24+1+AA$9*2)+$D17*INDEX(Curve!$G$1:$G$100,4+$C17*24+1+AA$9*2))</f>
        <v>0.22463965478335951</v>
      </c>
      <c r="AB17" s="13">
        <f>$G17*SQRT($B17/$B$7)*MAX(0.001,(1-$D17)*INDEX(Curve!$G$1:$G$100,4+($C17-1)*24+1+AB$9*2)+$D17*INDEX(Curve!$G$1:$G$100,4+$C17*24+1+AB$9*2))</f>
        <v>0.20678938062251087</v>
      </c>
      <c r="AC17" s="13">
        <f>$G17*SQRT($B17/$B$7)*MAX(0.001,(1-$D17)*INDEX(Curve!$G$1:$G$100,4+($C17-1)*24+1+AC$9*2)+$D17*INDEX(Curve!$G$1:$G$100,4+$C17*24+1+AC$9*2))</f>
        <v>0.19068767106352927</v>
      </c>
      <c r="AD17" s="13">
        <f>$G17*SQRT($B17/$B$7)*MAX(0.001,(1-$D17)*INDEX(Curve!$G$1:$G$100,4+($C17-1)*24+1+AD$9*2)+$D17*INDEX(Curve!$G$1:$G$100,4+$C17*24+1+AD$9*2))</f>
        <v>0.16311508370645073</v>
      </c>
      <c r="AE17" s="13">
        <f>$G17*SQRT($B17/$B$7)*MAX(0.001,(1-$D17)*INDEX(Curve!$G$1:$G$100,4+($C17-1)*24+1+AE$9*2)+$D17*INDEX(Curve!$G$1:$G$100,4+$C17*24+1+AE$9*2))</f>
        <v>0.10293103461318996</v>
      </c>
      <c r="AF17" s="18">
        <f t="array" ref="AF17">SUMPRODUCT(MAX(ISNUMBER(M17:AD17)*ISNUMBER(N17:AE17)*(M17:AD17&gt;=$B$5)*(N17:AE17&lt;$B$5)*(COLUMN(M17:AD17)-COLUMN(M17)+1)))</f>
        <v>13</v>
      </c>
      <c r="AG17" s="9">
        <f t="shared" si="5"/>
        <v>6.5</v>
      </c>
      <c r="AH17" s="9">
        <f t="shared" si="6"/>
        <v>7</v>
      </c>
      <c r="AI17" s="13">
        <f t="shared" si="7"/>
        <v>0.2594524923869484</v>
      </c>
      <c r="AJ17" s="13">
        <f t="shared" si="8"/>
        <v>0.24085878328719423</v>
      </c>
      <c r="AK17" s="18">
        <f t="shared" si="9"/>
        <v>16</v>
      </c>
    </row>
    <row r="18" spans="1:37" x14ac:dyDescent="0.25">
      <c r="A18" s="12">
        <v>1250</v>
      </c>
      <c r="B18" s="12">
        <v>30</v>
      </c>
      <c r="C18" s="18">
        <f>IFERROR(MIN(MATCH(A18,Parametri!$A$17:$A$19,1),2),1)</f>
        <v>2</v>
      </c>
      <c r="D18" s="13">
        <f>(A18-INDEX(Parametri!$A$17:$A$19,C18))/(INDEX(Parametri!$A$17:$A$19,C18+1)-INDEX(Parametri!$A$17:$A$19,C18))</f>
        <v>0.5</v>
      </c>
      <c r="E18" s="13">
        <f>(1-D18)*INDEX(Riepilogo!$C$5:$C$7,C18)+D18*INDEX(Riepilogo!$C$5:$C$7,C18+1)</f>
        <v>0.50761238746144932</v>
      </c>
      <c r="F18" s="14">
        <f t="shared" si="0"/>
        <v>1.9035464529804348E-2</v>
      </c>
      <c r="G18" s="23">
        <f t="shared" si="1"/>
        <v>2.1888967616959398</v>
      </c>
      <c r="H18" s="13">
        <f t="shared" si="2"/>
        <v>0.1142127871788261</v>
      </c>
      <c r="I18" s="13">
        <f>SQRT(B18/$B$7)*((1-D18)*INDEX(Riepilogo!$F$5:$F$7,C18)+D18*INDEX(Riepilogo!$F$5:$F$7,C18+1))</f>
        <v>0.13206887407712689</v>
      </c>
      <c r="J18" s="24">
        <f t="shared" si="3"/>
        <v>5.3152307789071891</v>
      </c>
      <c r="K18" s="23">
        <f t="shared" si="4"/>
        <v>0.16434492097040215</v>
      </c>
      <c r="L18" s="5" t="str">
        <f>IF(OR(A18&lt;MIN(Parametri!$A$17:$A$19),A18&gt;MAX(Parametri!$A$17:$A$19),B18&lt;20,B18&gt;60),"L o h fuori campo: estrapolazione",IF(OR($B$4*$B$7/B18&lt;MAX(INDEX(Riepilogo!$H$5:$H$7,C18),INDEX(Riepilogo!$H$5:$H$7,C18+1))*0.99,$B$4*$B$7/B18&gt;MIN(INDEX(Riepilogo!$I$5:$I$7,C18),INDEX(Riepilogo!$I$5:$I$7,C18+1))*1.01),"Q fuori dal campo simulato (estrapolazione)",IF(NOT(ISNUMBER(J18)),"vₜ non raggiunta / &lt; 0,5 m",IF(H18&gt;I18,"vₜ nel plateau/transizione: L poco significativo",IF(J18&gt;Parametri!$B$7,"Oltre x max: troncato dal pavimento",IF(B18=$B$7,"OK","OK (stima per similarità)"))))))</f>
        <v>OK (stima per similarità)</v>
      </c>
      <c r="M18" s="13">
        <f>$G18*SQRT($B18/$B$7)*MAX(0.001,(1-$D18)*INDEX(Curve!$G$1:$G$100,4+($C18-1)*24+1+M$9*2)+$D18*INDEX(Curve!$G$1:$G$100,4+$C18*24+1+M$9*2))</f>
        <v>0.51381161527342867</v>
      </c>
      <c r="N18" s="13">
        <f>$G18*SQRT($B18/$B$7)*MAX(0.001,(1-$D18)*INDEX(Curve!$G$1:$G$100,4+($C18-1)*24+1+N$9*2)+$D18*INDEX(Curve!$G$1:$G$100,4+$C18*24+1+N$9*2))</f>
        <v>0.38606818787236802</v>
      </c>
      <c r="O18" s="13">
        <f>$G18*SQRT($B18/$B$7)*MAX(0.001,(1-$D18)*INDEX(Curve!$G$1:$G$100,4+($C18-1)*24+1+O$9*2)+$D18*INDEX(Curve!$G$1:$G$100,4+$C18*24+1+O$9*2))</f>
        <v>0.36504077142536928</v>
      </c>
      <c r="P18" s="13">
        <f>$G18*SQRT($B18/$B$7)*MAX(0.001,(1-$D18)*INDEX(Curve!$G$1:$G$100,4+($C18-1)*24+1+P$9*2)+$D18*INDEX(Curve!$G$1:$G$100,4+$C18*24+1+P$9*2))</f>
        <v>0.35317337479695893</v>
      </c>
      <c r="Q18" s="13">
        <f>$G18*SQRT($B18/$B$7)*MAX(0.001,(1-$D18)*INDEX(Curve!$G$1:$G$100,4+($C18-1)*24+1+Q$9*2)+$D18*INDEX(Curve!$G$1:$G$100,4+$C18*24+1+Q$9*2))</f>
        <v>0.3428505861541753</v>
      </c>
      <c r="R18" s="13">
        <f>$G18*SQRT($B18/$B$7)*MAX(0.001,(1-$D18)*INDEX(Curve!$G$1:$G$100,4+($C18-1)*24+1+R$9*2)+$D18*INDEX(Curve!$G$1:$G$100,4+$C18*24+1+R$9*2))</f>
        <v>0.33116865716871408</v>
      </c>
      <c r="S18" s="13">
        <f>$G18*SQRT($B18/$B$7)*MAX(0.001,(1-$D18)*INDEX(Curve!$G$1:$G$100,4+($C18-1)*24+1+S$9*2)+$D18*INDEX(Curve!$G$1:$G$100,4+$C18*24+1+S$9*2))</f>
        <v>0.31487214388898055</v>
      </c>
      <c r="T18" s="13">
        <f>$G18*SQRT($B18/$B$7)*MAX(0.001,(1-$D18)*INDEX(Curve!$G$1:$G$100,4+($C18-1)*24+1+T$9*2)+$D18*INDEX(Curve!$G$1:$G$100,4+$C18*24+1+T$9*2))</f>
        <v>0.29629544342116326</v>
      </c>
      <c r="U18" s="13">
        <f>$G18*SQRT($B18/$B$7)*MAX(0.001,(1-$D18)*INDEX(Curve!$G$1:$G$100,4+($C18-1)*24+1+U$9*2)+$D18*INDEX(Curve!$G$1:$G$100,4+$C18*24+1+U$9*2))</f>
        <v>0.28001802658806901</v>
      </c>
      <c r="V18" s="13">
        <f>$G18*SQRT($B18/$B$7)*MAX(0.001,(1-$D18)*INDEX(Curve!$G$1:$G$100,4+($C18-1)*24+1+V$9*2)+$D18*INDEX(Curve!$G$1:$G$100,4+$C18*24+1+V$9*2))</f>
        <v>0.26360504936949869</v>
      </c>
      <c r="W18" s="13">
        <f>$G18*SQRT($B18/$B$7)*MAX(0.001,(1-$D18)*INDEX(Curve!$G$1:$G$100,4+($C18-1)*24+1+W$9*2)+$D18*INDEX(Curve!$G$1:$G$100,4+$C18*24+1+W$9*2))</f>
        <v>0.24270411352467658</v>
      </c>
      <c r="X18" s="13">
        <f>$G18*SQRT($B18/$B$7)*MAX(0.001,(1-$D18)*INDEX(Curve!$G$1:$G$100,4+($C18-1)*24+1+X$9*2)+$D18*INDEX(Curve!$G$1:$G$100,4+$C18*24+1+X$9*2))</f>
        <v>0.22508512285624624</v>
      </c>
      <c r="Y18" s="13">
        <f>$G18*SQRT($B18/$B$7)*MAX(0.001,(1-$D18)*INDEX(Curve!$G$1:$G$100,4+($C18-1)*24+1+Y$9*2)+$D18*INDEX(Curve!$G$1:$G$100,4+$C18*24+1+Y$9*2))</f>
        <v>0.20973547186488645</v>
      </c>
      <c r="Z18" s="13">
        <f>$G18*SQRT($B18/$B$7)*MAX(0.001,(1-$D18)*INDEX(Curve!$G$1:$G$100,4+($C18-1)*24+1+Z$9*2)+$D18*INDEX(Curve!$G$1:$G$100,4+$C18*24+1+Z$9*2))</f>
        <v>0.1962344023882906</v>
      </c>
      <c r="AA18" s="13">
        <f>$G18*SQRT($B18/$B$7)*MAX(0.001,(1-$D18)*INDEX(Curve!$G$1:$G$100,4+($C18-1)*24+1+AA$9*2)+$D18*INDEX(Curve!$G$1:$G$100,4+$C18*24+1+AA$9*2))</f>
        <v>0.18421727359788698</v>
      </c>
      <c r="AB18" s="13">
        <f>$G18*SQRT($B18/$B$7)*MAX(0.001,(1-$D18)*INDEX(Curve!$G$1:$G$100,4+($C18-1)*24+1+AB$9*2)+$D18*INDEX(Curve!$G$1:$G$100,4+$C18*24+1+AB$9*2))</f>
        <v>0.17043832288311489</v>
      </c>
      <c r="AC18" s="13">
        <f>$G18*SQRT($B18/$B$7)*MAX(0.001,(1-$D18)*INDEX(Curve!$G$1:$G$100,4+($C18-1)*24+1+AC$9*2)+$D18*INDEX(Curve!$G$1:$G$100,4+$C18*24+1+AC$9*2))</f>
        <v>0.15712105195012488</v>
      </c>
      <c r="AD18" s="13">
        <f>$G18*SQRT($B18/$B$7)*MAX(0.001,(1-$D18)*INDEX(Curve!$G$1:$G$100,4+($C18-1)*24+1+AD$9*2)+$D18*INDEX(Curve!$G$1:$G$100,4+$C18*24+1+AD$9*2))</f>
        <v>0.134426372474449</v>
      </c>
      <c r="AE18" s="13">
        <f>$G18*SQRT($B18/$B$7)*MAX(0.001,(1-$D18)*INDEX(Curve!$G$1:$G$100,4+($C18-1)*24+1+AE$9*2)+$D18*INDEX(Curve!$G$1:$G$100,4+$C18*24+1+AE$9*2))</f>
        <v>8.8056043118493382E-2</v>
      </c>
      <c r="AF18" s="18">
        <f t="array" ref="AF18">SUMPRODUCT(MAX(ISNUMBER(M18:AD18)*ISNUMBER(N18:AE18)*(M18:AD18&gt;=$B$5)*(N18:AE18&lt;$B$5)*(COLUMN(M18:AD18)-COLUMN(M18)+1)))</f>
        <v>10</v>
      </c>
      <c r="AG18" s="9">
        <f t="shared" si="5"/>
        <v>5</v>
      </c>
      <c r="AH18" s="9">
        <f t="shared" si="6"/>
        <v>5.5</v>
      </c>
      <c r="AI18" s="13">
        <f t="shared" si="7"/>
        <v>0.26360504936949869</v>
      </c>
      <c r="AJ18" s="13">
        <f t="shared" si="8"/>
        <v>0.24270411352467658</v>
      </c>
      <c r="AK18" s="18">
        <f t="shared" si="9"/>
        <v>16</v>
      </c>
    </row>
    <row r="19" spans="1:37" x14ac:dyDescent="0.25">
      <c r="A19" s="12">
        <v>1500</v>
      </c>
      <c r="B19" s="12">
        <v>30</v>
      </c>
      <c r="C19" s="18">
        <f>IFERROR(MIN(MATCH(A19,Parametri!$A$17:$A$19,1),2),1)</f>
        <v>2</v>
      </c>
      <c r="D19" s="13">
        <f>(A19-INDEX(Parametri!$A$17:$A$19,C19))/(INDEX(Parametri!$A$17:$A$19,C19+1)-INDEX(Parametri!$A$17:$A$19,C19))</f>
        <v>1</v>
      </c>
      <c r="E19" s="13">
        <f>(1-D19)*INDEX(Riepilogo!$C$5:$C$7,C19)+D19*INDEX(Riepilogo!$C$5:$C$7,C19+1)</f>
        <v>0.48363350670800842</v>
      </c>
      <c r="F19" s="14">
        <f t="shared" si="0"/>
        <v>2.1763507801860378E-2</v>
      </c>
      <c r="G19" s="23">
        <f t="shared" si="1"/>
        <v>1.9145198028740997</v>
      </c>
      <c r="H19" s="13">
        <f t="shared" si="2"/>
        <v>0.13058104681116228</v>
      </c>
      <c r="I19" s="13">
        <f>SQRT(B19/$B$7)*((1-D19)*INDEX(Riepilogo!$F$5:$F$7,C19)+D19*INDEX(Riepilogo!$F$5:$F$7,C19+1))</f>
        <v>0.13423393758658797</v>
      </c>
      <c r="J19" s="24">
        <f t="shared" si="3"/>
        <v>3.1993965150595245</v>
      </c>
      <c r="K19" s="23">
        <f t="shared" si="4"/>
        <v>0.14135706361478936</v>
      </c>
      <c r="L19" s="5" t="str">
        <f>IF(OR(A19&lt;MIN(Parametri!$A$17:$A$19),A19&gt;MAX(Parametri!$A$17:$A$19),B19&lt;20,B19&gt;60),"L o h fuori campo: estrapolazione",IF(OR($B$4*$B$7/B19&lt;MAX(INDEX(Riepilogo!$H$5:$H$7,C19),INDEX(Riepilogo!$H$5:$H$7,C19+1))*0.99,$B$4*$B$7/B19&gt;MIN(INDEX(Riepilogo!$I$5:$I$7,C19),INDEX(Riepilogo!$I$5:$I$7,C19+1))*1.01),"Q fuori dal campo simulato (estrapolazione)",IF(NOT(ISNUMBER(J19)),"vₜ non raggiunta / &lt; 0,5 m",IF(H19&gt;I19,"vₜ nel plateau/transizione: L poco significativo",IF(J19&gt;Parametri!$B$7,"Oltre x max: troncato dal pavimento",IF(B19=$B$7,"OK","OK (stima per similarità)"))))))</f>
        <v>OK (stima per similarità)</v>
      </c>
      <c r="M19" s="13">
        <f>$G19*SQRT($B19/$B$7)*MAX(0.001,(1-$D19)*INDEX(Curve!$G$1:$G$100,4+($C19-1)*24+1+M$9*2)+$D19*INDEX(Curve!$G$1:$G$100,4+$C19*24+1+M$9*2))</f>
        <v>0.5346982305929121</v>
      </c>
      <c r="N19" s="13">
        <f>$G19*SQRT($B19/$B$7)*MAX(0.001,(1-$D19)*INDEX(Curve!$G$1:$G$100,4+($C19-1)*24+1+N$9*2)+$D19*INDEX(Curve!$G$1:$G$100,4+$C19*24+1+N$9*2))</f>
        <v>0.31763518109841987</v>
      </c>
      <c r="O19" s="13">
        <f>$G19*SQRT($B19/$B$7)*MAX(0.001,(1-$D19)*INDEX(Curve!$G$1:$G$100,4+($C19-1)*24+1+O$9*2)+$D19*INDEX(Curve!$G$1:$G$100,4+$C19*24+1+O$9*2))</f>
        <v>0.27994647034003944</v>
      </c>
      <c r="P19" s="13">
        <f>$G19*SQRT($B19/$B$7)*MAX(0.001,(1-$D19)*INDEX(Curve!$G$1:$G$100,4+($C19-1)*24+1+P$9*2)+$D19*INDEX(Curve!$G$1:$G$100,4+$C19*24+1+P$9*2))</f>
        <v>0.26432016992691693</v>
      </c>
      <c r="Q19" s="13">
        <f>$G19*SQRT($B19/$B$7)*MAX(0.001,(1-$D19)*INDEX(Curve!$G$1:$G$100,4+($C19-1)*24+1+Q$9*2)+$D19*INDEX(Curve!$G$1:$G$100,4+$C19*24+1+Q$9*2))</f>
        <v>0.25762912584664965</v>
      </c>
      <c r="R19" s="13">
        <f>$G19*SQRT($B19/$B$7)*MAX(0.001,(1-$D19)*INDEX(Curve!$G$1:$G$100,4+($C19-1)*24+1+R$9*2)+$D19*INDEX(Curve!$G$1:$G$100,4+$C19*24+1+R$9*2))</f>
        <v>0.25255581342280892</v>
      </c>
      <c r="S19" s="13">
        <f>$G19*SQRT($B19/$B$7)*MAX(0.001,(1-$D19)*INDEX(Curve!$G$1:$G$100,4+($C19-1)*24+1+S$9*2)+$D19*INDEX(Curve!$G$1:$G$100,4+$C19*24+1+S$9*2))</f>
        <v>0.24647651784460001</v>
      </c>
      <c r="T19" s="13">
        <f>$G19*SQRT($B19/$B$7)*MAX(0.001,(1-$D19)*INDEX(Curve!$G$1:$G$100,4+($C19-1)*24+1+T$9*2)+$D19*INDEX(Curve!$G$1:$G$100,4+$C19*24+1+T$9*2))</f>
        <v>0.23550903707467513</v>
      </c>
      <c r="U19" s="13">
        <f>$G19*SQRT($B19/$B$7)*MAX(0.001,(1-$D19)*INDEX(Curve!$G$1:$G$100,4+($C19-1)*24+1+U$9*2)+$D19*INDEX(Curve!$G$1:$G$100,4+$C19*24+1+U$9*2))</f>
        <v>0.22591760446067619</v>
      </c>
      <c r="V19" s="13">
        <f>$G19*SQRT($B19/$B$7)*MAX(0.001,(1-$D19)*INDEX(Curve!$G$1:$G$100,4+($C19-1)*24+1+V$9*2)+$D19*INDEX(Curve!$G$1:$G$100,4+$C19*24+1+V$9*2))</f>
        <v>0.21721496683040625</v>
      </c>
      <c r="W19" s="13">
        <f>$G19*SQRT($B19/$B$7)*MAX(0.001,(1-$D19)*INDEX(Curve!$G$1:$G$100,4+($C19-1)*24+1+W$9*2)+$D19*INDEX(Curve!$G$1:$G$100,4+$C19*24+1+W$9*2))</f>
        <v>0.20154936027764414</v>
      </c>
      <c r="X19" s="13">
        <f>$G19*SQRT($B19/$B$7)*MAX(0.001,(1-$D19)*INDEX(Curve!$G$1:$G$100,4+($C19-1)*24+1+X$9*2)+$D19*INDEX(Curve!$G$1:$G$100,4+$C19*24+1+X$9*2))</f>
        <v>0.18823748248428182</v>
      </c>
      <c r="Y19" s="13">
        <f>$G19*SQRT($B19/$B$7)*MAX(0.001,(1-$D19)*INDEX(Curve!$G$1:$G$100,4+($C19-1)*24+1+Y$9*2)+$D19*INDEX(Curve!$G$1:$G$100,4+$C19*24+1+Y$9*2))</f>
        <v>0.17677039572811992</v>
      </c>
      <c r="Z19" s="13">
        <f>$G19*SQRT($B19/$B$7)*MAX(0.001,(1-$D19)*INDEX(Curve!$G$1:$G$100,4+($C19-1)*24+1+Z$9*2)+$D19*INDEX(Curve!$G$1:$G$100,4+$C19*24+1+Z$9*2))</f>
        <v>0.16677795065825732</v>
      </c>
      <c r="AA19" s="13">
        <f>$G19*SQRT($B19/$B$7)*MAX(0.001,(1-$D19)*INDEX(Curve!$G$1:$G$100,4+($C19-1)*24+1+AA$9*2)+$D19*INDEX(Curve!$G$1:$G$100,4+$C19*24+1+AA$9*2))</f>
        <v>0.15764133321730295</v>
      </c>
      <c r="AB19" s="13">
        <f>$G19*SQRT($B19/$B$7)*MAX(0.001,(1-$D19)*INDEX(Curve!$G$1:$G$100,4+($C19-1)*24+1+AB$9*2)+$D19*INDEX(Curve!$G$1:$G$100,4+$C19*24+1+AB$9*2))</f>
        <v>0.14661802020234152</v>
      </c>
      <c r="AC19" s="13">
        <f>$G19*SQRT($B19/$B$7)*MAX(0.001,(1-$D19)*INDEX(Curve!$G$1:$G$100,4+($C19-1)*24+1+AC$9*2)+$D19*INDEX(Curve!$G$1:$G$100,4+$C19*24+1+AC$9*2))</f>
        <v>0.13512102104720272</v>
      </c>
      <c r="AD19" s="13">
        <f>$G19*SQRT($B19/$B$7)*MAX(0.001,(1-$D19)*INDEX(Curve!$G$1:$G$100,4+($C19-1)*24+1+AD$9*2)+$D19*INDEX(Curve!$G$1:$G$100,4+$C19*24+1+AD$9*2))</f>
        <v>0.11562567425943496</v>
      </c>
      <c r="AE19" s="13">
        <f>$G19*SQRT($B19/$B$7)*MAX(0.001,(1-$D19)*INDEX(Curve!$G$1:$G$100,4+($C19-1)*24+1+AE$9*2)+$D19*INDEX(Curve!$G$1:$G$100,4+$C19*24+1+AE$9*2))</f>
        <v>7.861132541450265E-2</v>
      </c>
      <c r="AF19" s="18">
        <f t="array" ref="AF19">SUMPRODUCT(MAX(ISNUMBER(M19:AD19)*ISNUMBER(N19:AE19)*(M19:AD19&gt;=$B$5)*(N19:AE19&lt;$B$5)*(COLUMN(M19:AD19)-COLUMN(M19)+1)))</f>
        <v>6</v>
      </c>
      <c r="AG19" s="9">
        <f t="shared" si="5"/>
        <v>3</v>
      </c>
      <c r="AH19" s="9">
        <f t="shared" si="6"/>
        <v>3.5</v>
      </c>
      <c r="AI19" s="13">
        <f t="shared" si="7"/>
        <v>0.25255581342280892</v>
      </c>
      <c r="AJ19" s="13">
        <f t="shared" si="8"/>
        <v>0.24647651784460001</v>
      </c>
      <c r="AK19" s="18">
        <f t="shared" si="9"/>
        <v>16</v>
      </c>
    </row>
    <row r="20" spans="1:37" x14ac:dyDescent="0.25">
      <c r="A20" s="12">
        <v>500</v>
      </c>
      <c r="B20" s="12">
        <v>40</v>
      </c>
      <c r="C20" s="18">
        <f>IFERROR(MIN(MATCH(A20,Parametri!$A$17:$A$19,1),2),1)</f>
        <v>1</v>
      </c>
      <c r="D20" s="13">
        <f>(A20-INDEX(Parametri!$A$17:$A$19,C20))/(INDEX(Parametri!$A$17:$A$19,C20+1)-INDEX(Parametri!$A$17:$A$19,C20))</f>
        <v>0</v>
      </c>
      <c r="E20" s="13">
        <f>(1-D20)*INDEX(Riepilogo!$C$5:$C$7,C20)+D20*INDEX(Riepilogo!$C$5:$C$7,C20+1)</f>
        <v>0.50683116301872999</v>
      </c>
      <c r="F20" s="14">
        <f t="shared" si="0"/>
        <v>1.0136623260374599E-2</v>
      </c>
      <c r="G20" s="23">
        <f t="shared" si="1"/>
        <v>4.1105075720380349</v>
      </c>
      <c r="H20" s="13">
        <f t="shared" si="2"/>
        <v>6.08197395622476E-2</v>
      </c>
      <c r="I20" s="13">
        <f>SQRT(B20/$B$7)*((1-D20)*INDEX(Riepilogo!$F$5:$F$7,C20)+D20*INDEX(Riepilogo!$F$5:$F$7,C20+1))</f>
        <v>0.125</v>
      </c>
      <c r="J20" s="24">
        <f t="shared" si="3"/>
        <v>8.2270888164855265</v>
      </c>
      <c r="K20" s="23">
        <f t="shared" si="4"/>
        <v>0.25031676025976657</v>
      </c>
      <c r="L20" s="5" t="str">
        <f>IF(OR(A20&lt;MIN(Parametri!$A$17:$A$19),A20&gt;MAX(Parametri!$A$17:$A$19),B20&lt;20,B20&gt;60),"L o h fuori campo: estrapolazione",IF(OR($B$4*$B$7/B20&lt;MAX(INDEX(Riepilogo!$H$5:$H$7,C20),INDEX(Riepilogo!$H$5:$H$7,C20+1))*0.99,$B$4*$B$7/B20&gt;MIN(INDEX(Riepilogo!$I$5:$I$7,C20),INDEX(Riepilogo!$I$5:$I$7,C20+1))*1.01),"Q fuori dal campo simulato (estrapolazione)",IF(NOT(ISNUMBER(J20)),"vₜ non raggiunta / &lt; 0,5 m",IF(H20&gt;I20,"vₜ nel plateau/transizione: L poco significativo",IF(J20&gt;Parametri!$B$7,"Oltre x max: troncato dal pavimento",IF(B20=$B$7,"OK","OK (stima per similarità)"))))))</f>
        <v>OK</v>
      </c>
      <c r="M20" s="13">
        <f>$G20*SQRT($B20/$B$7)*MAX(0.001,(1-$D20)*INDEX(Curve!$G$1:$G$100,4+($C20-1)*24+1+M$9*2)+$D20*INDEX(Curve!$G$1:$G$100,4+$C20*24+1+M$9*2))</f>
        <v>0.93615038971776077</v>
      </c>
      <c r="N20" s="13">
        <f>$G20*SQRT($B20/$B$7)*MAX(0.001,(1-$D20)*INDEX(Curve!$G$1:$G$100,4+($C20-1)*24+1+N$9*2)+$D20*INDEX(Curve!$G$1:$G$100,4+$C20*24+1+N$9*2))</f>
        <v>0.8749281960858285</v>
      </c>
      <c r="O20" s="13">
        <f>$G20*SQRT($B20/$B$7)*MAX(0.001,(1-$D20)*INDEX(Curve!$G$1:$G$100,4+($C20-1)*24+1+O$9*2)+$D20*INDEX(Curve!$G$1:$G$100,4+$C20*24+1+O$9*2))</f>
        <v>0.79109189806573765</v>
      </c>
      <c r="P20" s="13">
        <f>$G20*SQRT($B20/$B$7)*MAX(0.001,(1-$D20)*INDEX(Curve!$G$1:$G$100,4+($C20-1)*24+1+P$9*2)+$D20*INDEX(Curve!$G$1:$G$100,4+$C20*24+1+P$9*2))</f>
        <v>0.72873582303731954</v>
      </c>
      <c r="Q20" s="13">
        <f>$G20*SQRT($B20/$B$7)*MAX(0.001,(1-$D20)*INDEX(Curve!$G$1:$G$100,4+($C20-1)*24+1+Q$9*2)+$D20*INDEX(Curve!$G$1:$G$100,4+$C20*24+1+Q$9*2))</f>
        <v>0.67506287947151256</v>
      </c>
      <c r="R20" s="13">
        <f>$G20*SQRT($B20/$B$7)*MAX(0.001,(1-$D20)*INDEX(Curve!$G$1:$G$100,4+($C20-1)*24+1+R$9*2)+$D20*INDEX(Curve!$G$1:$G$100,4+$C20*24+1+R$9*2))</f>
        <v>0.61097139701967795</v>
      </c>
      <c r="S20" s="13">
        <f>$G20*SQRT($B20/$B$7)*MAX(0.001,(1-$D20)*INDEX(Curve!$G$1:$G$100,4+($C20-1)*24+1+S$9*2)+$D20*INDEX(Curve!$G$1:$G$100,4+$C20*24+1+S$9*2))</f>
        <v>0.55184298890095129</v>
      </c>
      <c r="T20" s="13">
        <f>$G20*SQRT($B20/$B$7)*MAX(0.001,(1-$D20)*INDEX(Curve!$G$1:$G$100,4+($C20-1)*24+1+T$9*2)+$D20*INDEX(Curve!$G$1:$G$100,4+$C20*24+1+T$9*2))</f>
        <v>0.50446721418469864</v>
      </c>
      <c r="U20" s="13">
        <f>$G20*SQRT($B20/$B$7)*MAX(0.001,(1-$D20)*INDEX(Curve!$G$1:$G$100,4+($C20-1)*24+1+U$9*2)+$D20*INDEX(Curve!$G$1:$G$100,4+$C20*24+1+U$9*2))</f>
        <v>0.45455764642382662</v>
      </c>
      <c r="V20" s="13">
        <f>$G20*SQRT($B20/$B$7)*MAX(0.001,(1-$D20)*INDEX(Curve!$G$1:$G$100,4+($C20-1)*24+1+V$9*2)+$D20*INDEX(Curve!$G$1:$G$100,4+$C20*24+1+V$9*2))</f>
        <v>0.41335757275821039</v>
      </c>
      <c r="W20" s="13">
        <f>$G20*SQRT($B20/$B$7)*MAX(0.001,(1-$D20)*INDEX(Curve!$G$1:$G$100,4+($C20-1)*24+1+W$9*2)+$D20*INDEX(Curve!$G$1:$G$100,4+$C20*24+1+W$9*2))</f>
        <v>0.37709204797539109</v>
      </c>
      <c r="X20" s="13">
        <f>$G20*SQRT($B20/$B$7)*MAX(0.001,(1-$D20)*INDEX(Curve!$G$1:$G$100,4+($C20-1)*24+1+X$9*2)+$D20*INDEX(Curve!$G$1:$G$100,4+$C20*24+1+X$9*2))</f>
        <v>0.34677381841222821</v>
      </c>
      <c r="Y20" s="13">
        <f>$G20*SQRT($B20/$B$7)*MAX(0.001,(1-$D20)*INDEX(Curve!$G$1:$G$100,4+($C20-1)*24+1+Y$9*2)+$D20*INDEX(Curve!$G$1:$G$100,4+$C20*24+1+Y$9*2))</f>
        <v>0.32102790305208651</v>
      </c>
      <c r="Z20" s="13">
        <f>$G20*SQRT($B20/$B$7)*MAX(0.001,(1-$D20)*INDEX(Curve!$G$1:$G$100,4+($C20-1)*24+1+Z$9*2)+$D20*INDEX(Curve!$G$1:$G$100,4+$C20*24+1+Z$9*2))</f>
        <v>0.29891972763694569</v>
      </c>
      <c r="AA20" s="13">
        <f>$G20*SQRT($B20/$B$7)*MAX(0.001,(1-$D20)*INDEX(Curve!$G$1:$G$100,4+($C20-1)*24+1+AA$9*2)+$D20*INDEX(Curve!$G$1:$G$100,4+$C20*24+1+AA$9*2))</f>
        <v>0.27971471180655122</v>
      </c>
      <c r="AB20" s="13">
        <f>$G20*SQRT($B20/$B$7)*MAX(0.001,(1-$D20)*INDEX(Curve!$G$1:$G$100,4+($C20-1)*24+1+AB$9*2)+$D20*INDEX(Curve!$G$1:$G$100,4+$C20*24+1+AB$9*2))</f>
        <v>0.26049333062604446</v>
      </c>
      <c r="AC20" s="13">
        <f>$G20*SQRT($B20/$B$7)*MAX(0.001,(1-$D20)*INDEX(Curve!$G$1:$G$100,4+($C20-1)*24+1+AC$9*2)+$D20*INDEX(Curve!$G$1:$G$100,4+$C20*24+1+AC$9*2))</f>
        <v>0.23829846887257797</v>
      </c>
      <c r="AD20" s="13">
        <f>$G20*SQRT($B20/$B$7)*MAX(0.001,(1-$D20)*INDEX(Curve!$G$1:$G$100,4+($C20-1)*24+1+AD$9*2)+$D20*INDEX(Curve!$G$1:$G$100,4+$C20*24+1+AD$9*2))</f>
        <v>0.20565889349662533</v>
      </c>
      <c r="AE20" s="13">
        <f>$G20*SQRT($B20/$B$7)*MAX(0.001,(1-$D20)*INDEX(Curve!$G$1:$G$100,4+($C20-1)*24+1+AE$9*2)+$D20*INDEX(Curve!$G$1:$G$100,4+$C20*24+1+AE$9*2))</f>
        <v>0.1361848050116615</v>
      </c>
      <c r="AF20" s="18">
        <f t="array" ref="AF20">SUMPRODUCT(MAX(ISNUMBER(M20:AD20)*ISNUMBER(N20:AE20)*(M20:AD20&gt;=$B$5)*(N20:AE20&lt;$B$5)*(COLUMN(M20:AD20)-COLUMN(M20)+1)))</f>
        <v>16</v>
      </c>
      <c r="AG20" s="9">
        <f t="shared" si="5"/>
        <v>8</v>
      </c>
      <c r="AH20" s="9">
        <f t="shared" si="6"/>
        <v>8.5</v>
      </c>
      <c r="AI20" s="13">
        <f t="shared" si="7"/>
        <v>0.26049333062604446</v>
      </c>
      <c r="AJ20" s="13">
        <f t="shared" si="8"/>
        <v>0.23829846887257797</v>
      </c>
      <c r="AK20" s="18">
        <f t="shared" si="9"/>
        <v>16</v>
      </c>
    </row>
    <row r="21" spans="1:37" x14ac:dyDescent="0.25">
      <c r="A21" s="12">
        <v>750</v>
      </c>
      <c r="B21" s="12">
        <v>40</v>
      </c>
      <c r="C21" s="18">
        <f>IFERROR(MIN(MATCH(A21,Parametri!$A$17:$A$19,1),2),1)</f>
        <v>1</v>
      </c>
      <c r="D21" s="13">
        <f>(A21-INDEX(Parametri!$A$17:$A$19,C21))/(INDEX(Parametri!$A$17:$A$19,C21+1)-INDEX(Parametri!$A$17:$A$19,C21))</f>
        <v>0.5</v>
      </c>
      <c r="E21" s="13">
        <f>(1-D21)*INDEX(Riepilogo!$C$5:$C$7,C21)+D21*INDEX(Riepilogo!$C$5:$C$7,C21+1)</f>
        <v>0.51921121561681005</v>
      </c>
      <c r="F21" s="14">
        <f t="shared" si="0"/>
        <v>1.5576336468504301E-2</v>
      </c>
      <c r="G21" s="23">
        <f t="shared" si="1"/>
        <v>2.6749978565831314</v>
      </c>
      <c r="H21" s="13">
        <f t="shared" si="2"/>
        <v>9.3458018811025806E-2</v>
      </c>
      <c r="I21" s="13">
        <f>SQRT(B21/$B$7)*((1-D21)*INDEX(Riepilogo!$F$5:$F$7,C21)+D21*INDEX(Riepilogo!$F$5:$F$7,C21+1))</f>
        <v>0.13750000000000001</v>
      </c>
      <c r="J21" s="24">
        <f t="shared" si="3"/>
        <v>6.7061637174502433</v>
      </c>
      <c r="K21" s="23">
        <f t="shared" si="4"/>
        <v>0.19933174855381533</v>
      </c>
      <c r="L21" s="5" t="str">
        <f>IF(OR(A21&lt;MIN(Parametri!$A$17:$A$19),A21&gt;MAX(Parametri!$A$17:$A$19),B21&lt;20,B21&gt;60),"L o h fuori campo: estrapolazione",IF(OR($B$4*$B$7/B21&lt;MAX(INDEX(Riepilogo!$H$5:$H$7,C21),INDEX(Riepilogo!$H$5:$H$7,C21+1))*0.99,$B$4*$B$7/B21&gt;MIN(INDEX(Riepilogo!$I$5:$I$7,C21),INDEX(Riepilogo!$I$5:$I$7,C21+1))*1.01),"Q fuori dal campo simulato (estrapolazione)",IF(NOT(ISNUMBER(J21)),"vₜ non raggiunta / &lt; 0,5 m",IF(H21&gt;I21,"vₜ nel plateau/transizione: L poco significativo",IF(J21&gt;Parametri!$B$7,"Oltre x max: troncato dal pavimento",IF(B21=$B$7,"OK","OK (stima per similarità)"))))))</f>
        <v>OK</v>
      </c>
      <c r="M21" s="13">
        <f>$G21*SQRT($B21/$B$7)*MAX(0.001,(1-$D21)*INDEX(Curve!$G$1:$G$100,4+($C21-1)*24+1+M$9*2)+$D21*INDEX(Curve!$G$1:$G$100,4+$C21*24+1+M$9*2))</f>
        <v>0.59833342702649095</v>
      </c>
      <c r="N21" s="13">
        <f>$G21*SQRT($B21/$B$7)*MAX(0.001,(1-$D21)*INDEX(Curve!$G$1:$G$100,4+($C21-1)*24+1+N$9*2)+$D21*INDEX(Curve!$G$1:$G$100,4+$C21*24+1+N$9*2))</f>
        <v>0.57325092032832992</v>
      </c>
      <c r="O21" s="13">
        <f>$G21*SQRT($B21/$B$7)*MAX(0.001,(1-$D21)*INDEX(Curve!$G$1:$G$100,4+($C21-1)*24+1+O$9*2)+$D21*INDEX(Curve!$G$1:$G$100,4+$C21*24+1+O$9*2))</f>
        <v>0.54670221025527466</v>
      </c>
      <c r="P21" s="13">
        <f>$G21*SQRT($B21/$B$7)*MAX(0.001,(1-$D21)*INDEX(Curve!$G$1:$G$100,4+($C21-1)*24+1+P$9*2)+$D21*INDEX(Curve!$G$1:$G$100,4+$C21*24+1+P$9*2))</f>
        <v>0.52227147056583212</v>
      </c>
      <c r="Q21" s="13">
        <f>$G21*SQRT($B21/$B$7)*MAX(0.001,(1-$D21)*INDEX(Curve!$G$1:$G$100,4+($C21-1)*24+1+Q$9*2)+$D21*INDEX(Curve!$G$1:$G$100,4+$C21*24+1+Q$9*2))</f>
        <v>0.49563781969747917</v>
      </c>
      <c r="R21" s="13">
        <f>$G21*SQRT($B21/$B$7)*MAX(0.001,(1-$D21)*INDEX(Curve!$G$1:$G$100,4+($C21-1)*24+1+R$9*2)+$D21*INDEX(Curve!$G$1:$G$100,4+$C21*24+1+R$9*2))</f>
        <v>0.46239120625994717</v>
      </c>
      <c r="S21" s="13">
        <f>$G21*SQRT($B21/$B$7)*MAX(0.001,(1-$D21)*INDEX(Curve!$G$1:$G$100,4+($C21-1)*24+1+S$9*2)+$D21*INDEX(Curve!$G$1:$G$100,4+$C21*24+1+S$9*2))</f>
        <v>0.42505922819337871</v>
      </c>
      <c r="T21" s="13">
        <f>$G21*SQRT($B21/$B$7)*MAX(0.001,(1-$D21)*INDEX(Curve!$G$1:$G$100,4+($C21-1)*24+1+T$9*2)+$D21*INDEX(Curve!$G$1:$G$100,4+$C21*24+1+T$9*2))</f>
        <v>0.39227695682766572</v>
      </c>
      <c r="U21" s="13">
        <f>$G21*SQRT($B21/$B$7)*MAX(0.001,(1-$D21)*INDEX(Curve!$G$1:$G$100,4+($C21-1)*24+1+U$9*2)+$D21*INDEX(Curve!$G$1:$G$100,4+$C21*24+1+U$9*2))</f>
        <v>0.36080478344376204</v>
      </c>
      <c r="V21" s="13">
        <f>$G21*SQRT($B21/$B$7)*MAX(0.001,(1-$D21)*INDEX(Curve!$G$1:$G$100,4+($C21-1)*24+1+V$9*2)+$D21*INDEX(Curve!$G$1:$G$100,4+$C21*24+1+V$9*2))</f>
        <v>0.33125828238506183</v>
      </c>
      <c r="W21" s="13">
        <f>$G21*SQRT($B21/$B$7)*MAX(0.001,(1-$D21)*INDEX(Curve!$G$1:$G$100,4+($C21-1)*24+1+W$9*2)+$D21*INDEX(Curve!$G$1:$G$100,4+$C21*24+1+W$9*2))</f>
        <v>0.30260122005061391</v>
      </c>
      <c r="X21" s="13">
        <f>$G21*SQRT($B21/$B$7)*MAX(0.001,(1-$D21)*INDEX(Curve!$G$1:$G$100,4+($C21-1)*24+1+X$9*2)+$D21*INDEX(Curve!$G$1:$G$100,4+$C21*24+1+X$9*2))</f>
        <v>0.27861186392311371</v>
      </c>
      <c r="Y21" s="13">
        <f>$G21*SQRT($B21/$B$7)*MAX(0.001,(1-$D21)*INDEX(Curve!$G$1:$G$100,4+($C21-1)*24+1+Y$9*2)+$D21*INDEX(Curve!$G$1:$G$100,4+$C21*24+1+Y$9*2))</f>
        <v>0.25782444712502611</v>
      </c>
      <c r="Z21" s="13">
        <f>$G21*SQRT($B21/$B$7)*MAX(0.001,(1-$D21)*INDEX(Curve!$G$1:$G$100,4+($C21-1)*24+1+Z$9*2)+$D21*INDEX(Curve!$G$1:$G$100,4+$C21*24+1+Z$9*2))</f>
        <v>0.23963972095347635</v>
      </c>
      <c r="AA21" s="13">
        <f>$G21*SQRT($B21/$B$7)*MAX(0.001,(1-$D21)*INDEX(Curve!$G$1:$G$100,4+($C21-1)*24+1+AA$9*2)+$D21*INDEX(Curve!$G$1:$G$100,4+$C21*24+1+AA$9*2))</f>
        <v>0.2238032943455624</v>
      </c>
      <c r="AB21" s="13">
        <f>$G21*SQRT($B21/$B$7)*MAX(0.001,(1-$D21)*INDEX(Curve!$G$1:$G$100,4+($C21-1)*24+1+AB$9*2)+$D21*INDEX(Curve!$G$1:$G$100,4+$C21*24+1+AB$9*2))</f>
        <v>0.20699734543856779</v>
      </c>
      <c r="AC21" s="13">
        <f>$G21*SQRT($B21/$B$7)*MAX(0.001,(1-$D21)*INDEX(Curve!$G$1:$G$100,4+($C21-1)*24+1+AC$9*2)+$D21*INDEX(Curve!$G$1:$G$100,4+$C21*24+1+AC$9*2))</f>
        <v>0.19025747506663818</v>
      </c>
      <c r="AD21" s="13">
        <f>$G21*SQRT($B21/$B$7)*MAX(0.001,(1-$D21)*INDEX(Curve!$G$1:$G$100,4+($C21-1)*24+1+AD$9*2)+$D21*INDEX(Curve!$G$1:$G$100,4+$C21*24+1+AD$9*2))</f>
        <v>0.16333842180346708</v>
      </c>
      <c r="AE21" s="13">
        <f>$G21*SQRT($B21/$B$7)*MAX(0.001,(1-$D21)*INDEX(Curve!$G$1:$G$100,4+($C21-1)*24+1+AE$9*2)+$D21*INDEX(Curve!$G$1:$G$100,4+$C21*24+1+AE$9*2))</f>
        <v>0.10515678178546096</v>
      </c>
      <c r="AF21" s="18">
        <f t="array" ref="AF21">SUMPRODUCT(MAX(ISNUMBER(M21:AD21)*ISNUMBER(N21:AE21)*(M21:AD21&gt;=$B$5)*(N21:AE21&lt;$B$5)*(COLUMN(M21:AD21)-COLUMN(M21)+1)))</f>
        <v>13</v>
      </c>
      <c r="AG21" s="9">
        <f t="shared" si="5"/>
        <v>6.5</v>
      </c>
      <c r="AH21" s="9">
        <f t="shared" si="6"/>
        <v>7</v>
      </c>
      <c r="AI21" s="13">
        <f t="shared" si="7"/>
        <v>0.25782444712502611</v>
      </c>
      <c r="AJ21" s="13">
        <f t="shared" si="8"/>
        <v>0.23963972095347635</v>
      </c>
      <c r="AK21" s="18">
        <f t="shared" si="9"/>
        <v>16</v>
      </c>
    </row>
    <row r="22" spans="1:37" x14ac:dyDescent="0.25">
      <c r="A22" s="12">
        <v>1000</v>
      </c>
      <c r="B22" s="12">
        <v>40</v>
      </c>
      <c r="C22" s="18">
        <f>IFERROR(MIN(MATCH(A22,Parametri!$A$17:$A$19,1),2),1)</f>
        <v>2</v>
      </c>
      <c r="D22" s="13">
        <f>(A22-INDEX(Parametri!$A$17:$A$19,C22))/(INDEX(Parametri!$A$17:$A$19,C22+1)-INDEX(Parametri!$A$17:$A$19,C22))</f>
        <v>0</v>
      </c>
      <c r="E22" s="13">
        <f>(1-D22)*INDEX(Riepilogo!$C$5:$C$7,C22)+D22*INDEX(Riepilogo!$C$5:$C$7,C22+1)</f>
        <v>0.53159126821489022</v>
      </c>
      <c r="F22" s="14">
        <f t="shared" si="0"/>
        <v>2.1263650728595609E-2</v>
      </c>
      <c r="G22" s="23">
        <f t="shared" si="1"/>
        <v>1.9595255395458897</v>
      </c>
      <c r="H22" s="13">
        <f t="shared" si="2"/>
        <v>0.12758190437157366</v>
      </c>
      <c r="I22" s="13">
        <f>SQRT(B22/$B$7)*((1-D22)*INDEX(Riepilogo!$F$5:$F$7,C22)+D22*INDEX(Riepilogo!$F$5:$F$7,C22+1))</f>
        <v>0.15</v>
      </c>
      <c r="J22" s="24">
        <f t="shared" si="3"/>
        <v>5.8181706266531217</v>
      </c>
      <c r="K22" s="23">
        <f t="shared" si="4"/>
        <v>0.17270497343337859</v>
      </c>
      <c r="L22" s="5" t="str">
        <f>IF(OR(A22&lt;MIN(Parametri!$A$17:$A$19),A22&gt;MAX(Parametri!$A$17:$A$19),B22&lt;20,B22&gt;60),"L o h fuori campo: estrapolazione",IF(OR($B$4*$B$7/B22&lt;MAX(INDEX(Riepilogo!$H$5:$H$7,C22),INDEX(Riepilogo!$H$5:$H$7,C22+1))*0.99,$B$4*$B$7/B22&gt;MIN(INDEX(Riepilogo!$I$5:$I$7,C22),INDEX(Riepilogo!$I$5:$I$7,C22+1))*1.01),"Q fuori dal campo simulato (estrapolazione)",IF(NOT(ISNUMBER(J22)),"vₜ non raggiunta / &lt; 0,5 m",IF(H22&gt;I22,"vₜ nel plateau/transizione: L poco significativo",IF(J22&gt;Parametri!$B$7,"Oltre x max: troncato dal pavimento",IF(B22=$B$7,"OK","OK (stima per similarità)"))))))</f>
        <v>OK</v>
      </c>
      <c r="M22" s="13">
        <f>$G22*SQRT($B22/$B$7)*MAX(0.001,(1-$D22)*INDEX(Curve!$G$1:$G$100,4+($C22-1)*24+1+M$9*2)+$D22*INDEX(Curve!$G$1:$G$100,4+$C22*24+1+M$9*2))</f>
        <v>0.43032505850505565</v>
      </c>
      <c r="N22" s="13">
        <f>$G22*SQRT($B22/$B$7)*MAX(0.001,(1-$D22)*INDEX(Curve!$G$1:$G$100,4+($C22-1)*24+1+N$9*2)+$D22*INDEX(Curve!$G$1:$G$100,4+$C22*24+1+N$9*2))</f>
        <v>0.42276281918688952</v>
      </c>
      <c r="O22" s="13">
        <f>$G22*SQRT($B22/$B$7)*MAX(0.001,(1-$D22)*INDEX(Curve!$G$1:$G$100,4+($C22-1)*24+1+O$9*2)+$D22*INDEX(Curve!$G$1:$G$100,4+$C22*24+1+O$9*2))</f>
        <v>0.42383289351510434</v>
      </c>
      <c r="P22" s="13">
        <f>$G22*SQRT($B22/$B$7)*MAX(0.001,(1-$D22)*INDEX(Curve!$G$1:$G$100,4+($C22-1)*24+1+P$9*2)+$D22*INDEX(Curve!$G$1:$G$100,4+$C22*24+1+P$9*2))</f>
        <v>0.41776607064248306</v>
      </c>
      <c r="Q22" s="13">
        <f>$G22*SQRT($B22/$B$7)*MAX(0.001,(1-$D22)*INDEX(Curve!$G$1:$G$100,4+($C22-1)*24+1+Q$9*2)+$D22*INDEX(Curve!$G$1:$G$100,4+$C22*24+1+Q$9*2))</f>
        <v>0.40433248813756534</v>
      </c>
      <c r="R22" s="13">
        <f>$G22*SQRT($B22/$B$7)*MAX(0.001,(1-$D22)*INDEX(Curve!$G$1:$G$100,4+($C22-1)*24+1+R$9*2)+$D22*INDEX(Curve!$G$1:$G$100,4+$C22*24+1+R$9*2))</f>
        <v>0.38617710796334781</v>
      </c>
      <c r="S22" s="13">
        <f>$G22*SQRT($B22/$B$7)*MAX(0.001,(1-$D22)*INDEX(Curve!$G$1:$G$100,4+($C22-1)*24+1+S$9*2)+$D22*INDEX(Curve!$G$1:$G$100,4+$C22*24+1+S$9*2))</f>
        <v>0.35967044112103524</v>
      </c>
      <c r="T22" s="13">
        <f>$G22*SQRT($B22/$B$7)*MAX(0.001,(1-$D22)*INDEX(Curve!$G$1:$G$100,4+($C22-1)*24+1+T$9*2)+$D22*INDEX(Curve!$G$1:$G$100,4+$C22*24+1+T$9*2))</f>
        <v>0.33422678589330396</v>
      </c>
      <c r="U22" s="13">
        <f>$G22*SQRT($B22/$B$7)*MAX(0.001,(1-$D22)*INDEX(Curve!$G$1:$G$100,4+($C22-1)*24+1+U$9*2)+$D22*INDEX(Curve!$G$1:$G$100,4+$C22*24+1+U$9*2))</f>
        <v>0.31191039983983421</v>
      </c>
      <c r="V22" s="13">
        <f>$G22*SQRT($B22/$B$7)*MAX(0.001,(1-$D22)*INDEX(Curve!$G$1:$G$100,4+($C22-1)*24+1+V$9*2)+$D22*INDEX(Curve!$G$1:$G$100,4+$C22*24+1+V$9*2))</f>
        <v>0.2882633382282348</v>
      </c>
      <c r="W22" s="13">
        <f>$G22*SQRT($B22/$B$7)*MAX(0.001,(1-$D22)*INDEX(Curve!$G$1:$G$100,4+($C22-1)*24+1+W$9*2)+$D22*INDEX(Curve!$G$1:$G$100,4+$C22*24+1+W$9*2))</f>
        <v>0.26356700856782039</v>
      </c>
      <c r="X22" s="13">
        <f>$G22*SQRT($B22/$B$7)*MAX(0.001,(1-$D22)*INDEX(Curve!$G$1:$G$100,4+($C22-1)*24+1+X$9*2)+$D22*INDEX(Curve!$G$1:$G$100,4+$C22*24+1+X$9*2))</f>
        <v>0.24287403820152415</v>
      </c>
      <c r="Y22" s="13">
        <f>$G22*SQRT($B22/$B$7)*MAX(0.001,(1-$D22)*INDEX(Curve!$G$1:$G$100,4+($C22-1)*24+1+Y$9*2)+$D22*INDEX(Curve!$G$1:$G$100,4+$C22*24+1+Y$9*2))</f>
        <v>0.22469244948228601</v>
      </c>
      <c r="Z22" s="13">
        <f>$G22*SQRT($B22/$B$7)*MAX(0.001,(1-$D22)*INDEX(Curve!$G$1:$G$100,4+($C22-1)*24+1+Z$9*2)+$D22*INDEX(Curve!$G$1:$G$100,4+$C22*24+1+Z$9*2))</f>
        <v>0.20858982505132101</v>
      </c>
      <c r="AA22" s="13">
        <f>$G22*SQRT($B22/$B$7)*MAX(0.001,(1-$D22)*INDEX(Curve!$G$1:$G$100,4+($C22-1)*24+1+AA$9*2)+$D22*INDEX(Curve!$G$1:$G$100,4+$C22*24+1+AA$9*2))</f>
        <v>0.19454364773975583</v>
      </c>
      <c r="AB22" s="13">
        <f>$G22*SQRT($B22/$B$7)*MAX(0.001,(1-$D22)*INDEX(Curve!$G$1:$G$100,4+($C22-1)*24+1+AB$9*2)+$D22*INDEX(Curve!$G$1:$G$100,4+$C22*24+1+AB$9*2))</f>
        <v>0.17908485685194397</v>
      </c>
      <c r="AC22" s="13">
        <f>$G22*SQRT($B22/$B$7)*MAX(0.001,(1-$D22)*INDEX(Curve!$G$1:$G$100,4+($C22-1)*24+1+AC$9*2)+$D22*INDEX(Curve!$G$1:$G$100,4+$C22*24+1+AC$9*2))</f>
        <v>0.16514036732950715</v>
      </c>
      <c r="AD22" s="13">
        <f>$G22*SQRT($B22/$B$7)*MAX(0.001,(1-$D22)*INDEX(Curve!$G$1:$G$100,4+($C22-1)*24+1+AD$9*2)+$D22*INDEX(Curve!$G$1:$G$100,4+$C22*24+1+AD$9*2))</f>
        <v>0.14126180623021151</v>
      </c>
      <c r="AE22" s="13">
        <f>$G22*SQRT($B22/$B$7)*MAX(0.001,(1-$D22)*INDEX(Curve!$G$1:$G$100,4+($C22-1)*24+1+AE$9*2)+$D22*INDEX(Curve!$G$1:$G$100,4+$C22*24+1+AE$9*2))</f>
        <v>8.9140890812837881E-2</v>
      </c>
      <c r="AF22" s="18">
        <f t="array" ref="AF22">SUMPRODUCT(MAX(ISNUMBER(M22:AD22)*ISNUMBER(N22:AE22)*(M22:AD22&gt;=$B$5)*(N22:AE22&lt;$B$5)*(COLUMN(M22:AD22)-COLUMN(M22)+1)))</f>
        <v>11</v>
      </c>
      <c r="AG22" s="9">
        <f t="shared" si="5"/>
        <v>5.5</v>
      </c>
      <c r="AH22" s="9">
        <f t="shared" si="6"/>
        <v>6</v>
      </c>
      <c r="AI22" s="13">
        <f t="shared" si="7"/>
        <v>0.26356700856782039</v>
      </c>
      <c r="AJ22" s="13">
        <f t="shared" si="8"/>
        <v>0.24287403820152415</v>
      </c>
      <c r="AK22" s="18">
        <f t="shared" si="9"/>
        <v>16</v>
      </c>
    </row>
    <row r="23" spans="1:37" x14ac:dyDescent="0.25">
      <c r="A23" s="12">
        <v>1250</v>
      </c>
      <c r="B23" s="12">
        <v>40</v>
      </c>
      <c r="C23" s="18">
        <f>IFERROR(MIN(MATCH(A23,Parametri!$A$17:$A$19,1),2),1)</f>
        <v>2</v>
      </c>
      <c r="D23" s="13">
        <f>(A23-INDEX(Parametri!$A$17:$A$19,C23))/(INDEX(Parametri!$A$17:$A$19,C23+1)-INDEX(Parametri!$A$17:$A$19,C23))</f>
        <v>0.5</v>
      </c>
      <c r="E23" s="13">
        <f>(1-D23)*INDEX(Riepilogo!$C$5:$C$7,C23)+D23*INDEX(Riepilogo!$C$5:$C$7,C23+1)</f>
        <v>0.50761238746144932</v>
      </c>
      <c r="F23" s="14">
        <f t="shared" si="0"/>
        <v>2.5380619373072469E-2</v>
      </c>
      <c r="G23" s="23">
        <f t="shared" si="1"/>
        <v>1.6416725712719547</v>
      </c>
      <c r="H23" s="13">
        <f t="shared" si="2"/>
        <v>0.15228371623843481</v>
      </c>
      <c r="I23" s="13">
        <f>SQRT(B23/$B$7)*((1-D23)*INDEX(Riepilogo!$F$5:$F$7,C23)+D23*INDEX(Riepilogo!$F$5:$F$7,C23+1))</f>
        <v>0.1525</v>
      </c>
      <c r="J23" s="24">
        <f t="shared" si="3"/>
        <v>4.2232599931440111</v>
      </c>
      <c r="K23" s="23">
        <f t="shared" si="4"/>
        <v>0.14232687654331419</v>
      </c>
      <c r="L23" s="5" t="str">
        <f>IF(OR(A23&lt;MIN(Parametri!$A$17:$A$19),A23&gt;MAX(Parametri!$A$17:$A$19),B23&lt;20,B23&gt;60),"L o h fuori campo: estrapolazione",IF(OR($B$4*$B$7/B23&lt;MAX(INDEX(Riepilogo!$H$5:$H$7,C23),INDEX(Riepilogo!$H$5:$H$7,C23+1))*0.99,$B$4*$B$7/B23&gt;MIN(INDEX(Riepilogo!$I$5:$I$7,C23),INDEX(Riepilogo!$I$5:$I$7,C23+1))*1.01),"Q fuori dal campo simulato (estrapolazione)",IF(NOT(ISNUMBER(J23)),"vₜ non raggiunta / &lt; 0,5 m",IF(H23&gt;I23,"vₜ nel plateau/transizione: L poco significativo",IF(J23&gt;Parametri!$B$7,"Oltre x max: troncato dal pavimento",IF(B23=$B$7,"OK","OK (stima per similarità)"))))))</f>
        <v>OK</v>
      </c>
      <c r="M23" s="13">
        <f>$G23*SQRT($B23/$B$7)*MAX(0.001,(1-$D23)*INDEX(Curve!$G$1:$G$100,4+($C23-1)*24+1+M$9*2)+$D23*INDEX(Curve!$G$1:$G$100,4+$C23*24+1+M$9*2))</f>
        <v>0.44497391158630561</v>
      </c>
      <c r="N23" s="13">
        <f>$G23*SQRT($B23/$B$7)*MAX(0.001,(1-$D23)*INDEX(Curve!$G$1:$G$100,4+($C23-1)*24+1+N$9*2)+$D23*INDEX(Curve!$G$1:$G$100,4+$C23*24+1+N$9*2))</f>
        <v>0.33434485829049404</v>
      </c>
      <c r="O23" s="13">
        <f>$G23*SQRT($B23/$B$7)*MAX(0.001,(1-$D23)*INDEX(Curve!$G$1:$G$100,4+($C23-1)*24+1+O$9*2)+$D23*INDEX(Curve!$G$1:$G$100,4+$C23*24+1+O$9*2))</f>
        <v>0.31613458147143836</v>
      </c>
      <c r="P23" s="13">
        <f>$G23*SQRT($B23/$B$7)*MAX(0.001,(1-$D23)*INDEX(Curve!$G$1:$G$100,4+($C23-1)*24+1+P$9*2)+$D23*INDEX(Curve!$G$1:$G$100,4+$C23*24+1+P$9*2))</f>
        <v>0.30585711451444919</v>
      </c>
      <c r="Q23" s="13">
        <f>$G23*SQRT($B23/$B$7)*MAX(0.001,(1-$D23)*INDEX(Curve!$G$1:$G$100,4+($C23-1)*24+1+Q$9*2)+$D23*INDEX(Curve!$G$1:$G$100,4+$C23*24+1+Q$9*2))</f>
        <v>0.29691731731190107</v>
      </c>
      <c r="R23" s="13">
        <f>$G23*SQRT($B23/$B$7)*MAX(0.001,(1-$D23)*INDEX(Curve!$G$1:$G$100,4+($C23-1)*24+1+R$9*2)+$D23*INDEX(Curve!$G$1:$G$100,4+$C23*24+1+R$9*2))</f>
        <v>0.28680047004528592</v>
      </c>
      <c r="S23" s="13">
        <f>$G23*SQRT($B23/$B$7)*MAX(0.001,(1-$D23)*INDEX(Curve!$G$1:$G$100,4+($C23-1)*24+1+S$9*2)+$D23*INDEX(Curve!$G$1:$G$100,4+$C23*24+1+S$9*2))</f>
        <v>0.27268727555192623</v>
      </c>
      <c r="T23" s="13">
        <f>$G23*SQRT($B23/$B$7)*MAX(0.001,(1-$D23)*INDEX(Curve!$G$1:$G$100,4+($C23-1)*24+1+T$9*2)+$D23*INDEX(Curve!$G$1:$G$100,4+$C23*24+1+T$9*2))</f>
        <v>0.25659938102830221</v>
      </c>
      <c r="U23" s="13">
        <f>$G23*SQRT($B23/$B$7)*MAX(0.001,(1-$D23)*INDEX(Curve!$G$1:$G$100,4+($C23-1)*24+1+U$9*2)+$D23*INDEX(Curve!$G$1:$G$100,4+$C23*24+1+U$9*2))</f>
        <v>0.24250272454285413</v>
      </c>
      <c r="V23" s="13">
        <f>$G23*SQRT($B23/$B$7)*MAX(0.001,(1-$D23)*INDEX(Curve!$G$1:$G$100,4+($C23-1)*24+1+V$9*2)+$D23*INDEX(Curve!$G$1:$G$100,4+$C23*24+1+V$9*2))</f>
        <v>0.22828866931983696</v>
      </c>
      <c r="W23" s="13">
        <f>$G23*SQRT($B23/$B$7)*MAX(0.001,(1-$D23)*INDEX(Curve!$G$1:$G$100,4+($C23-1)*24+1+W$9*2)+$D23*INDEX(Curve!$G$1:$G$100,4+$C23*24+1+W$9*2))</f>
        <v>0.21018792791535224</v>
      </c>
      <c r="X23" s="13">
        <f>$G23*SQRT($B23/$B$7)*MAX(0.001,(1-$D23)*INDEX(Curve!$G$1:$G$100,4+($C23-1)*24+1+X$9*2)+$D23*INDEX(Curve!$G$1:$G$100,4+$C23*24+1+X$9*2))</f>
        <v>0.19492943440745061</v>
      </c>
      <c r="Y23" s="13">
        <f>$G23*SQRT($B23/$B$7)*MAX(0.001,(1-$D23)*INDEX(Curve!$G$1:$G$100,4+($C23-1)*24+1+Y$9*2)+$D23*INDEX(Curve!$G$1:$G$100,4+$C23*24+1+Y$9*2))</f>
        <v>0.18163624670970804</v>
      </c>
      <c r="Z23" s="13">
        <f>$G23*SQRT($B23/$B$7)*MAX(0.001,(1-$D23)*INDEX(Curve!$G$1:$G$100,4+($C23-1)*24+1+Z$9*2)+$D23*INDEX(Curve!$G$1:$G$100,4+$C23*24+1+Z$9*2))</f>
        <v>0.16994397756471735</v>
      </c>
      <c r="AA23" s="13">
        <f>$G23*SQRT($B23/$B$7)*MAX(0.001,(1-$D23)*INDEX(Curve!$G$1:$G$100,4+($C23-1)*24+1+AA$9*2)+$D23*INDEX(Curve!$G$1:$G$100,4+$C23*24+1+AA$9*2))</f>
        <v>0.15953683875167846</v>
      </c>
      <c r="AB23" s="13">
        <f>$G23*SQRT($B23/$B$7)*MAX(0.001,(1-$D23)*INDEX(Curve!$G$1:$G$100,4+($C23-1)*24+1+AB$9*2)+$D23*INDEX(Curve!$G$1:$G$100,4+$C23*24+1+AB$9*2))</f>
        <v>0.1476039173951921</v>
      </c>
      <c r="AC23" s="13">
        <f>$G23*SQRT($B23/$B$7)*MAX(0.001,(1-$D23)*INDEX(Curve!$G$1:$G$100,4+($C23-1)*24+1+AC$9*2)+$D23*INDEX(Curve!$G$1:$G$100,4+$C23*24+1+AC$9*2))</f>
        <v>0.13607082245814267</v>
      </c>
      <c r="AD23" s="13">
        <f>$G23*SQRT($B23/$B$7)*MAX(0.001,(1-$D23)*INDEX(Curve!$G$1:$G$100,4+($C23-1)*24+1+AD$9*2)+$D23*INDEX(Curve!$G$1:$G$100,4+$C23*24+1+AD$9*2))</f>
        <v>0.11641665350146205</v>
      </c>
      <c r="AE23" s="13">
        <f>$G23*SQRT($B23/$B$7)*MAX(0.001,(1-$D23)*INDEX(Curve!$G$1:$G$100,4+($C23-1)*24+1+AE$9*2)+$D23*INDEX(Curve!$G$1:$G$100,4+$C23*24+1+AE$9*2))</f>
        <v>7.6258770297353173E-2</v>
      </c>
      <c r="AF23" s="18">
        <f t="array" ref="AF23">SUMPRODUCT(MAX(ISNUMBER(M23:AD23)*ISNUMBER(N23:AE23)*(M23:AD23&gt;=$B$5)*(N23:AE23&lt;$B$5)*(COLUMN(M23:AD23)-COLUMN(M23)+1)))</f>
        <v>8</v>
      </c>
      <c r="AG23" s="9">
        <f t="shared" si="5"/>
        <v>4</v>
      </c>
      <c r="AH23" s="9">
        <f t="shared" si="6"/>
        <v>4.5</v>
      </c>
      <c r="AI23" s="13">
        <f t="shared" si="7"/>
        <v>0.25659938102830221</v>
      </c>
      <c r="AJ23" s="13">
        <f t="shared" si="8"/>
        <v>0.24250272454285413</v>
      </c>
      <c r="AK23" s="18">
        <f t="shared" si="9"/>
        <v>16</v>
      </c>
    </row>
    <row r="24" spans="1:37" x14ac:dyDescent="0.25">
      <c r="A24" s="12">
        <v>1500</v>
      </c>
      <c r="B24" s="12">
        <v>40</v>
      </c>
      <c r="C24" s="18">
        <f>IFERROR(MIN(MATCH(A24,Parametri!$A$17:$A$19,1),2),1)</f>
        <v>2</v>
      </c>
      <c r="D24" s="13">
        <f>(A24-INDEX(Parametri!$A$17:$A$19,C24))/(INDEX(Parametri!$A$17:$A$19,C24+1)-INDEX(Parametri!$A$17:$A$19,C24))</f>
        <v>1</v>
      </c>
      <c r="E24" s="13">
        <f>(1-D24)*INDEX(Riepilogo!$C$5:$C$7,C24)+D24*INDEX(Riepilogo!$C$5:$C$7,C24+1)</f>
        <v>0.48363350670800842</v>
      </c>
      <c r="F24" s="14">
        <f t="shared" si="0"/>
        <v>2.9018010402480504E-2</v>
      </c>
      <c r="G24" s="23">
        <f t="shared" si="1"/>
        <v>1.435889852155575</v>
      </c>
      <c r="H24" s="13">
        <f t="shared" si="2"/>
        <v>0.17410806241488302</v>
      </c>
      <c r="I24" s="13">
        <f>SQRT(B24/$B$7)*((1-D24)*INDEX(Riepilogo!$F$5:$F$7,C24)+D24*INDEX(Riepilogo!$F$5:$F$7,C24+1))</f>
        <v>0.155</v>
      </c>
      <c r="J24" s="24">
        <f t="shared" si="3"/>
        <v>1.3592056624966347</v>
      </c>
      <c r="K24" s="23">
        <f t="shared" si="4"/>
        <v>0.12241880809478058</v>
      </c>
      <c r="L24" s="5" t="str">
        <f>IF(OR(A24&lt;MIN(Parametri!$A$17:$A$19),A24&gt;MAX(Parametri!$A$17:$A$19),B24&lt;20,B24&gt;60),"L o h fuori campo: estrapolazione",IF(OR($B$4*$B$7/B24&lt;MAX(INDEX(Riepilogo!$H$5:$H$7,C24),INDEX(Riepilogo!$H$5:$H$7,C24+1))*0.99,$B$4*$B$7/B24&gt;MIN(INDEX(Riepilogo!$I$5:$I$7,C24),INDEX(Riepilogo!$I$5:$I$7,C24+1))*1.01),"Q fuori dal campo simulato (estrapolazione)",IF(NOT(ISNUMBER(J24)),"vₜ non raggiunta / &lt; 0,5 m",IF(H24&gt;I24,"vₜ nel plateau/transizione: L poco significativo",IF(J24&gt;Parametri!$B$7,"Oltre x max: troncato dal pavimento",IF(B24=$B$7,"OK","OK (stima per similarità)"))))))</f>
        <v>vₜ nel plateau/transizione: L poco significativo</v>
      </c>
      <c r="M24" s="13">
        <f>$G24*SQRT($B24/$B$7)*MAX(0.001,(1-$D24)*INDEX(Curve!$G$1:$G$100,4+($C24-1)*24+1+M$9*2)+$D24*INDEX(Curve!$G$1:$G$100,4+$C24*24+1+M$9*2))</f>
        <v>0.46306225105205168</v>
      </c>
      <c r="N24" s="13">
        <f>$G24*SQRT($B24/$B$7)*MAX(0.001,(1-$D24)*INDEX(Curve!$G$1:$G$100,4+($C24-1)*24+1+N$9*2)+$D24*INDEX(Curve!$G$1:$G$100,4+$C24*24+1+N$9*2))</f>
        <v>0.27508013596690239</v>
      </c>
      <c r="O24" s="13">
        <f>$G24*SQRT($B24/$B$7)*MAX(0.001,(1-$D24)*INDEX(Curve!$G$1:$G$100,4+($C24-1)*24+1+O$9*2)+$D24*INDEX(Curve!$G$1:$G$100,4+$C24*24+1+O$9*2))</f>
        <v>0.24244075501426107</v>
      </c>
      <c r="P24" s="13">
        <f>$G24*SQRT($B24/$B$7)*MAX(0.001,(1-$D24)*INDEX(Curve!$G$1:$G$100,4+($C24-1)*24+1+P$9*2)+$D24*INDEX(Curve!$G$1:$G$100,4+$C24*24+1+P$9*2))</f>
        <v>0.22890798188932973</v>
      </c>
      <c r="Q24" s="13">
        <f>$G24*SQRT($B24/$B$7)*MAX(0.001,(1-$D24)*INDEX(Curve!$G$1:$G$100,4+($C24-1)*24+1+Q$9*2)+$D24*INDEX(Curve!$G$1:$G$100,4+$C24*24+1+Q$9*2))</f>
        <v>0.22311336773797677</v>
      </c>
      <c r="R24" s="13">
        <f>$G24*SQRT($B24/$B$7)*MAX(0.001,(1-$D24)*INDEX(Curve!$G$1:$G$100,4+($C24-1)*24+1+R$9*2)+$D24*INDEX(Curve!$G$1:$G$100,4+$C24*24+1+R$9*2))</f>
        <v>0.21871975029759549</v>
      </c>
      <c r="S24" s="13">
        <f>$G24*SQRT($B24/$B$7)*MAX(0.001,(1-$D24)*INDEX(Curve!$G$1:$G$100,4+($C24-1)*24+1+S$9*2)+$D24*INDEX(Curve!$G$1:$G$100,4+$C24*24+1+S$9*2))</f>
        <v>0.21345492588975218</v>
      </c>
      <c r="T24" s="13">
        <f>$G24*SQRT($B24/$B$7)*MAX(0.001,(1-$D24)*INDEX(Curve!$G$1:$G$100,4+($C24-1)*24+1+T$9*2)+$D24*INDEX(Curve!$G$1:$G$100,4+$C24*24+1+T$9*2))</f>
        <v>0.20395680892747992</v>
      </c>
      <c r="U24" s="13">
        <f>$G24*SQRT($B24/$B$7)*MAX(0.001,(1-$D24)*INDEX(Curve!$G$1:$G$100,4+($C24-1)*24+1+U$9*2)+$D24*INDEX(Curve!$G$1:$G$100,4+$C24*24+1+U$9*2))</f>
        <v>0.19565038462507026</v>
      </c>
      <c r="V24" s="13">
        <f>$G24*SQRT($B24/$B$7)*MAX(0.001,(1-$D24)*INDEX(Curve!$G$1:$G$100,4+($C24-1)*24+1+V$9*2)+$D24*INDEX(Curve!$G$1:$G$100,4+$C24*24+1+V$9*2))</f>
        <v>0.18811367935732606</v>
      </c>
      <c r="W24" s="13">
        <f>$G24*SQRT($B24/$B$7)*MAX(0.001,(1-$D24)*INDEX(Curve!$G$1:$G$100,4+($C24-1)*24+1+W$9*2)+$D24*INDEX(Curve!$G$1:$G$100,4+$C24*24+1+W$9*2))</f>
        <v>0.17454686611694212</v>
      </c>
      <c r="X24" s="13">
        <f>$G24*SQRT($B24/$B$7)*MAX(0.001,(1-$D24)*INDEX(Curve!$G$1:$G$100,4+($C24-1)*24+1+X$9*2)+$D24*INDEX(Curve!$G$1:$G$100,4+$C24*24+1+X$9*2))</f>
        <v>0.1630184417758164</v>
      </c>
      <c r="Y24" s="13">
        <f>$G24*SQRT($B24/$B$7)*MAX(0.001,(1-$D24)*INDEX(Curve!$G$1:$G$100,4+($C24-1)*24+1+Y$9*2)+$D24*INDEX(Curve!$G$1:$G$100,4+$C24*24+1+Y$9*2))</f>
        <v>0.15308765333758012</v>
      </c>
      <c r="Z24" s="13">
        <f>$G24*SQRT($B24/$B$7)*MAX(0.001,(1-$D24)*INDEX(Curve!$G$1:$G$100,4+($C24-1)*24+1+Z$9*2)+$D24*INDEX(Curve!$G$1:$G$100,4+$C24*24+1+Z$9*2))</f>
        <v>0.1444339420611585</v>
      </c>
      <c r="AA24" s="13">
        <f>$G24*SQRT($B24/$B$7)*MAX(0.001,(1-$D24)*INDEX(Curve!$G$1:$G$100,4+($C24-1)*24+1+AA$9*2)+$D24*INDEX(Curve!$G$1:$G$100,4+$C24*24+1+AA$9*2))</f>
        <v>0.13652139925263204</v>
      </c>
      <c r="AB24" s="13">
        <f>$G24*SQRT($B24/$B$7)*MAX(0.001,(1-$D24)*INDEX(Curve!$G$1:$G$100,4+($C24-1)*24+1+AB$9*2)+$D24*INDEX(Curve!$G$1:$G$100,4+$C24*24+1+AB$9*2))</f>
        <v>0.12697493014780781</v>
      </c>
      <c r="AC24" s="13">
        <f>$G24*SQRT($B24/$B$7)*MAX(0.001,(1-$D24)*INDEX(Curve!$G$1:$G$100,4+($C24-1)*24+1+AC$9*2)+$D24*INDEX(Curve!$G$1:$G$100,4+$C24*24+1+AC$9*2))</f>
        <v>0.11701823681216938</v>
      </c>
      <c r="AD24" s="13">
        <f>$G24*SQRT($B24/$B$7)*MAX(0.001,(1-$D24)*INDEX(Curve!$G$1:$G$100,4+($C24-1)*24+1+AD$9*2)+$D24*INDEX(Curve!$G$1:$G$100,4+$C24*24+1+AD$9*2))</f>
        <v>0.10013477123837515</v>
      </c>
      <c r="AE24" s="13">
        <f>$G24*SQRT($B24/$B$7)*MAX(0.001,(1-$D24)*INDEX(Curve!$G$1:$G$100,4+($C24-1)*24+1+AE$9*2)+$D24*INDEX(Curve!$G$1:$G$100,4+$C24*24+1+AE$9*2))</f>
        <v>6.8079404834124571E-2</v>
      </c>
      <c r="AF24" s="18">
        <f t="array" ref="AF24">SUMPRODUCT(MAX(ISNUMBER(M24:AD24)*ISNUMBER(N24:AE24)*(M24:AD24&gt;=$B$5)*(N24:AE24&lt;$B$5)*(COLUMN(M24:AD24)-COLUMN(M24)+1)))</f>
        <v>2</v>
      </c>
      <c r="AG24" s="9">
        <f t="shared" si="5"/>
        <v>1</v>
      </c>
      <c r="AH24" s="9">
        <f t="shared" si="6"/>
        <v>1.5</v>
      </c>
      <c r="AI24" s="13">
        <f t="shared" si="7"/>
        <v>0.27508013596690239</v>
      </c>
      <c r="AJ24" s="13">
        <f t="shared" si="8"/>
        <v>0.24244075501426107</v>
      </c>
      <c r="AK24" s="18">
        <f t="shared" si="9"/>
        <v>16</v>
      </c>
    </row>
    <row r="25" spans="1:37" x14ac:dyDescent="0.25">
      <c r="A25" s="12">
        <v>500</v>
      </c>
      <c r="B25" s="12">
        <v>60</v>
      </c>
      <c r="C25" s="18">
        <f>IFERROR(MIN(MATCH(A25,Parametri!$A$17:$A$19,1),2),1)</f>
        <v>1</v>
      </c>
      <c r="D25" s="13">
        <f>(A25-INDEX(Parametri!$A$17:$A$19,C25))/(INDEX(Parametri!$A$17:$A$19,C25+1)-INDEX(Parametri!$A$17:$A$19,C25))</f>
        <v>0</v>
      </c>
      <c r="E25" s="13">
        <f>(1-D25)*INDEX(Riepilogo!$C$5:$C$7,C25)+D25*INDEX(Riepilogo!$C$5:$C$7,C25+1)</f>
        <v>0.50683116301872999</v>
      </c>
      <c r="F25" s="14">
        <f t="shared" si="0"/>
        <v>1.5204934890561898E-2</v>
      </c>
      <c r="G25" s="23">
        <f t="shared" si="1"/>
        <v>2.7403383813586899</v>
      </c>
      <c r="H25" s="13">
        <f t="shared" si="2"/>
        <v>9.1229609343371404E-2</v>
      </c>
      <c r="I25" s="13">
        <f>SQRT(B25/$B$7)*((1-D25)*INDEX(Riepilogo!$F$5:$F$7,C25)+D25*INDEX(Riepilogo!$F$5:$F$7,C25+1))</f>
        <v>0.15309310892394862</v>
      </c>
      <c r="J25" s="24">
        <f t="shared" si="3"/>
        <v>6.8275396061306548</v>
      </c>
      <c r="K25" s="23">
        <f t="shared" si="4"/>
        <v>0.20438277890100465</v>
      </c>
      <c r="L25" s="5" t="str">
        <f>IF(OR(A25&lt;MIN(Parametri!$A$17:$A$19),A25&gt;MAX(Parametri!$A$17:$A$19),B25&lt;20,B25&gt;60),"L o h fuori campo: estrapolazione",IF(OR($B$4*$B$7/B25&lt;MAX(INDEX(Riepilogo!$H$5:$H$7,C25),INDEX(Riepilogo!$H$5:$H$7,C25+1))*0.99,$B$4*$B$7/B25&gt;MIN(INDEX(Riepilogo!$I$5:$I$7,C25),INDEX(Riepilogo!$I$5:$I$7,C25+1))*1.01),"Q fuori dal campo simulato (estrapolazione)",IF(NOT(ISNUMBER(J25)),"vₜ non raggiunta / &lt; 0,5 m",IF(H25&gt;I25,"vₜ nel plateau/transizione: L poco significativo",IF(J25&gt;Parametri!$B$7,"Oltre x max: troncato dal pavimento",IF(B25=$B$7,"OK","OK (stima per similarità)"))))))</f>
        <v>OK (stima per similarità)</v>
      </c>
      <c r="M25" s="13">
        <f>$G25*SQRT($B25/$B$7)*MAX(0.001,(1-$D25)*INDEX(Curve!$G$1:$G$100,4+($C25-1)*24+1+M$9*2)+$D25*INDEX(Curve!$G$1:$G$100,4+$C25*24+1+M$9*2))</f>
        <v>0.76436359243870988</v>
      </c>
      <c r="N25" s="13">
        <f>$G25*SQRT($B25/$B$7)*MAX(0.001,(1-$D25)*INDEX(Curve!$G$1:$G$100,4+($C25-1)*24+1+N$9*2)+$D25*INDEX(Curve!$G$1:$G$100,4+$C25*24+1+N$9*2))</f>
        <v>0.71437588066134194</v>
      </c>
      <c r="O25" s="13">
        <f>$G25*SQRT($B25/$B$7)*MAX(0.001,(1-$D25)*INDEX(Curve!$G$1:$G$100,4+($C25-1)*24+1+O$9*2)+$D25*INDEX(Curve!$G$1:$G$100,4+$C25*24+1+O$9*2))</f>
        <v>0.64592382997029996</v>
      </c>
      <c r="P25" s="13">
        <f>$G25*SQRT($B25/$B$7)*MAX(0.001,(1-$D25)*INDEX(Curve!$G$1:$G$100,4+($C25-1)*24+1+P$9*2)+$D25*INDEX(Curve!$G$1:$G$100,4+$C25*24+1+P$9*2))</f>
        <v>0.59501030790952381</v>
      </c>
      <c r="Q25" s="13">
        <f>$G25*SQRT($B25/$B$7)*MAX(0.001,(1-$D25)*INDEX(Curve!$G$1:$G$100,4+($C25-1)*24+1+Q$9*2)+$D25*INDEX(Curve!$G$1:$G$100,4+$C25*24+1+Q$9*2))</f>
        <v>0.55118653299971554</v>
      </c>
      <c r="R25" s="13">
        <f>$G25*SQRT($B25/$B$7)*MAX(0.001,(1-$D25)*INDEX(Curve!$G$1:$G$100,4+($C25-1)*24+1+R$9*2)+$D25*INDEX(Curve!$G$1:$G$100,4+$C25*24+1+R$9*2))</f>
        <v>0.4988560567112032</v>
      </c>
      <c r="S25" s="13">
        <f>$G25*SQRT($B25/$B$7)*MAX(0.001,(1-$D25)*INDEX(Curve!$G$1:$G$100,4+($C25-1)*24+1+S$9*2)+$D25*INDEX(Curve!$G$1:$G$100,4+$C25*24+1+S$9*2))</f>
        <v>0.45057791364656374</v>
      </c>
      <c r="T25" s="13">
        <f>$G25*SQRT($B25/$B$7)*MAX(0.001,(1-$D25)*INDEX(Curve!$G$1:$G$100,4+($C25-1)*24+1+T$9*2)+$D25*INDEX(Curve!$G$1:$G$100,4+$C25*24+1+T$9*2))</f>
        <v>0.41189575557194125</v>
      </c>
      <c r="U25" s="13">
        <f>$G25*SQRT($B25/$B$7)*MAX(0.001,(1-$D25)*INDEX(Curve!$G$1:$G$100,4+($C25-1)*24+1+U$9*2)+$D25*INDEX(Curve!$G$1:$G$100,4+$C25*24+1+U$9*2))</f>
        <v>0.37114476413960856</v>
      </c>
      <c r="V25" s="13">
        <f>$G25*SQRT($B25/$B$7)*MAX(0.001,(1-$D25)*INDEX(Curve!$G$1:$G$100,4+($C25-1)*24+1+V$9*2)+$D25*INDEX(Curve!$G$1:$G$100,4+$C25*24+1+V$9*2))</f>
        <v>0.33750504485766253</v>
      </c>
      <c r="W25" s="13">
        <f>$G25*SQRT($B25/$B$7)*MAX(0.001,(1-$D25)*INDEX(Curve!$G$1:$G$100,4+($C25-1)*24+1+W$9*2)+$D25*INDEX(Curve!$G$1:$G$100,4+$C25*24+1+W$9*2))</f>
        <v>0.3078943678669408</v>
      </c>
      <c r="X25" s="13">
        <f>$G25*SQRT($B25/$B$7)*MAX(0.001,(1-$D25)*INDEX(Curve!$G$1:$G$100,4+($C25-1)*24+1+X$9*2)+$D25*INDEX(Curve!$G$1:$G$100,4+$C25*24+1+X$9*2))</f>
        <v>0.28313963708883644</v>
      </c>
      <c r="Y25" s="13">
        <f>$G25*SQRT($B25/$B$7)*MAX(0.001,(1-$D25)*INDEX(Curve!$G$1:$G$100,4+($C25-1)*24+1+Y$9*2)+$D25*INDEX(Curve!$G$1:$G$100,4+$C25*24+1+Y$9*2))</f>
        <v>0.26211818522442609</v>
      </c>
      <c r="Z25" s="13">
        <f>$G25*SQRT($B25/$B$7)*MAX(0.001,(1-$D25)*INDEX(Curve!$G$1:$G$100,4+($C25-1)*24+1+Z$9*2)+$D25*INDEX(Curve!$G$1:$G$100,4+$C25*24+1+Z$9*2))</f>
        <v>0.24406693558741321</v>
      </c>
      <c r="AA25" s="13">
        <f>$G25*SQRT($B25/$B$7)*MAX(0.001,(1-$D25)*INDEX(Curve!$G$1:$G$100,4+($C25-1)*24+1+AA$9*2)+$D25*INDEX(Curve!$G$1:$G$100,4+$C25*24+1+AA$9*2))</f>
        <v>0.2283861058252333</v>
      </c>
      <c r="AB25" s="13">
        <f>$G25*SQRT($B25/$B$7)*MAX(0.001,(1-$D25)*INDEX(Curve!$G$1:$G$100,4+($C25-1)*24+1+AB$9*2)+$D25*INDEX(Curve!$G$1:$G$100,4+$C25*24+1+AB$9*2))</f>
        <v>0.21269191381064095</v>
      </c>
      <c r="AC25" s="13">
        <f>$G25*SQRT($B25/$B$7)*MAX(0.001,(1-$D25)*INDEX(Curve!$G$1:$G$100,4+($C25-1)*24+1+AC$9*2)+$D25*INDEX(Curve!$G$1:$G$100,4+$C25*24+1+AC$9*2))</f>
        <v>0.19456988507477202</v>
      </c>
      <c r="AD25" s="13">
        <f>$G25*SQRT($B25/$B$7)*MAX(0.001,(1-$D25)*INDEX(Curve!$G$1:$G$100,4+($C25-1)*24+1+AD$9*2)+$D25*INDEX(Curve!$G$1:$G$100,4+$C25*24+1+AD$9*2))</f>
        <v>0.16791978337737393</v>
      </c>
      <c r="AE25" s="13">
        <f>$G25*SQRT($B25/$B$7)*MAX(0.001,(1-$D25)*INDEX(Curve!$G$1:$G$100,4+($C25-1)*24+1+AE$9*2)+$D25*INDEX(Curve!$G$1:$G$100,4+$C25*24+1+AE$9*2))</f>
        <v>0.11119442766633064</v>
      </c>
      <c r="AF25" s="18">
        <f t="array" ref="AF25">SUMPRODUCT(MAX(ISNUMBER(M25:AD25)*ISNUMBER(N25:AE25)*(M25:AD25&gt;=$B$5)*(N25:AE25&lt;$B$5)*(COLUMN(M25:AD25)-COLUMN(M25)+1)))</f>
        <v>13</v>
      </c>
      <c r="AG25" s="9">
        <f t="shared" si="5"/>
        <v>6.5</v>
      </c>
      <c r="AH25" s="9">
        <f t="shared" si="6"/>
        <v>7</v>
      </c>
      <c r="AI25" s="13">
        <f t="shared" si="7"/>
        <v>0.26211818522442609</v>
      </c>
      <c r="AJ25" s="13">
        <f t="shared" si="8"/>
        <v>0.24406693558741321</v>
      </c>
      <c r="AK25" s="18">
        <f t="shared" si="9"/>
        <v>16</v>
      </c>
    </row>
    <row r="26" spans="1:37" x14ac:dyDescent="0.25">
      <c r="A26" s="12">
        <v>750</v>
      </c>
      <c r="B26" s="12">
        <v>60</v>
      </c>
      <c r="C26" s="18">
        <f>IFERROR(MIN(MATCH(A26,Parametri!$A$17:$A$19,1),2),1)</f>
        <v>1</v>
      </c>
      <c r="D26" s="13">
        <f>(A26-INDEX(Parametri!$A$17:$A$19,C26))/(INDEX(Parametri!$A$17:$A$19,C26+1)-INDEX(Parametri!$A$17:$A$19,C26))</f>
        <v>0.5</v>
      </c>
      <c r="E26" s="13">
        <f>(1-D26)*INDEX(Riepilogo!$C$5:$C$7,C26)+D26*INDEX(Riepilogo!$C$5:$C$7,C26+1)</f>
        <v>0.51921121561681005</v>
      </c>
      <c r="F26" s="14">
        <f t="shared" si="0"/>
        <v>2.3364504702756451E-2</v>
      </c>
      <c r="G26" s="23">
        <f t="shared" si="1"/>
        <v>1.7833319043887541</v>
      </c>
      <c r="H26" s="13">
        <f t="shared" si="2"/>
        <v>0.14018702821653872</v>
      </c>
      <c r="I26" s="13">
        <f>SQRT(B26/$B$7)*((1-D26)*INDEX(Riepilogo!$F$5:$F$7,C26)+D26*INDEX(Riepilogo!$F$5:$F$7,C26+1))</f>
        <v>0.16840241981634349</v>
      </c>
      <c r="J26" s="24">
        <f t="shared" si="3"/>
        <v>5.43218836156435</v>
      </c>
      <c r="K26" s="23">
        <f t="shared" si="4"/>
        <v>0.16275369116453536</v>
      </c>
      <c r="L26" s="5" t="str">
        <f>IF(OR(A26&lt;MIN(Parametri!$A$17:$A$19),A26&gt;MAX(Parametri!$A$17:$A$19),B26&lt;20,B26&gt;60),"L o h fuori campo: estrapolazione",IF(OR($B$4*$B$7/B26&lt;MAX(INDEX(Riepilogo!$H$5:$H$7,C26),INDEX(Riepilogo!$H$5:$H$7,C26+1))*0.99,$B$4*$B$7/B26&gt;MIN(INDEX(Riepilogo!$I$5:$I$7,C26),INDEX(Riepilogo!$I$5:$I$7,C26+1))*1.01),"Q fuori dal campo simulato (estrapolazione)",IF(NOT(ISNUMBER(J26)),"vₜ non raggiunta / &lt; 0,5 m",IF(H26&gt;I26,"vₜ nel plateau/transizione: L poco significativo",IF(J26&gt;Parametri!$B$7,"Oltre x max: troncato dal pavimento",IF(B26=$B$7,"OK","OK (stima per similarità)"))))))</f>
        <v>OK (stima per similarità)</v>
      </c>
      <c r="M26" s="13">
        <f>$G26*SQRT($B26/$B$7)*MAX(0.001,(1-$D26)*INDEX(Curve!$G$1:$G$100,4+($C26-1)*24+1+M$9*2)+$D26*INDEX(Curve!$G$1:$G$100,4+$C26*24+1+M$9*2))</f>
        <v>0.48853719742189883</v>
      </c>
      <c r="N26" s="13">
        <f>$G26*SQRT($B26/$B$7)*MAX(0.001,(1-$D26)*INDEX(Curve!$G$1:$G$100,4+($C26-1)*24+1+N$9*2)+$D26*INDEX(Curve!$G$1:$G$100,4+$C26*24+1+N$9*2))</f>
        <v>0.46805741646175353</v>
      </c>
      <c r="O26" s="13">
        <f>$G26*SQRT($B26/$B$7)*MAX(0.001,(1-$D26)*INDEX(Curve!$G$1:$G$100,4+($C26-1)*24+1+O$9*2)+$D26*INDEX(Curve!$G$1:$G$100,4+$C26*24+1+O$9*2))</f>
        <v>0.4463804854590625</v>
      </c>
      <c r="P26" s="13">
        <f>$G26*SQRT($B26/$B$7)*MAX(0.001,(1-$D26)*INDEX(Curve!$G$1:$G$100,4+($C26-1)*24+1+P$9*2)+$D26*INDEX(Curve!$G$1:$G$100,4+$C26*24+1+P$9*2))</f>
        <v>0.42643287003309732</v>
      </c>
      <c r="Q26" s="13">
        <f>$G26*SQRT($B26/$B$7)*MAX(0.001,(1-$D26)*INDEX(Curve!$G$1:$G$100,4+($C26-1)*24+1+Q$9*2)+$D26*INDEX(Curve!$G$1:$G$100,4+$C26*24+1+Q$9*2))</f>
        <v>0.40468658516146438</v>
      </c>
      <c r="R26" s="13">
        <f>$G26*SQRT($B26/$B$7)*MAX(0.001,(1-$D26)*INDEX(Curve!$G$1:$G$100,4+($C26-1)*24+1+R$9*2)+$D26*INDEX(Curve!$G$1:$G$100,4+$C26*24+1+R$9*2))</f>
        <v>0.37754083896229373</v>
      </c>
      <c r="S26" s="13">
        <f>$G26*SQRT($B26/$B$7)*MAX(0.001,(1-$D26)*INDEX(Curve!$G$1:$G$100,4+($C26-1)*24+1+S$9*2)+$D26*INDEX(Curve!$G$1:$G$100,4+$C26*24+1+S$9*2))</f>
        <v>0.34705940651167172</v>
      </c>
      <c r="T26" s="13">
        <f>$G26*SQRT($B26/$B$7)*MAX(0.001,(1-$D26)*INDEX(Curve!$G$1:$G$100,4+($C26-1)*24+1+T$9*2)+$D26*INDEX(Curve!$G$1:$G$100,4+$C26*24+1+T$9*2))</f>
        <v>0.32029279402652217</v>
      </c>
      <c r="U26" s="13">
        <f>$G26*SQRT($B26/$B$7)*MAX(0.001,(1-$D26)*INDEX(Curve!$G$1:$G$100,4+($C26-1)*24+1+U$9*2)+$D26*INDEX(Curve!$G$1:$G$100,4+$C26*24+1+U$9*2))</f>
        <v>0.29459587206420024</v>
      </c>
      <c r="V26" s="13">
        <f>$G26*SQRT($B26/$B$7)*MAX(0.001,(1-$D26)*INDEX(Curve!$G$1:$G$100,4+($C26-1)*24+1+V$9*2)+$D26*INDEX(Curve!$G$1:$G$100,4+$C26*24+1+V$9*2))</f>
        <v>0.27047125497139407</v>
      </c>
      <c r="W26" s="13">
        <f>$G26*SQRT($B26/$B$7)*MAX(0.001,(1-$D26)*INDEX(Curve!$G$1:$G$100,4+($C26-1)*24+1+W$9*2)+$D26*INDEX(Curve!$G$1:$G$100,4+$C26*24+1+W$9*2))</f>
        <v>0.24707286155588462</v>
      </c>
      <c r="X26" s="13">
        <f>$G26*SQRT($B26/$B$7)*MAX(0.001,(1-$D26)*INDEX(Curve!$G$1:$G$100,4+($C26-1)*24+1+X$9*2)+$D26*INDEX(Curve!$G$1:$G$100,4+$C26*24+1+X$9*2))</f>
        <v>0.22748563429912314</v>
      </c>
      <c r="Y26" s="13">
        <f>$G26*SQRT($B26/$B$7)*MAX(0.001,(1-$D26)*INDEX(Curve!$G$1:$G$100,4+($C26-1)*24+1+Y$9*2)+$D26*INDEX(Curve!$G$1:$G$100,4+$C26*24+1+Y$9*2))</f>
        <v>0.21051277955716502</v>
      </c>
      <c r="Z26" s="13">
        <f>$G26*SQRT($B26/$B$7)*MAX(0.001,(1-$D26)*INDEX(Curve!$G$1:$G$100,4+($C26-1)*24+1+Z$9*2)+$D26*INDEX(Curve!$G$1:$G$100,4+$C26*24+1+Z$9*2))</f>
        <v>0.19566501281298776</v>
      </c>
      <c r="AA26" s="13">
        <f>$G26*SQRT($B26/$B$7)*MAX(0.001,(1-$D26)*INDEX(Curve!$G$1:$G$100,4+($C26-1)*24+1+AA$9*2)+$D26*INDEX(Curve!$G$1:$G$100,4+$C26*24+1+AA$9*2))</f>
        <v>0.18273462463351314</v>
      </c>
      <c r="AB26" s="13">
        <f>$G26*SQRT($B26/$B$7)*MAX(0.001,(1-$D26)*INDEX(Curve!$G$1:$G$100,4+($C26-1)*24+1+AB$9*2)+$D26*INDEX(Curve!$G$1:$G$100,4+$C26*24+1+AB$9*2))</f>
        <v>0.16901262481170598</v>
      </c>
      <c r="AC26" s="13">
        <f>$G26*SQRT($B26/$B$7)*MAX(0.001,(1-$D26)*INDEX(Curve!$G$1:$G$100,4+($C26-1)*24+1+AC$9*2)+$D26*INDEX(Curve!$G$1:$G$100,4+$C26*24+1+AC$9*2))</f>
        <v>0.15534457788785211</v>
      </c>
      <c r="AD26" s="13">
        <f>$G26*SQRT($B26/$B$7)*MAX(0.001,(1-$D26)*INDEX(Curve!$G$1:$G$100,4+($C26-1)*24+1+AD$9*2)+$D26*INDEX(Curve!$G$1:$G$100,4+$C26*24+1+AD$9*2))</f>
        <v>0.13336526293666157</v>
      </c>
      <c r="AE26" s="13">
        <f>$G26*SQRT($B26/$B$7)*MAX(0.001,(1-$D26)*INDEX(Curve!$G$1:$G$100,4+($C26-1)*24+1+AE$9*2)+$D26*INDEX(Curve!$G$1:$G$100,4+$C26*24+1+AE$9*2))</f>
        <v>8.5860152789191832E-2</v>
      </c>
      <c r="AF26" s="18">
        <f t="array" ref="AF26">SUMPRODUCT(MAX(ISNUMBER(M26:AD26)*ISNUMBER(N26:AE26)*(M26:AD26&gt;=$B$5)*(N26:AE26&lt;$B$5)*(COLUMN(M26:AD26)-COLUMN(M26)+1)))</f>
        <v>10</v>
      </c>
      <c r="AG26" s="9">
        <f t="shared" si="5"/>
        <v>5</v>
      </c>
      <c r="AH26" s="9">
        <f t="shared" si="6"/>
        <v>5.5</v>
      </c>
      <c r="AI26" s="13">
        <f t="shared" si="7"/>
        <v>0.27047125497139407</v>
      </c>
      <c r="AJ26" s="13">
        <f t="shared" si="8"/>
        <v>0.24707286155588462</v>
      </c>
      <c r="AK26" s="18">
        <f t="shared" si="9"/>
        <v>16</v>
      </c>
    </row>
    <row r="27" spans="1:37" x14ac:dyDescent="0.25">
      <c r="A27" s="12">
        <v>1000</v>
      </c>
      <c r="B27" s="12">
        <v>60</v>
      </c>
      <c r="C27" s="18">
        <f>IFERROR(MIN(MATCH(A27,Parametri!$A$17:$A$19,1),2),1)</f>
        <v>2</v>
      </c>
      <c r="D27" s="13">
        <f>(A27-INDEX(Parametri!$A$17:$A$19,C27))/(INDEX(Parametri!$A$17:$A$19,C27+1)-INDEX(Parametri!$A$17:$A$19,C27))</f>
        <v>0</v>
      </c>
      <c r="E27" s="13">
        <f>(1-D27)*INDEX(Riepilogo!$C$5:$C$7,C27)+D27*INDEX(Riepilogo!$C$5:$C$7,C27+1)</f>
        <v>0.53159126821489022</v>
      </c>
      <c r="F27" s="14">
        <f t="shared" si="0"/>
        <v>3.1895476092893414E-2</v>
      </c>
      <c r="G27" s="23">
        <f t="shared" si="1"/>
        <v>1.3063503596972599</v>
      </c>
      <c r="H27" s="13">
        <f t="shared" si="2"/>
        <v>0.1913728565573605</v>
      </c>
      <c r="I27" s="13">
        <f>SQRT(B27/$B$7)*((1-D27)*INDEX(Riepilogo!$F$5:$F$7,C27)+D27*INDEX(Riepilogo!$F$5:$F$7,C27+1))</f>
        <v>0.18371173070873834</v>
      </c>
      <c r="J27" s="24">
        <f t="shared" si="3"/>
        <v>4.6127770863281814</v>
      </c>
      <c r="K27" s="23">
        <f t="shared" si="4"/>
        <v>0.14101302031756738</v>
      </c>
      <c r="L27" s="5" t="str">
        <f>IF(OR(A27&lt;MIN(Parametri!$A$17:$A$19),A27&gt;MAX(Parametri!$A$17:$A$19),B27&lt;20,B27&gt;60),"L o h fuori campo: estrapolazione",IF(OR($B$4*$B$7/B27&lt;MAX(INDEX(Riepilogo!$H$5:$H$7,C27),INDEX(Riepilogo!$H$5:$H$7,C27+1))*0.99,$B$4*$B$7/B27&gt;MIN(INDEX(Riepilogo!$I$5:$I$7,C27),INDEX(Riepilogo!$I$5:$I$7,C27+1))*1.01),"Q fuori dal campo simulato (estrapolazione)",IF(NOT(ISNUMBER(J27)),"vₜ non raggiunta / &lt; 0,5 m",IF(H27&gt;I27,"vₜ nel plateau/transizione: L poco significativo",IF(J27&gt;Parametri!$B$7,"Oltre x max: troncato dal pavimento",IF(B27=$B$7,"OK","OK (stima per similarità)"))))))</f>
        <v>vₜ nel plateau/transizione: L poco significativo</v>
      </c>
      <c r="M27" s="13">
        <f>$G27*SQRT($B27/$B$7)*MAX(0.001,(1-$D27)*INDEX(Curve!$G$1:$G$100,4+($C27-1)*24+1+M$9*2)+$D27*INDEX(Curve!$G$1:$G$100,4+$C27*24+1+M$9*2))</f>
        <v>0.35135893895690157</v>
      </c>
      <c r="N27" s="13">
        <f>$G27*SQRT($B27/$B$7)*MAX(0.001,(1-$D27)*INDEX(Curve!$G$1:$G$100,4+($C27-1)*24+1+N$9*2)+$D27*INDEX(Curve!$G$1:$G$100,4+$C27*24+1+N$9*2))</f>
        <v>0.34518439640946169</v>
      </c>
      <c r="O27" s="13">
        <f>$G27*SQRT($B27/$B$7)*MAX(0.001,(1-$D27)*INDEX(Curve!$G$1:$G$100,4+($C27-1)*24+1+O$9*2)+$D27*INDEX(Curve!$G$1:$G$100,4+$C27*24+1+O$9*2))</f>
        <v>0.34605810843978768</v>
      </c>
      <c r="P27" s="13">
        <f>$G27*SQRT($B27/$B$7)*MAX(0.001,(1-$D27)*INDEX(Curve!$G$1:$G$100,4+($C27-1)*24+1+P$9*2)+$D27*INDEX(Curve!$G$1:$G$100,4+$C27*24+1+P$9*2))</f>
        <v>0.34110456830719826</v>
      </c>
      <c r="Q27" s="13">
        <f>$G27*SQRT($B27/$B$7)*MAX(0.001,(1-$D27)*INDEX(Curve!$G$1:$G$100,4+($C27-1)*24+1+Q$9*2)+$D27*INDEX(Curve!$G$1:$G$100,4+$C27*24+1+Q$9*2))</f>
        <v>0.33013609412232242</v>
      </c>
      <c r="R27" s="13">
        <f>$G27*SQRT($B27/$B$7)*MAX(0.001,(1-$D27)*INDEX(Curve!$G$1:$G$100,4+($C27-1)*24+1+R$9*2)+$D27*INDEX(Curve!$G$1:$G$100,4+$C27*24+1+R$9*2))</f>
        <v>0.31531228828463076</v>
      </c>
      <c r="S27" s="13">
        <f>$G27*SQRT($B27/$B$7)*MAX(0.001,(1-$D27)*INDEX(Curve!$G$1:$G$100,4+($C27-1)*24+1+S$9*2)+$D27*INDEX(Curve!$G$1:$G$100,4+$C27*24+1+S$9*2))</f>
        <v>0.29366968543609229</v>
      </c>
      <c r="T27" s="13">
        <f>$G27*SQRT($B27/$B$7)*MAX(0.001,(1-$D27)*INDEX(Curve!$G$1:$G$100,4+($C27-1)*24+1+T$9*2)+$D27*INDEX(Curve!$G$1:$G$100,4+$C27*24+1+T$9*2))</f>
        <v>0.27289502793634579</v>
      </c>
      <c r="U27" s="13">
        <f>$G27*SQRT($B27/$B$7)*MAX(0.001,(1-$D27)*INDEX(Curve!$G$1:$G$100,4+($C27-1)*24+1+U$9*2)+$D27*INDEX(Curve!$G$1:$G$100,4+$C27*24+1+U$9*2))</f>
        <v>0.25467377502502458</v>
      </c>
      <c r="V27" s="13">
        <f>$G27*SQRT($B27/$B$7)*MAX(0.001,(1-$D27)*INDEX(Curve!$G$1:$G$100,4+($C27-1)*24+1+V$9*2)+$D27*INDEX(Curve!$G$1:$G$100,4+$C27*24+1+V$9*2))</f>
        <v>0.23536603007016635</v>
      </c>
      <c r="W27" s="13">
        <f>$G27*SQRT($B27/$B$7)*MAX(0.001,(1-$D27)*INDEX(Curve!$G$1:$G$100,4+($C27-1)*24+1+W$9*2)+$D27*INDEX(Curve!$G$1:$G$100,4+$C27*24+1+W$9*2))</f>
        <v>0.21520156134097401</v>
      </c>
      <c r="X27" s="13">
        <f>$G27*SQRT($B27/$B$7)*MAX(0.001,(1-$D27)*INDEX(Curve!$G$1:$G$100,4+($C27-1)*24+1+X$9*2)+$D27*INDEX(Curve!$G$1:$G$100,4+$C27*24+1+X$9*2))</f>
        <v>0.19830582178765438</v>
      </c>
      <c r="Y27" s="13">
        <f>$G27*SQRT($B27/$B$7)*MAX(0.001,(1-$D27)*INDEX(Curve!$G$1:$G$100,4+($C27-1)*24+1+Y$9*2)+$D27*INDEX(Curve!$G$1:$G$100,4+$C27*24+1+Y$9*2))</f>
        <v>0.18346061676256231</v>
      </c>
      <c r="Z27" s="13">
        <f>$G27*SQRT($B27/$B$7)*MAX(0.001,(1-$D27)*INDEX(Curve!$G$1:$G$100,4+($C27-1)*24+1+Z$9*2)+$D27*INDEX(Curve!$G$1:$G$100,4+$C27*24+1+Z$9*2))</f>
        <v>0.17031287897071612</v>
      </c>
      <c r="AA27" s="13">
        <f>$G27*SQRT($B27/$B$7)*MAX(0.001,(1-$D27)*INDEX(Curve!$G$1:$G$100,4+($C27-1)*24+1+AA$9*2)+$D27*INDEX(Curve!$G$1:$G$100,4+$C27*24+1+AA$9*2))</f>
        <v>0.15884422322071856</v>
      </c>
      <c r="AB27" s="13">
        <f>$G27*SQRT($B27/$B$7)*MAX(0.001,(1-$D27)*INDEX(Curve!$G$1:$G$100,4+($C27-1)*24+1+AB$9*2)+$D27*INDEX(Curve!$G$1:$G$100,4+$C27*24+1+AB$9*2))</f>
        <v>0.14622217331554349</v>
      </c>
      <c r="AC27" s="13">
        <f>$G27*SQRT($B27/$B$7)*MAX(0.001,(1-$D27)*INDEX(Curve!$G$1:$G$100,4+($C27-1)*24+1+AC$9*2)+$D27*INDEX(Curve!$G$1:$G$100,4+$C27*24+1+AC$9*2))</f>
        <v>0.13483654529769135</v>
      </c>
      <c r="AD27" s="13">
        <f>$G27*SQRT($B27/$B$7)*MAX(0.001,(1-$D27)*INDEX(Curve!$G$1:$G$100,4+($C27-1)*24+1+AD$9*2)+$D27*INDEX(Curve!$G$1:$G$100,4+$C27*24+1+AD$9*2))</f>
        <v>0.11533978180264264</v>
      </c>
      <c r="AE27" s="13">
        <f>$G27*SQRT($B27/$B$7)*MAX(0.001,(1-$D27)*INDEX(Curve!$G$1:$G$100,4+($C27-1)*24+1+AE$9*2)+$D27*INDEX(Curve!$G$1:$G$100,4+$C27*24+1+AE$9*2))</f>
        <v>7.2783232569533868E-2</v>
      </c>
      <c r="AF27" s="18">
        <f t="array" ref="AF27">SUMPRODUCT(MAX(ISNUMBER(M27:AD27)*ISNUMBER(N27:AE27)*(M27:AD27&gt;=$B$5)*(N27:AE27&lt;$B$5)*(COLUMN(M27:AD27)-COLUMN(M27)+1)))</f>
        <v>9</v>
      </c>
      <c r="AG27" s="9">
        <f t="shared" si="5"/>
        <v>4.5</v>
      </c>
      <c r="AH27" s="9">
        <f t="shared" si="6"/>
        <v>5</v>
      </c>
      <c r="AI27" s="13">
        <f t="shared" si="7"/>
        <v>0.25467377502502458</v>
      </c>
      <c r="AJ27" s="13">
        <f t="shared" si="8"/>
        <v>0.23536603007016635</v>
      </c>
      <c r="AK27" s="18">
        <f t="shared" si="9"/>
        <v>16</v>
      </c>
    </row>
    <row r="28" spans="1:37" x14ac:dyDescent="0.25">
      <c r="A28" s="12">
        <v>1250</v>
      </c>
      <c r="B28" s="12">
        <v>60</v>
      </c>
      <c r="C28" s="18">
        <f>IFERROR(MIN(MATCH(A28,Parametri!$A$17:$A$19,1),2),1)</f>
        <v>2</v>
      </c>
      <c r="D28" s="13">
        <f>(A28-INDEX(Parametri!$A$17:$A$19,C28))/(INDEX(Parametri!$A$17:$A$19,C28+1)-INDEX(Parametri!$A$17:$A$19,C28))</f>
        <v>0.5</v>
      </c>
      <c r="E28" s="13">
        <f>(1-D28)*INDEX(Riepilogo!$C$5:$C$7,C28)+D28*INDEX(Riepilogo!$C$5:$C$7,C28+1)</f>
        <v>0.50761238746144932</v>
      </c>
      <c r="F28" s="14">
        <f t="shared" si="0"/>
        <v>3.8070929059608696E-2</v>
      </c>
      <c r="G28" s="23">
        <f t="shared" si="1"/>
        <v>1.0944483808479699</v>
      </c>
      <c r="H28" s="13">
        <f t="shared" si="2"/>
        <v>0.22842557435765221</v>
      </c>
      <c r="I28" s="13">
        <f>SQRT(B28/$B$7)*((1-D28)*INDEX(Riepilogo!$F$5:$F$7,C28)+D28*INDEX(Riepilogo!$F$5:$F$7,C28+1))</f>
        <v>0.18677359288721732</v>
      </c>
      <c r="J28" s="24">
        <f t="shared" si="3"/>
        <v>1.98136536946195</v>
      </c>
      <c r="K28" s="23">
        <f t="shared" si="4"/>
        <v>0.11620940807173862</v>
      </c>
      <c r="L28" s="5" t="str">
        <f>IF(OR(A28&lt;MIN(Parametri!$A$17:$A$19),A28&gt;MAX(Parametri!$A$17:$A$19),B28&lt;20,B28&gt;60),"L o h fuori campo: estrapolazione",IF(OR($B$4*$B$7/B28&lt;MAX(INDEX(Riepilogo!$H$5:$H$7,C28),INDEX(Riepilogo!$H$5:$H$7,C28+1))*0.99,$B$4*$B$7/B28&gt;MIN(INDEX(Riepilogo!$I$5:$I$7,C28),INDEX(Riepilogo!$I$5:$I$7,C28+1))*1.01),"Q fuori dal campo simulato (estrapolazione)",IF(NOT(ISNUMBER(J28)),"vₜ non raggiunta / &lt; 0,5 m",IF(H28&gt;I28,"vₜ nel plateau/transizione: L poco significativo",IF(J28&gt;Parametri!$B$7,"Oltre x max: troncato dal pavimento",IF(B28=$B$7,"OK","OK (stima per similarità)"))))))</f>
        <v>vₜ nel plateau/transizione: L poco significativo</v>
      </c>
      <c r="M28" s="13">
        <f>$G28*SQRT($B28/$B$7)*MAX(0.001,(1-$D28)*INDEX(Curve!$G$1:$G$100,4+($C28-1)*24+1+M$9*2)+$D28*INDEX(Curve!$G$1:$G$100,4+$C28*24+1+M$9*2))</f>
        <v>0.36331967741225479</v>
      </c>
      <c r="N28" s="13">
        <f>$G28*SQRT($B28/$B$7)*MAX(0.001,(1-$D28)*INDEX(Curve!$G$1:$G$100,4+($C28-1)*24+1+N$9*2)+$D28*INDEX(Curve!$G$1:$G$100,4+$C28*24+1+N$9*2))</f>
        <v>0.27299143364495343</v>
      </c>
      <c r="O28" s="13">
        <f>$G28*SQRT($B28/$B$7)*MAX(0.001,(1-$D28)*INDEX(Curve!$G$1:$G$100,4+($C28-1)*24+1+O$9*2)+$D28*INDEX(Curve!$G$1:$G$100,4+$C28*24+1+O$9*2))</f>
        <v>0.25812280488444705</v>
      </c>
      <c r="P28" s="13">
        <f>$G28*SQRT($B28/$B$7)*MAX(0.001,(1-$D28)*INDEX(Curve!$G$1:$G$100,4+($C28-1)*24+1+P$9*2)+$D28*INDEX(Curve!$G$1:$G$100,4+$C28*24+1+P$9*2))</f>
        <v>0.24973128825346774</v>
      </c>
      <c r="Q28" s="13">
        <f>$G28*SQRT($B28/$B$7)*MAX(0.001,(1-$D28)*INDEX(Curve!$G$1:$G$100,4+($C28-1)*24+1+Q$9*2)+$D28*INDEX(Curve!$G$1:$G$100,4+$C28*24+1+Q$9*2))</f>
        <v>0.24243197440339995</v>
      </c>
      <c r="R28" s="13">
        <f>$G28*SQRT($B28/$B$7)*MAX(0.001,(1-$D28)*INDEX(Curve!$G$1:$G$100,4+($C28-1)*24+1+R$9*2)+$D28*INDEX(Curve!$G$1:$G$100,4+$C28*24+1+R$9*2))</f>
        <v>0.23417160320044067</v>
      </c>
      <c r="S28" s="13">
        <f>$G28*SQRT($B28/$B$7)*MAX(0.001,(1-$D28)*INDEX(Curve!$G$1:$G$100,4+($C28-1)*24+1+S$9*2)+$D28*INDEX(Curve!$G$1:$G$100,4+$C28*24+1+S$9*2))</f>
        <v>0.22264822815064444</v>
      </c>
      <c r="T28" s="13">
        <f>$G28*SQRT($B28/$B$7)*MAX(0.001,(1-$D28)*INDEX(Curve!$G$1:$G$100,4+($C28-1)*24+1+T$9*2)+$D28*INDEX(Curve!$G$1:$G$100,4+$C28*24+1+T$9*2))</f>
        <v>0.20951251727777956</v>
      </c>
      <c r="U28" s="13">
        <f>$G28*SQRT($B28/$B$7)*MAX(0.001,(1-$D28)*INDEX(Curve!$G$1:$G$100,4+($C28-1)*24+1+U$9*2)+$D28*INDEX(Curve!$G$1:$G$100,4+$C28*24+1+U$9*2))</f>
        <v>0.19800264545489854</v>
      </c>
      <c r="V28" s="13">
        <f>$G28*SQRT($B28/$B$7)*MAX(0.001,(1-$D28)*INDEX(Curve!$G$1:$G$100,4+($C28-1)*24+1+V$9*2)+$D28*INDEX(Curve!$G$1:$G$100,4+$C28*24+1+V$9*2))</f>
        <v>0.18639691796418714</v>
      </c>
      <c r="W28" s="13">
        <f>$G28*SQRT($B28/$B$7)*MAX(0.001,(1-$D28)*INDEX(Curve!$G$1:$G$100,4+($C28-1)*24+1+W$9*2)+$D28*INDEX(Curve!$G$1:$G$100,4+$C28*24+1+W$9*2))</f>
        <v>0.17161772449516846</v>
      </c>
      <c r="X28" s="13">
        <f>$G28*SQRT($B28/$B$7)*MAX(0.001,(1-$D28)*INDEX(Curve!$G$1:$G$100,4+($C28-1)*24+1+X$9*2)+$D28*INDEX(Curve!$G$1:$G$100,4+$C28*24+1+X$9*2))</f>
        <v>0.15915921671585886</v>
      </c>
      <c r="Y28" s="13">
        <f>$G28*SQRT($B28/$B$7)*MAX(0.001,(1-$D28)*INDEX(Curve!$G$1:$G$100,4+($C28-1)*24+1+Y$9*2)+$D28*INDEX(Curve!$G$1:$G$100,4+$C28*24+1+Y$9*2))</f>
        <v>0.14830537441102154</v>
      </c>
      <c r="Z28" s="13">
        <f>$G28*SQRT($B28/$B$7)*MAX(0.001,(1-$D28)*INDEX(Curve!$G$1:$G$100,4+($C28-1)*24+1+Z$9*2)+$D28*INDEX(Curve!$G$1:$G$100,4+$C28*24+1+Z$9*2))</f>
        <v>0.1387586766308499</v>
      </c>
      <c r="AA28" s="13">
        <f>$G28*SQRT($B28/$B$7)*MAX(0.001,(1-$D28)*INDEX(Curve!$G$1:$G$100,4+($C28-1)*24+1+AA$9*2)+$D28*INDEX(Curve!$G$1:$G$100,4+$C28*24+1+AA$9*2))</f>
        <v>0.13026128337276341</v>
      </c>
      <c r="AB28" s="13">
        <f>$G28*SQRT($B28/$B$7)*MAX(0.001,(1-$D28)*INDEX(Curve!$G$1:$G$100,4+($C28-1)*24+1+AB$9*2)+$D28*INDEX(Curve!$G$1:$G$100,4+$C28*24+1+AB$9*2))</f>
        <v>0.12051809388471285</v>
      </c>
      <c r="AC28" s="13">
        <f>$G28*SQRT($B28/$B$7)*MAX(0.001,(1-$D28)*INDEX(Curve!$G$1:$G$100,4+($C28-1)*24+1+AC$9*2)+$D28*INDEX(Curve!$G$1:$G$100,4+$C28*24+1+AC$9*2))</f>
        <v>0.11110136130109712</v>
      </c>
      <c r="AD28" s="13">
        <f>$G28*SQRT($B28/$B$7)*MAX(0.001,(1-$D28)*INDEX(Curve!$G$1:$G$100,4+($C28-1)*24+1+AD$9*2)+$D28*INDEX(Curve!$G$1:$G$100,4+$C28*24+1+AD$9*2))</f>
        <v>9.5053799546991544E-2</v>
      </c>
      <c r="AE28" s="13">
        <f>$G28*SQRT($B28/$B$7)*MAX(0.001,(1-$D28)*INDEX(Curve!$G$1:$G$100,4+($C28-1)*24+1+AE$9*2)+$D28*INDEX(Curve!$G$1:$G$100,4+$C28*24+1+AE$9*2))</f>
        <v>6.2265025213541693E-2</v>
      </c>
      <c r="AF28" s="18">
        <f t="array" ref="AF28">SUMPRODUCT(MAX(ISNUMBER(M28:AD28)*ISNUMBER(N28:AE28)*(M28:AD28&gt;=$B$5)*(N28:AE28&lt;$B$5)*(COLUMN(M28:AD28)-COLUMN(M28)+1)))</f>
        <v>3</v>
      </c>
      <c r="AG28" s="9">
        <f t="shared" si="5"/>
        <v>1.5</v>
      </c>
      <c r="AH28" s="9">
        <f t="shared" si="6"/>
        <v>2</v>
      </c>
      <c r="AI28" s="13">
        <f t="shared" si="7"/>
        <v>0.25812280488444705</v>
      </c>
      <c r="AJ28" s="13">
        <f t="shared" si="8"/>
        <v>0.24973128825346774</v>
      </c>
      <c r="AK28" s="18">
        <f t="shared" si="9"/>
        <v>16</v>
      </c>
    </row>
    <row r="29" spans="1:37" x14ac:dyDescent="0.25">
      <c r="A29" s="12">
        <v>1500</v>
      </c>
      <c r="B29" s="12">
        <v>60</v>
      </c>
      <c r="C29" s="18">
        <f>IFERROR(MIN(MATCH(A29,Parametri!$A$17:$A$19,1),2),1)</f>
        <v>2</v>
      </c>
      <c r="D29" s="13">
        <f>(A29-INDEX(Parametri!$A$17:$A$19,C29))/(INDEX(Parametri!$A$17:$A$19,C29+1)-INDEX(Parametri!$A$17:$A$19,C29))</f>
        <v>1</v>
      </c>
      <c r="E29" s="13">
        <f>(1-D29)*INDEX(Riepilogo!$C$5:$C$7,C29)+D29*INDEX(Riepilogo!$C$5:$C$7,C29+1)</f>
        <v>0.48363350670800842</v>
      </c>
      <c r="F29" s="14">
        <f t="shared" si="0"/>
        <v>4.3527015603720756E-2</v>
      </c>
      <c r="G29" s="23">
        <f t="shared" si="1"/>
        <v>0.95725990143704986</v>
      </c>
      <c r="H29" s="13">
        <f t="shared" si="2"/>
        <v>0.26116209362232456</v>
      </c>
      <c r="I29" s="13">
        <f>SQRT(B29/$B$7)*((1-D29)*INDEX(Riepilogo!$F$5:$F$7,C29)+D29*INDEX(Riepilogo!$F$5:$F$7,C29+1))</f>
        <v>0.1898354550656963</v>
      </c>
      <c r="J29" s="24">
        <f t="shared" si="3"/>
        <v>0.86711479729766627</v>
      </c>
      <c r="K29" s="23">
        <f t="shared" si="4"/>
        <v>9.9954538250635758E-2</v>
      </c>
      <c r="L29" s="5" t="str">
        <f>IF(OR(A29&lt;MIN(Parametri!$A$17:$A$19),A29&gt;MAX(Parametri!$A$17:$A$19),B29&lt;20,B29&gt;60),"L o h fuori campo: estrapolazione",IF(OR($B$4*$B$7/B29&lt;MAX(INDEX(Riepilogo!$H$5:$H$7,C29),INDEX(Riepilogo!$H$5:$H$7,C29+1))*0.99,$B$4*$B$7/B29&gt;MIN(INDEX(Riepilogo!$I$5:$I$7,C29),INDEX(Riepilogo!$I$5:$I$7,C29+1))*1.01),"Q fuori dal campo simulato (estrapolazione)",IF(NOT(ISNUMBER(J29)),"vₜ non raggiunta / &lt; 0,5 m",IF(H29&gt;I29,"vₜ nel plateau/transizione: L poco significativo",IF(J29&gt;Parametri!$B$7,"Oltre x max: troncato dal pavimento",IF(B29=$B$7,"OK","OK (stima per similarità)"))))))</f>
        <v>vₜ nel plateau/transizione: L poco significativo</v>
      </c>
      <c r="M29" s="13">
        <f>$G29*SQRT($B29/$B$7)*MAX(0.001,(1-$D29)*INDEX(Curve!$G$1:$G$100,4+($C29-1)*24+1+M$9*2)+$D29*INDEX(Curve!$G$1:$G$100,4+$C29*24+1+M$9*2))</f>
        <v>0.37808874474069643</v>
      </c>
      <c r="N29" s="13">
        <f>$G29*SQRT($B29/$B$7)*MAX(0.001,(1-$D29)*INDEX(Curve!$G$1:$G$100,4+($C29-1)*24+1+N$9*2)+$D29*INDEX(Curve!$G$1:$G$100,4+$C29*24+1+N$9*2))</f>
        <v>0.22460199049810978</v>
      </c>
      <c r="O29" s="13">
        <f>$G29*SQRT($B29/$B$7)*MAX(0.001,(1-$D29)*INDEX(Curve!$G$1:$G$100,4+($C29-1)*24+1+O$9*2)+$D29*INDEX(Curve!$G$1:$G$100,4+$C29*24+1+O$9*2))</f>
        <v>0.19795204754668058</v>
      </c>
      <c r="P29" s="13">
        <f>$G29*SQRT($B29/$B$7)*MAX(0.001,(1-$D29)*INDEX(Curve!$G$1:$G$100,4+($C29-1)*24+1+P$9*2)+$D29*INDEX(Curve!$G$1:$G$100,4+$C29*24+1+P$9*2))</f>
        <v>0.18690258455970352</v>
      </c>
      <c r="Q29" s="13">
        <f>$G29*SQRT($B29/$B$7)*MAX(0.001,(1-$D29)*INDEX(Curve!$G$1:$G$100,4+($C29-1)*24+1+Q$9*2)+$D29*INDEX(Curve!$G$1:$G$100,4+$C29*24+1+Q$9*2))</f>
        <v>0.18217130191732842</v>
      </c>
      <c r="R29" s="13">
        <f>$G29*SQRT($B29/$B$7)*MAX(0.001,(1-$D29)*INDEX(Curve!$G$1:$G$100,4+($C29-1)*24+1+R$9*2)+$D29*INDEX(Curve!$G$1:$G$100,4+$C29*24+1+R$9*2))</f>
        <v>0.17858392829935268</v>
      </c>
      <c r="S29" s="13">
        <f>$G29*SQRT($B29/$B$7)*MAX(0.001,(1-$D29)*INDEX(Curve!$G$1:$G$100,4+($C29-1)*24+1+S$9*2)+$D29*INDEX(Curve!$G$1:$G$100,4+$C29*24+1+S$9*2))</f>
        <v>0.17428521717116377</v>
      </c>
      <c r="T29" s="13">
        <f>$G29*SQRT($B29/$B$7)*MAX(0.001,(1-$D29)*INDEX(Curve!$G$1:$G$100,4+($C29-1)*24+1+T$9*2)+$D29*INDEX(Curve!$G$1:$G$100,4+$C29*24+1+T$9*2))</f>
        <v>0.16653003714621684</v>
      </c>
      <c r="U29" s="13">
        <f>$G29*SQRT($B29/$B$7)*MAX(0.001,(1-$D29)*INDEX(Curve!$G$1:$G$100,4+($C29-1)*24+1+U$9*2)+$D29*INDEX(Curve!$G$1:$G$100,4+$C29*24+1+U$9*2))</f>
        <v>0.15974787010356437</v>
      </c>
      <c r="V29" s="13">
        <f>$G29*SQRT($B29/$B$7)*MAX(0.001,(1-$D29)*INDEX(Curve!$G$1:$G$100,4+($C29-1)*24+1+V$9*2)+$D29*INDEX(Curve!$G$1:$G$100,4+$C29*24+1+V$9*2))</f>
        <v>0.15359417602099126</v>
      </c>
      <c r="W29" s="13">
        <f>$G29*SQRT($B29/$B$7)*MAX(0.001,(1-$D29)*INDEX(Curve!$G$1:$G$100,4+($C29-1)*24+1+W$9*2)+$D29*INDEX(Curve!$G$1:$G$100,4+$C29*24+1+W$9*2))</f>
        <v>0.14251691939613276</v>
      </c>
      <c r="X29" s="13">
        <f>$G29*SQRT($B29/$B$7)*MAX(0.001,(1-$D29)*INDEX(Curve!$G$1:$G$100,4+($C29-1)*24+1+X$9*2)+$D29*INDEX(Curve!$G$1:$G$100,4+$C29*24+1+X$9*2))</f>
        <v>0.13310400033811964</v>
      </c>
      <c r="Y29" s="13">
        <f>$G29*SQRT($B29/$B$7)*MAX(0.001,(1-$D29)*INDEX(Curve!$G$1:$G$100,4+($C29-1)*24+1+Y$9*2)+$D29*INDEX(Curve!$G$1:$G$100,4+$C29*24+1+Y$9*2))</f>
        <v>0.12499554553238312</v>
      </c>
      <c r="Z29" s="13">
        <f>$G29*SQRT($B29/$B$7)*MAX(0.001,(1-$D29)*INDEX(Curve!$G$1:$G$100,4+($C29-1)*24+1+Z$9*2)+$D29*INDEX(Curve!$G$1:$G$100,4+$C29*24+1+Z$9*2))</f>
        <v>0.11792981986284917</v>
      </c>
      <c r="AA29" s="13">
        <f>$G29*SQRT($B29/$B$7)*MAX(0.001,(1-$D29)*INDEX(Curve!$G$1:$G$100,4+($C29-1)*24+1+AA$9*2)+$D29*INDEX(Curve!$G$1:$G$100,4+$C29*24+1+AA$9*2))</f>
        <v>0.11146925571324307</v>
      </c>
      <c r="AB29" s="13">
        <f>$G29*SQRT($B29/$B$7)*MAX(0.001,(1-$D29)*INDEX(Curve!$G$1:$G$100,4+($C29-1)*24+1+AB$9*2)+$D29*INDEX(Curve!$G$1:$G$100,4+$C29*24+1+AB$9*2))</f>
        <v>0.10367459632922191</v>
      </c>
      <c r="AC29" s="13">
        <f>$G29*SQRT($B29/$B$7)*MAX(0.001,(1-$D29)*INDEX(Curve!$G$1:$G$100,4+($C29-1)*24+1+AC$9*2)+$D29*INDEX(Curve!$G$1:$G$100,4+$C29*24+1+AC$9*2))</f>
        <v>9.5544990263327259E-2</v>
      </c>
      <c r="AD29" s="13">
        <f>$G29*SQRT($B29/$B$7)*MAX(0.001,(1-$D29)*INDEX(Curve!$G$1:$G$100,4+($C29-1)*24+1+AD$9*2)+$D29*INDEX(Curve!$G$1:$G$100,4+$C29*24+1+AD$9*2))</f>
        <v>8.1759698348113308E-2</v>
      </c>
      <c r="AE29" s="13">
        <f>$G29*SQRT($B29/$B$7)*MAX(0.001,(1-$D29)*INDEX(Curve!$G$1:$G$100,4+($C29-1)*24+1+AE$9*2)+$D29*INDEX(Curve!$G$1:$G$100,4+$C29*24+1+AE$9*2))</f>
        <v>5.5586601278657215E-2</v>
      </c>
      <c r="AF29" s="18">
        <f t="array" ref="AF29">SUMPRODUCT(MAX(ISNUMBER(M29:AD29)*ISNUMBER(N29:AE29)*(M29:AD29&gt;=$B$5)*(N29:AE29&lt;$B$5)*(COLUMN(M29:AD29)-COLUMN(M29)+1)))</f>
        <v>1</v>
      </c>
      <c r="AG29" s="9">
        <f t="shared" si="5"/>
        <v>0.5</v>
      </c>
      <c r="AH29" s="9">
        <f t="shared" si="6"/>
        <v>1</v>
      </c>
      <c r="AI29" s="13">
        <f t="shared" si="7"/>
        <v>0.37808874474069643</v>
      </c>
      <c r="AJ29" s="13">
        <f t="shared" si="8"/>
        <v>0.22460199049810978</v>
      </c>
      <c r="AK29" s="18">
        <f t="shared" si="9"/>
        <v>16</v>
      </c>
    </row>
    <row r="32" spans="1:37" ht="25.5" x14ac:dyDescent="0.25">
      <c r="A32" s="22" t="s">
        <v>112</v>
      </c>
    </row>
    <row r="33" spans="1:6" x14ac:dyDescent="0.25">
      <c r="A33" s="4" t="s">
        <v>113</v>
      </c>
      <c r="B33" s="31">
        <f>A10</f>
        <v>500</v>
      </c>
      <c r="C33" s="31">
        <f>A11</f>
        <v>750</v>
      </c>
      <c r="D33" s="31">
        <f>A12</f>
        <v>1000</v>
      </c>
      <c r="E33" s="31">
        <f>A13</f>
        <v>1250</v>
      </c>
      <c r="F33" s="31">
        <f>A14</f>
        <v>1500</v>
      </c>
    </row>
    <row r="34" spans="1:6" x14ac:dyDescent="0.25">
      <c r="A34" s="32">
        <f>B10</f>
        <v>20</v>
      </c>
      <c r="B34" s="23">
        <f>INDEX($J$10:$J$29,1)</f>
        <v>9.1804301779490665</v>
      </c>
      <c r="C34" s="23">
        <f>INDEX($J$10:$J$29,2)</f>
        <v>8.7373024733233766</v>
      </c>
      <c r="D34" s="23">
        <f>INDEX($J$10:$J$29,3)</f>
        <v>8.0779903673894715</v>
      </c>
      <c r="E34" s="23">
        <f>INDEX($J$10:$J$29,4)</f>
        <v>6.6993233370429559</v>
      </c>
      <c r="F34" s="23">
        <f>INDEX($J$10:$J$29,5)</f>
        <v>5.4118166086217832</v>
      </c>
    </row>
    <row r="35" spans="1:6" x14ac:dyDescent="0.25">
      <c r="A35" s="32">
        <f>B15</f>
        <v>30</v>
      </c>
      <c r="B35" s="23">
        <f>INDEX($J$10:$J$29,6)</f>
        <v>8.8222734086091137</v>
      </c>
      <c r="C35" s="23">
        <f>INDEX($J$10:$J$29,7)</f>
        <v>7.7083820145692608</v>
      </c>
      <c r="D35" s="23">
        <f>INDEX($J$10:$J$29,8)</f>
        <v>6.7449069005414906</v>
      </c>
      <c r="E35" s="23">
        <f>INDEX($J$10:$J$29,9)</f>
        <v>5.3152307789071891</v>
      </c>
      <c r="F35" s="23">
        <f>INDEX($J$10:$J$29,10)</f>
        <v>3.1993965150595245</v>
      </c>
    </row>
    <row r="36" spans="1:6" x14ac:dyDescent="0.25">
      <c r="A36" s="32">
        <f>B20</f>
        <v>40</v>
      </c>
      <c r="B36" s="23">
        <f>INDEX($J$10:$J$29,11)</f>
        <v>8.2270888164855265</v>
      </c>
      <c r="C36" s="23">
        <f>INDEX($J$10:$J$29,12)</f>
        <v>6.7061637174502433</v>
      </c>
      <c r="D36" s="23">
        <f>INDEX($J$10:$J$29,13)</f>
        <v>5.8181706266531217</v>
      </c>
      <c r="E36" s="23">
        <f>INDEX($J$10:$J$29,14)</f>
        <v>4.2232599931440111</v>
      </c>
      <c r="F36" s="23">
        <f>INDEX($J$10:$J$29,15)</f>
        <v>1.3592056624966347</v>
      </c>
    </row>
    <row r="37" spans="1:6" x14ac:dyDescent="0.25">
      <c r="A37" s="32">
        <f>B25</f>
        <v>60</v>
      </c>
      <c r="B37" s="23">
        <f>INDEX($J$10:$J$29,16)</f>
        <v>6.8275396061306548</v>
      </c>
      <c r="C37" s="23">
        <f>INDEX($J$10:$J$29,17)</f>
        <v>5.43218836156435</v>
      </c>
      <c r="D37" s="23">
        <f>INDEX($J$10:$J$29,18)</f>
        <v>4.6127770863281814</v>
      </c>
      <c r="E37" s="23">
        <f>INDEX($J$10:$J$29,19)</f>
        <v>1.98136536946195</v>
      </c>
      <c r="F37" s="23">
        <f>INDEX($J$10:$J$29,20)</f>
        <v>0.86711479729766627</v>
      </c>
    </row>
    <row r="39" spans="1:6" ht="25.5" x14ac:dyDescent="0.25">
      <c r="A39" s="22" t="s">
        <v>114</v>
      </c>
    </row>
    <row r="40" spans="1:6" x14ac:dyDescent="0.25">
      <c r="A40" s="4" t="s">
        <v>113</v>
      </c>
      <c r="B40" s="31">
        <f>A10</f>
        <v>500</v>
      </c>
      <c r="C40" s="31">
        <f>A11</f>
        <v>750</v>
      </c>
      <c r="D40" s="31">
        <f>A12</f>
        <v>1000</v>
      </c>
      <c r="E40" s="31">
        <f>A13</f>
        <v>1250</v>
      </c>
      <c r="F40" s="31">
        <f>A14</f>
        <v>1500</v>
      </c>
    </row>
    <row r="41" spans="1:6" x14ac:dyDescent="0.25">
      <c r="A41" s="32">
        <f>B10</f>
        <v>20</v>
      </c>
      <c r="B41" s="23">
        <f>INDEX($K$10:$K$29,1)</f>
        <v>0.3540013572486565</v>
      </c>
      <c r="C41" s="23">
        <f>INDEX($K$10:$K$29,2)</f>
        <v>0.28189766221634927</v>
      </c>
      <c r="D41" s="23">
        <f>INDEX($K$10:$K$29,3)</f>
        <v>0.24424171571876904</v>
      </c>
      <c r="E41" s="23">
        <f>INDEX($K$10:$K$29,4)</f>
        <v>0.20128059909775611</v>
      </c>
      <c r="F41" s="23">
        <f>INDEX($K$10:$K$29,5)</f>
        <v>0.17312633869718794</v>
      </c>
    </row>
    <row r="42" spans="1:6" x14ac:dyDescent="0.25">
      <c r="A42" s="32">
        <f>B15</f>
        <v>30</v>
      </c>
      <c r="B42" s="23">
        <f>INDEX($K$10:$K$29,6)</f>
        <v>0.28904089783730252</v>
      </c>
      <c r="C42" s="23">
        <f>INDEX($K$10:$K$29,7)</f>
        <v>0.23016847737116813</v>
      </c>
      <c r="D42" s="23">
        <f>INDEX($K$10:$K$29,8)</f>
        <v>0.19942252580429659</v>
      </c>
      <c r="E42" s="23">
        <f>INDEX($K$10:$K$29,9)</f>
        <v>0.16434492097040215</v>
      </c>
      <c r="F42" s="23">
        <f>INDEX($K$10:$K$29,10)</f>
        <v>0.14135706361478936</v>
      </c>
    </row>
    <row r="43" spans="1:6" x14ac:dyDescent="0.25">
      <c r="A43" s="32">
        <f>B20</f>
        <v>40</v>
      </c>
      <c r="B43" s="23">
        <f>INDEX($K$10:$K$29,11)</f>
        <v>0.25031676025976657</v>
      </c>
      <c r="C43" s="23">
        <f>INDEX($K$10:$K$29,12)</f>
        <v>0.19933174855381533</v>
      </c>
      <c r="D43" s="23">
        <f>INDEX($K$10:$K$29,13)</f>
        <v>0.17270497343337859</v>
      </c>
      <c r="E43" s="23">
        <f>INDEX($K$10:$K$29,14)</f>
        <v>0.14232687654331419</v>
      </c>
      <c r="F43" s="23">
        <f>INDEX($K$10:$K$29,15)</f>
        <v>0.12241880809478058</v>
      </c>
    </row>
    <row r="44" spans="1:6" x14ac:dyDescent="0.25">
      <c r="A44" s="32">
        <f>B25</f>
        <v>60</v>
      </c>
      <c r="B44" s="23">
        <f>INDEX($K$10:$K$29,16)</f>
        <v>0.20438277890100465</v>
      </c>
      <c r="C44" s="23">
        <f>INDEX($K$10:$K$29,17)</f>
        <v>0.16275369116453536</v>
      </c>
      <c r="D44" s="23">
        <f>INDEX($K$10:$K$29,18)</f>
        <v>0.14101302031756738</v>
      </c>
      <c r="E44" s="23">
        <f>INDEX($K$10:$K$29,19)</f>
        <v>0.11620940807173862</v>
      </c>
      <c r="F44" s="23">
        <f>INDEX($K$10:$K$29,20)</f>
        <v>9.9954538250635758E-2</v>
      </c>
    </row>
    <row r="46" spans="1:6" x14ac:dyDescent="0.25">
      <c r="A46" s="3" t="s">
        <v>115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500-000002000000}">
            <xm:f>M$9&gt;Parametri!$B$7</xm:f>
            <x14:dxf>
              <fill>
                <patternFill>
                  <bgColor rgb="FFD9D9D9"/>
                </patternFill>
              </fill>
            </x14:dxf>
          </x14:cfRule>
          <xm:sqref>M10:AE29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65911"/>
  </sheetPr>
  <dimension ref="A1:AK39"/>
  <sheetViews>
    <sheetView tabSelected="1" zoomScaleNormal="100" workbookViewId="0">
      <pane ySplit="4" topLeftCell="A5" activePane="bottomLeft" state="frozen"/>
      <selection pane="bottomLeft" activeCell="D23" sqref="D23"/>
    </sheetView>
  </sheetViews>
  <sheetFormatPr defaultColWidth="8.7109375" defaultRowHeight="15" x14ac:dyDescent="0.25"/>
  <cols>
    <col min="1" max="1" width="40" customWidth="1"/>
    <col min="2" max="2" width="16" customWidth="1"/>
    <col min="3" max="5" width="14" customWidth="1"/>
    <col min="6" max="6" width="54" customWidth="1"/>
    <col min="7" max="34" width="8" customWidth="1"/>
  </cols>
  <sheetData>
    <row r="1" spans="1:2" ht="18" x14ac:dyDescent="0.25">
      <c r="A1" s="2" t="s">
        <v>116</v>
      </c>
    </row>
    <row r="2" spans="1:2" x14ac:dyDescent="0.25">
      <c r="A2" s="3" t="s">
        <v>117</v>
      </c>
    </row>
    <row r="4" spans="1:2" x14ac:dyDescent="0.25">
      <c r="A4" s="16" t="s">
        <v>74</v>
      </c>
      <c r="B4" s="12">
        <v>1500</v>
      </c>
    </row>
    <row r="5" spans="1:2" x14ac:dyDescent="0.25">
      <c r="A5" s="16" t="s">
        <v>48</v>
      </c>
      <c r="B5" s="12">
        <v>450</v>
      </c>
    </row>
    <row r="6" spans="1:2" x14ac:dyDescent="0.25">
      <c r="A6" s="16" t="s">
        <v>49</v>
      </c>
      <c r="B6" s="17">
        <f>H_Parametri!B8</f>
        <v>0.25</v>
      </c>
    </row>
    <row r="7" spans="1:2" x14ac:dyDescent="0.25">
      <c r="A7" s="16" t="s">
        <v>118</v>
      </c>
      <c r="B7" s="33">
        <f>H_Parametri!B7</f>
        <v>5</v>
      </c>
    </row>
    <row r="9" spans="1:2" x14ac:dyDescent="0.25">
      <c r="A9" s="22" t="s">
        <v>75</v>
      </c>
    </row>
    <row r="10" spans="1:2" x14ac:dyDescent="0.25">
      <c r="A10" s="16" t="s">
        <v>119</v>
      </c>
      <c r="B10" s="30">
        <f>H_Parametri!B10</f>
        <v>3</v>
      </c>
    </row>
    <row r="11" spans="1:2" x14ac:dyDescent="0.25">
      <c r="A11" s="16" t="s">
        <v>76</v>
      </c>
      <c r="B11" s="18">
        <f>IFERROR(MAX(1,MIN(MATCH(B4,H_Parametri!$A$14:$A$16,1),B10-1)),1)</f>
        <v>2</v>
      </c>
    </row>
    <row r="12" spans="1:2" x14ac:dyDescent="0.25">
      <c r="A12" s="16" t="s">
        <v>77</v>
      </c>
      <c r="B12" s="18">
        <f>INDEX(H_Parametri!$A$14:$A$16,B11)</f>
        <v>1000</v>
      </c>
    </row>
    <row r="13" spans="1:2" x14ac:dyDescent="0.25">
      <c r="A13" s="16" t="s">
        <v>78</v>
      </c>
      <c r="B13" s="18">
        <f>INDEX(H_Parametri!$A$14:$A$16,B11+1)</f>
        <v>1500</v>
      </c>
    </row>
    <row r="14" spans="1:2" x14ac:dyDescent="0.25">
      <c r="A14" s="16" t="s">
        <v>79</v>
      </c>
      <c r="B14" s="13">
        <f>(B4-B12)/(B13-B12)</f>
        <v>1</v>
      </c>
    </row>
    <row r="15" spans="1:2" x14ac:dyDescent="0.25">
      <c r="A15" s="16" t="s">
        <v>120</v>
      </c>
      <c r="B15" s="18">
        <f>IFERROR((1-B14)*INDEX(H_Parametri!$E$14:$E$16,B11)+B14*INDEX(H_Parametri!$E$14:$E$16,B11+1),0)</f>
        <v>80</v>
      </c>
    </row>
    <row r="16" spans="1:2" x14ac:dyDescent="0.25">
      <c r="A16" s="16" t="s">
        <v>121</v>
      </c>
      <c r="B16" s="18">
        <f>IFERROR((1-B14)*INDEX(H_Parametri!$F$14:$F$16,B11)+B14*INDEX(H_Parametri!$F$14:$F$16,B11+1),1000000000)</f>
        <v>450</v>
      </c>
    </row>
    <row r="17" spans="1:37" x14ac:dyDescent="0.25">
      <c r="A17" s="16" t="s">
        <v>122</v>
      </c>
      <c r="B17" s="33">
        <f>H_Parametri!B7</f>
        <v>5</v>
      </c>
    </row>
    <row r="18" spans="1:37" x14ac:dyDescent="0.25">
      <c r="A18" s="16" t="s">
        <v>85</v>
      </c>
      <c r="B18" s="29" t="str">
        <f>IF(B10&lt;2,"Servono dati per almeno 2 lunghezze (vedi H_Parametri)",IF(OR(B4&lt;INDEX(H_Parametri!$A$14:$A$16,1),B4&gt;INDEX(H_Parametri!$A$14:$A$16,H_Parametri!$B$10)),"ESTRAPOLAZIONE: L fuori "&amp;INDEX(H_Parametri!$A$14:$A$16,1)&amp;"–"&amp;INDEX(H_Parametri!$A$14:$A$16,H_Parametri!$B$10)&amp;" mm, non validato","Interpolazione tra L = "&amp;B12&amp;" e "&amp;B13&amp;" mm"))</f>
        <v>Interpolazione tra L = 1000 e 1500 mm</v>
      </c>
    </row>
    <row r="20" spans="1:37" x14ac:dyDescent="0.25">
      <c r="A20" s="22" t="s">
        <v>54</v>
      </c>
    </row>
    <row r="21" spans="1:37" x14ac:dyDescent="0.25">
      <c r="A21" s="16" t="s">
        <v>55</v>
      </c>
      <c r="B21" s="23">
        <f>B29</f>
        <v>5.6323147701726404</v>
      </c>
    </row>
    <row r="22" spans="1:37" x14ac:dyDescent="0.25">
      <c r="A22" s="16" t="s">
        <v>123</v>
      </c>
      <c r="B22" s="14">
        <f>IFERROR(A29/3600/B29,"")</f>
        <v>2.2193361894823311E-2</v>
      </c>
    </row>
    <row r="23" spans="1:37" x14ac:dyDescent="0.25">
      <c r="A23" s="16" t="s">
        <v>56</v>
      </c>
      <c r="B23" s="24">
        <f>D29</f>
        <v>5.4128725232395549</v>
      </c>
    </row>
    <row r="24" spans="1:37" x14ac:dyDescent="0.25">
      <c r="A24" s="16" t="s">
        <v>124</v>
      </c>
      <c r="B24" s="23">
        <f>E29</f>
        <v>0.35016732690785796</v>
      </c>
    </row>
    <row r="25" spans="1:37" ht="25.5" x14ac:dyDescent="0.25">
      <c r="A25" s="16" t="s">
        <v>125</v>
      </c>
      <c r="B25" s="18" t="str">
        <f>AI29</f>
        <v>&gt; 300</v>
      </c>
    </row>
    <row r="26" spans="1:37" x14ac:dyDescent="0.25">
      <c r="A26" s="16" t="s">
        <v>58</v>
      </c>
      <c r="B26" s="29" t="str">
        <f>F29</f>
        <v>Oltre x max: influenzato dalla parete</v>
      </c>
    </row>
    <row r="28" spans="1:37" ht="38.25" x14ac:dyDescent="0.25">
      <c r="A28" s="4" t="s">
        <v>59</v>
      </c>
      <c r="B28" s="4" t="s">
        <v>60</v>
      </c>
      <c r="C28" s="4" t="s">
        <v>61</v>
      </c>
      <c r="D28" s="4" t="s">
        <v>62</v>
      </c>
      <c r="E28" s="4" t="s">
        <v>126</v>
      </c>
      <c r="F28" s="4" t="s">
        <v>58</v>
      </c>
      <c r="G28" s="26">
        <v>0.5</v>
      </c>
      <c r="H28" s="26">
        <v>1</v>
      </c>
      <c r="I28" s="26">
        <v>1.5</v>
      </c>
      <c r="J28" s="26">
        <v>2</v>
      </c>
      <c r="K28" s="26">
        <v>2.5</v>
      </c>
      <c r="L28" s="26">
        <v>3</v>
      </c>
      <c r="M28" s="26">
        <v>3.5</v>
      </c>
      <c r="N28" s="26">
        <v>4</v>
      </c>
      <c r="O28" s="26">
        <v>4.5</v>
      </c>
      <c r="P28" s="26">
        <v>5</v>
      </c>
      <c r="Q28" s="26">
        <v>5.5</v>
      </c>
      <c r="R28" s="4" t="s">
        <v>64</v>
      </c>
      <c r="S28" s="4" t="s">
        <v>65</v>
      </c>
      <c r="T28" s="4" t="s">
        <v>66</v>
      </c>
      <c r="U28" s="4" t="s">
        <v>67</v>
      </c>
      <c r="V28" s="4" t="s">
        <v>68</v>
      </c>
      <c r="W28" s="4" t="s">
        <v>127</v>
      </c>
      <c r="X28" s="4" t="s">
        <v>128</v>
      </c>
      <c r="Y28" s="4" t="s">
        <v>129</v>
      </c>
      <c r="Z28" s="4" t="s">
        <v>130</v>
      </c>
      <c r="AA28" s="4" t="s">
        <v>131</v>
      </c>
      <c r="AB28" s="4" t="s">
        <v>132</v>
      </c>
      <c r="AC28" s="4" t="s">
        <v>133</v>
      </c>
      <c r="AD28" s="4" t="s">
        <v>134</v>
      </c>
      <c r="AE28" s="4" t="s">
        <v>135</v>
      </c>
      <c r="AF28" s="4" t="s">
        <v>136</v>
      </c>
      <c r="AG28" s="4" t="s">
        <v>137</v>
      </c>
      <c r="AH28" s="4" t="s">
        <v>138</v>
      </c>
      <c r="AI28" s="4" t="s">
        <v>139</v>
      </c>
      <c r="AJ28" s="4" t="s">
        <v>140</v>
      </c>
      <c r="AK28" s="4" t="s">
        <v>141</v>
      </c>
    </row>
    <row r="29" spans="1:37" x14ac:dyDescent="0.25">
      <c r="A29" s="18">
        <f>B5</f>
        <v>450</v>
      </c>
      <c r="B29" s="23">
        <f t="shared" ref="B29:B37" si="0">IF(OR(A29="",NOT(ISNUMBER(AH29)),N(A29)&lt;=0),"",A29*AH29)</f>
        <v>5.6323147701726404</v>
      </c>
      <c r="C29" s="13">
        <f t="shared" ref="C29:C37" si="1">IF(B29="","",$B$6/B29)</f>
        <v>4.4386723789646622E-2</v>
      </c>
      <c r="D29" s="23">
        <f t="shared" ref="D29:D37" si="2">IF(B29="","",IF(S29="",IF(ISNUMBER(G29),IF(G29&lt;$B$6,"&lt; 0,5",IF(COUNTIFS(G$28:Q$28,"&lt;="&amp;$B$17,G29:Q29,"&gt;=0")=COUNTIF(G$28:Q$28,"&lt;="&amp;$B$17),"&gt; x max","n.d.")),"n.d."),EXP(LN(S29)+(LN($B$6)-LN(U29))*(LN(T29)-LN(S29))/(LN(V29)-LN(U29)))))</f>
        <v>5.4128725232395549</v>
      </c>
      <c r="E29" s="23">
        <f t="shared" ref="E29:E37" si="3">IF(OR(B29="",W29=""),"",IFERROR(IF(INDEX(G$28:Q$28,W29)=$B$7,INDEX(G29:Q29,W29),EXP(LN(INDEX(G29:Q29,W29))+(LN($B$7)-LN(INDEX(G$28:Q$28,W29)))*(LN(INDEX(G29:Q29,W29+1))-LN(INDEX(G29:Q29,W29)))/(LN(INDEX(G$28:Q$28,W29+1))-LN(INDEX(G$28:Q$28,W29))))),""))</f>
        <v>0.35016732690785796</v>
      </c>
      <c r="F29" s="5" t="str">
        <f>IF(B29="","",IF(OR($B$10&lt;2,$B$4&lt;INDEX(H_Parametri!$A$14:$A$16,1),$B$4&gt;INDEX(H_Parametri!$A$14:$A$16,H_Parametri!$B$10)),"L fuori campo: estrapolazione",IF(OR(A29&lt;$B$15*0.99,A29&gt;$B$16*1.01),"Q fuori dal campo dei dati (estrapolazione)",IF(D29="&gt; x max","Il getto raggiunge la parete (lancio &gt; x max)",IF(D29="n.d.","Dati CFD non coprono tutta la distanza (curva incompleta)",IF(NOT(ISNUMBER(D29)),"vₜ non raggiunta / &lt; 0,5 m",IF(IFERROR(C29&gt;INDEX(G29:Q29,ROUND(H_Parametri!$B$9*2,0))/B29,FALSE()),"vₜ nel campo vicino (x &lt; "&amp;H_Parametri!$B$9&amp;" m): lancio poco significativo",IF(D29&gt;$B$17,"Oltre x max: influenzato dalla parete","OK"))))))))</f>
        <v>Oltre x max: influenzato dalla parete</v>
      </c>
      <c r="G29" s="13">
        <f>IF(B29="","",IFERROR(MAX(0.0001,$A29*(IF($B$14=0,INDEX(H_Parametri!$A$14:$A$16,$B$11)/1000*IF($AB29=0,INDEX(H_Curve!$B$1:$F$100,4+($B$11-1)*17+3+G$28*2,$Z29),(1-$AB29)*INDEX(H_Curve!$B$1:$F$100,4+($B$11-1)*17+3+G$28*2,$Z29)+$AB29*INDEX(H_Curve!$B$1:$F$100,4+($B$11-1)*17+3+G$28*2,$AA29)),IF($B$14=1,INDEX(H_Parametri!$A$14:$A$16,$B$11+1)/1000*IF($AG29=0,INDEX(H_Curve!$B$1:$F$100,4+($B$11)*17+3+G$28*2,$AE29),(1-$AG29)*INDEX(H_Curve!$B$1:$F$100,4+($B$11)*17+3+G$28*2,$AE29)+$AG29*INDEX(H_Curve!$B$1:$F$100,4+($B$11)*17+3+G$28*2,$AF29)),(1-$B$14)*INDEX(H_Parametri!$A$14:$A$16,$B$11)/1000*IF($AB29=0,INDEX(H_Curve!$B$1:$F$100,4+($B$11-1)*17+3+G$28*2,$Z29),(1-$AB29)*INDEX(H_Curve!$B$1:$F$100,4+($B$11-1)*17+3+G$28*2,$Z29)+$AB29*INDEX(H_Curve!$B$1:$F$100,4+($B$11-1)*17+3+G$28*2,$AA29))+$B$14*INDEX(H_Parametri!$A$14:$A$16,$B$11+1)/1000*IF($AG29=0,INDEX(H_Curve!$B$1:$F$100,4+($B$11)*17+3+G$28*2,$AE29),(1-$AG29)*INDEX(H_Curve!$B$1:$F$100,4+($B$11)*17+3+G$28*2,$AE29)+$AG29*INDEX(H_Curve!$B$1:$F$100,4+($B$11)*17+3+G$28*2,$AF29)))))/($B$4/1000)),""))</f>
        <v>0.97519854937273587</v>
      </c>
      <c r="H29" s="13">
        <f>IF(B29="","",IFERROR(MAX(0.0001,$A29*(IF($B$14=0,INDEX(H_Parametri!$A$14:$A$16,$B$11)/1000*IF($AB29=0,INDEX(H_Curve!$B$1:$F$100,4+($B$11-1)*17+3+H$28*2,$Z29),(1-$AB29)*INDEX(H_Curve!$B$1:$F$100,4+($B$11-1)*17+3+H$28*2,$Z29)+$AB29*INDEX(H_Curve!$B$1:$F$100,4+($B$11-1)*17+3+H$28*2,$AA29)),IF($B$14=1,INDEX(H_Parametri!$A$14:$A$16,$B$11+1)/1000*IF($AG29=0,INDEX(H_Curve!$B$1:$F$100,4+($B$11)*17+3+H$28*2,$AE29),(1-$AG29)*INDEX(H_Curve!$B$1:$F$100,4+($B$11)*17+3+H$28*2,$AE29)+$AG29*INDEX(H_Curve!$B$1:$F$100,4+($B$11)*17+3+H$28*2,$AF29)),(1-$B$14)*INDEX(H_Parametri!$A$14:$A$16,$B$11)/1000*IF($AB29=0,INDEX(H_Curve!$B$1:$F$100,4+($B$11-1)*17+3+H$28*2,$Z29),(1-$AB29)*INDEX(H_Curve!$B$1:$F$100,4+($B$11-1)*17+3+H$28*2,$Z29)+$AB29*INDEX(H_Curve!$B$1:$F$100,4+($B$11-1)*17+3+H$28*2,$AA29))+$B$14*INDEX(H_Parametri!$A$14:$A$16,$B$11+1)/1000*IF($AG29=0,INDEX(H_Curve!$B$1:$F$100,4+($B$11)*17+3+H$28*2,$AE29),(1-$AG29)*INDEX(H_Curve!$B$1:$F$100,4+($B$11)*17+3+H$28*2,$AE29)+$AG29*INDEX(H_Curve!$B$1:$F$100,4+($B$11)*17+3+H$28*2,$AF29)))))/($B$4/1000)),""))</f>
        <v>0.86115879620674829</v>
      </c>
      <c r="I29" s="13">
        <f>IF(B29="","",IFERROR(MAX(0.0001,$A29*(IF($B$14=0,INDEX(H_Parametri!$A$14:$A$16,$B$11)/1000*IF($AB29=0,INDEX(H_Curve!$B$1:$F$100,4+($B$11-1)*17+3+I$28*2,$Z29),(1-$AB29)*INDEX(H_Curve!$B$1:$F$100,4+($B$11-1)*17+3+I$28*2,$Z29)+$AB29*INDEX(H_Curve!$B$1:$F$100,4+($B$11-1)*17+3+I$28*2,$AA29)),IF($B$14=1,INDEX(H_Parametri!$A$14:$A$16,$B$11+1)/1000*IF($AG29=0,INDEX(H_Curve!$B$1:$F$100,4+($B$11)*17+3+I$28*2,$AE29),(1-$AG29)*INDEX(H_Curve!$B$1:$F$100,4+($B$11)*17+3+I$28*2,$AE29)+$AG29*INDEX(H_Curve!$B$1:$F$100,4+($B$11)*17+3+I$28*2,$AF29)),(1-$B$14)*INDEX(H_Parametri!$A$14:$A$16,$B$11)/1000*IF($AB29=0,INDEX(H_Curve!$B$1:$F$100,4+($B$11-1)*17+3+I$28*2,$Z29),(1-$AB29)*INDEX(H_Curve!$B$1:$F$100,4+($B$11-1)*17+3+I$28*2,$Z29)+$AB29*INDEX(H_Curve!$B$1:$F$100,4+($B$11-1)*17+3+I$28*2,$AA29))+$B$14*INDEX(H_Parametri!$A$14:$A$16,$B$11+1)/1000*IF($AG29=0,INDEX(H_Curve!$B$1:$F$100,4+($B$11)*17+3+I$28*2,$AE29),(1-$AG29)*INDEX(H_Curve!$B$1:$F$100,4+($B$11)*17+3+I$28*2,$AE29)+$AG29*INDEX(H_Curve!$B$1:$F$100,4+($B$11)*17+3+I$28*2,$AF29)))))/($B$4/1000)),""))</f>
        <v>0.86943516054562509</v>
      </c>
      <c r="J29" s="13">
        <f>IF(B29="","",IFERROR(MAX(0.0001,$A29*(IF($B$14=0,INDEX(H_Parametri!$A$14:$A$16,$B$11)/1000*IF($AB29=0,INDEX(H_Curve!$B$1:$F$100,4+($B$11-1)*17+3+J$28*2,$Z29),(1-$AB29)*INDEX(H_Curve!$B$1:$F$100,4+($B$11-1)*17+3+J$28*2,$Z29)+$AB29*INDEX(H_Curve!$B$1:$F$100,4+($B$11-1)*17+3+J$28*2,$AA29)),IF($B$14=1,INDEX(H_Parametri!$A$14:$A$16,$B$11+1)/1000*IF($AG29=0,INDEX(H_Curve!$B$1:$F$100,4+($B$11)*17+3+J$28*2,$AE29),(1-$AG29)*INDEX(H_Curve!$B$1:$F$100,4+($B$11)*17+3+J$28*2,$AE29)+$AG29*INDEX(H_Curve!$B$1:$F$100,4+($B$11)*17+3+J$28*2,$AF29)),(1-$B$14)*INDEX(H_Parametri!$A$14:$A$16,$B$11)/1000*IF($AB29=0,INDEX(H_Curve!$B$1:$F$100,4+($B$11-1)*17+3+J$28*2,$Z29),(1-$AB29)*INDEX(H_Curve!$B$1:$F$100,4+($B$11-1)*17+3+J$28*2,$Z29)+$AB29*INDEX(H_Curve!$B$1:$F$100,4+($B$11-1)*17+3+J$28*2,$AA29))+$B$14*INDEX(H_Parametri!$A$14:$A$16,$B$11+1)/1000*IF($AG29=0,INDEX(H_Curve!$B$1:$F$100,4+($B$11)*17+3+J$28*2,$AE29),(1-$AG29)*INDEX(H_Curve!$B$1:$F$100,4+($B$11)*17+3+J$28*2,$AE29)+$AG29*INDEX(H_Curve!$B$1:$F$100,4+($B$11)*17+3+J$28*2,$AF29)))))/($B$4/1000)),""))</f>
        <v>0.85923883494590758</v>
      </c>
      <c r="K29" s="13">
        <f>IF(B29="","",IFERROR(MAX(0.0001,$A29*(IF($B$14=0,INDEX(H_Parametri!$A$14:$A$16,$B$11)/1000*IF($AB29=0,INDEX(H_Curve!$B$1:$F$100,4+($B$11-1)*17+3+K$28*2,$Z29),(1-$AB29)*INDEX(H_Curve!$B$1:$F$100,4+($B$11-1)*17+3+K$28*2,$Z29)+$AB29*INDEX(H_Curve!$B$1:$F$100,4+($B$11-1)*17+3+K$28*2,$AA29)),IF($B$14=1,INDEX(H_Parametri!$A$14:$A$16,$B$11+1)/1000*IF($AG29=0,INDEX(H_Curve!$B$1:$F$100,4+($B$11)*17+3+K$28*2,$AE29),(1-$AG29)*INDEX(H_Curve!$B$1:$F$100,4+($B$11)*17+3+K$28*2,$AE29)+$AG29*INDEX(H_Curve!$B$1:$F$100,4+($B$11)*17+3+K$28*2,$AF29)),(1-$B$14)*INDEX(H_Parametri!$A$14:$A$16,$B$11)/1000*IF($AB29=0,INDEX(H_Curve!$B$1:$F$100,4+($B$11-1)*17+3+K$28*2,$Z29),(1-$AB29)*INDEX(H_Curve!$B$1:$F$100,4+($B$11-1)*17+3+K$28*2,$Z29)+$AB29*INDEX(H_Curve!$B$1:$F$100,4+($B$11-1)*17+3+K$28*2,$AA29))+$B$14*INDEX(H_Parametri!$A$14:$A$16,$B$11+1)/1000*IF($AG29=0,INDEX(H_Curve!$B$1:$F$100,4+($B$11)*17+3+K$28*2,$AE29),(1-$AG29)*INDEX(H_Curve!$B$1:$F$100,4+($B$11)*17+3+K$28*2,$AE29)+$AG29*INDEX(H_Curve!$B$1:$F$100,4+($B$11)*17+3+K$28*2,$AF29)))))/($B$4/1000)),""))</f>
        <v>0.82193289211223297</v>
      </c>
      <c r="L29" s="13">
        <f>IF(B29="","",IFERROR(MAX(0.0001,$A29*(IF($B$14=0,INDEX(H_Parametri!$A$14:$A$16,$B$11)/1000*IF($AB29=0,INDEX(H_Curve!$B$1:$F$100,4+($B$11-1)*17+3+L$28*2,$Z29),(1-$AB29)*INDEX(H_Curve!$B$1:$F$100,4+($B$11-1)*17+3+L$28*2,$Z29)+$AB29*INDEX(H_Curve!$B$1:$F$100,4+($B$11-1)*17+3+L$28*2,$AA29)),IF($B$14=1,INDEX(H_Parametri!$A$14:$A$16,$B$11+1)/1000*IF($AG29=0,INDEX(H_Curve!$B$1:$F$100,4+($B$11)*17+3+L$28*2,$AE29),(1-$AG29)*INDEX(H_Curve!$B$1:$F$100,4+($B$11)*17+3+L$28*2,$AE29)+$AG29*INDEX(H_Curve!$B$1:$F$100,4+($B$11)*17+3+L$28*2,$AF29)),(1-$B$14)*INDEX(H_Parametri!$A$14:$A$16,$B$11)/1000*IF($AB29=0,INDEX(H_Curve!$B$1:$F$100,4+($B$11-1)*17+3+L$28*2,$Z29),(1-$AB29)*INDEX(H_Curve!$B$1:$F$100,4+($B$11-1)*17+3+L$28*2,$Z29)+$AB29*INDEX(H_Curve!$B$1:$F$100,4+($B$11-1)*17+3+L$28*2,$AA29))+$B$14*INDEX(H_Parametri!$A$14:$A$16,$B$11+1)/1000*IF($AG29=0,INDEX(H_Curve!$B$1:$F$100,4+($B$11)*17+3+L$28*2,$AE29),(1-$AG29)*INDEX(H_Curve!$B$1:$F$100,4+($B$11)*17+3+L$28*2,$AE29)+$AG29*INDEX(H_Curve!$B$1:$F$100,4+($B$11)*17+3+L$28*2,$AF29)))))/($B$4/1000)),""))</f>
        <v>0.75779136775269029</v>
      </c>
      <c r="M29" s="13">
        <f>IF(B29="","",IFERROR(MAX(0.0001,$A29*(IF($B$14=0,INDEX(H_Parametri!$A$14:$A$16,$B$11)/1000*IF($AB29=0,INDEX(H_Curve!$B$1:$F$100,4+($B$11-1)*17+3+M$28*2,$Z29),(1-$AB29)*INDEX(H_Curve!$B$1:$F$100,4+($B$11-1)*17+3+M$28*2,$Z29)+$AB29*INDEX(H_Curve!$B$1:$F$100,4+($B$11-1)*17+3+M$28*2,$AA29)),IF($B$14=1,INDEX(H_Parametri!$A$14:$A$16,$B$11+1)/1000*IF($AG29=0,INDEX(H_Curve!$B$1:$F$100,4+($B$11)*17+3+M$28*2,$AE29),(1-$AG29)*INDEX(H_Curve!$B$1:$F$100,4+($B$11)*17+3+M$28*2,$AE29)+$AG29*INDEX(H_Curve!$B$1:$F$100,4+($B$11)*17+3+M$28*2,$AF29)),(1-$B$14)*INDEX(H_Parametri!$A$14:$A$16,$B$11)/1000*IF($AB29=0,INDEX(H_Curve!$B$1:$F$100,4+($B$11-1)*17+3+M$28*2,$Z29),(1-$AB29)*INDEX(H_Curve!$B$1:$F$100,4+($B$11-1)*17+3+M$28*2,$Z29)+$AB29*INDEX(H_Curve!$B$1:$F$100,4+($B$11-1)*17+3+M$28*2,$AA29))+$B$14*INDEX(H_Parametri!$A$14:$A$16,$B$11+1)/1000*IF($AG29=0,INDEX(H_Curve!$B$1:$F$100,4+($B$11)*17+3+M$28*2,$AE29),(1-$AG29)*INDEX(H_Curve!$B$1:$F$100,4+($B$11)*17+3+M$28*2,$AE29)+$AG29*INDEX(H_Curve!$B$1:$F$100,4+($B$11)*17+3+M$28*2,$AF29)))))/($B$4/1000)),""))</f>
        <v>0.61520953957079783</v>
      </c>
      <c r="N29" s="13">
        <f>IF(B29="","",IFERROR(MAX(0.0001,$A29*(IF($B$14=0,INDEX(H_Parametri!$A$14:$A$16,$B$11)/1000*IF($AB29=0,INDEX(H_Curve!$B$1:$F$100,4+($B$11-1)*17+3+N$28*2,$Z29),(1-$AB29)*INDEX(H_Curve!$B$1:$F$100,4+($B$11-1)*17+3+N$28*2,$Z29)+$AB29*INDEX(H_Curve!$B$1:$F$100,4+($B$11-1)*17+3+N$28*2,$AA29)),IF($B$14=1,INDEX(H_Parametri!$A$14:$A$16,$B$11+1)/1000*IF($AG29=0,INDEX(H_Curve!$B$1:$F$100,4+($B$11)*17+3+N$28*2,$AE29),(1-$AG29)*INDEX(H_Curve!$B$1:$F$100,4+($B$11)*17+3+N$28*2,$AE29)+$AG29*INDEX(H_Curve!$B$1:$F$100,4+($B$11)*17+3+N$28*2,$AF29)),(1-$B$14)*INDEX(H_Parametri!$A$14:$A$16,$B$11)/1000*IF($AB29=0,INDEX(H_Curve!$B$1:$F$100,4+($B$11-1)*17+3+N$28*2,$Z29),(1-$AB29)*INDEX(H_Curve!$B$1:$F$100,4+($B$11-1)*17+3+N$28*2,$Z29)+$AB29*INDEX(H_Curve!$B$1:$F$100,4+($B$11-1)*17+3+N$28*2,$AA29))+$B$14*INDEX(H_Parametri!$A$14:$A$16,$B$11+1)/1000*IF($AG29=0,INDEX(H_Curve!$B$1:$F$100,4+($B$11)*17+3+N$28*2,$AE29),(1-$AG29)*INDEX(H_Curve!$B$1:$F$100,4+($B$11)*17+3+N$28*2,$AE29)+$AG29*INDEX(H_Curve!$B$1:$F$100,4+($B$11)*17+3+N$28*2,$AF29)))))/($B$4/1000)),""))</f>
        <v>0.45375946244507692</v>
      </c>
      <c r="O29" s="13">
        <f>IF(B29="","",IFERROR(MAX(0.0001,$A29*(IF($B$14=0,INDEX(H_Parametri!$A$14:$A$16,$B$11)/1000*IF($AB29=0,INDEX(H_Curve!$B$1:$F$100,4+($B$11-1)*17+3+O$28*2,$Z29),(1-$AB29)*INDEX(H_Curve!$B$1:$F$100,4+($B$11-1)*17+3+O$28*2,$Z29)+$AB29*INDEX(H_Curve!$B$1:$F$100,4+($B$11-1)*17+3+O$28*2,$AA29)),IF($B$14=1,INDEX(H_Parametri!$A$14:$A$16,$B$11+1)/1000*IF($AG29=0,INDEX(H_Curve!$B$1:$F$100,4+($B$11)*17+3+O$28*2,$AE29),(1-$AG29)*INDEX(H_Curve!$B$1:$F$100,4+($B$11)*17+3+O$28*2,$AE29)+$AG29*INDEX(H_Curve!$B$1:$F$100,4+($B$11)*17+3+O$28*2,$AF29)),(1-$B$14)*INDEX(H_Parametri!$A$14:$A$16,$B$11)/1000*IF($AB29=0,INDEX(H_Curve!$B$1:$F$100,4+($B$11-1)*17+3+O$28*2,$Z29),(1-$AB29)*INDEX(H_Curve!$B$1:$F$100,4+($B$11-1)*17+3+O$28*2,$Z29)+$AB29*INDEX(H_Curve!$B$1:$F$100,4+($B$11-1)*17+3+O$28*2,$AA29))+$B$14*INDEX(H_Parametri!$A$14:$A$16,$B$11+1)/1000*IF($AG29=0,INDEX(H_Curve!$B$1:$F$100,4+($B$11)*17+3+O$28*2,$AE29),(1-$AG29)*INDEX(H_Curve!$B$1:$F$100,4+($B$11)*17+3+O$28*2,$AE29)+$AG29*INDEX(H_Curve!$B$1:$F$100,4+($B$11)*17+3+O$28*2,$AF29)))))/($B$4/1000)),""))</f>
        <v>0.37812881874363774</v>
      </c>
      <c r="P29" s="13">
        <f>IF(B29="","",IFERROR(MAX(0.0001,$A29*(IF($B$14=0,INDEX(H_Parametri!$A$14:$A$16,$B$11)/1000*IF($AB29=0,INDEX(H_Curve!$B$1:$F$100,4+($B$11-1)*17+3+P$28*2,$Z29),(1-$AB29)*INDEX(H_Curve!$B$1:$F$100,4+($B$11-1)*17+3+P$28*2,$Z29)+$AB29*INDEX(H_Curve!$B$1:$F$100,4+($B$11-1)*17+3+P$28*2,$AA29)),IF($B$14=1,INDEX(H_Parametri!$A$14:$A$16,$B$11+1)/1000*IF($AG29=0,INDEX(H_Curve!$B$1:$F$100,4+($B$11)*17+3+P$28*2,$AE29),(1-$AG29)*INDEX(H_Curve!$B$1:$F$100,4+($B$11)*17+3+P$28*2,$AE29)+$AG29*INDEX(H_Curve!$B$1:$F$100,4+($B$11)*17+3+P$28*2,$AF29)),(1-$B$14)*INDEX(H_Parametri!$A$14:$A$16,$B$11)/1000*IF($AB29=0,INDEX(H_Curve!$B$1:$F$100,4+($B$11-1)*17+3+P$28*2,$Z29),(1-$AB29)*INDEX(H_Curve!$B$1:$F$100,4+($B$11-1)*17+3+P$28*2,$Z29)+$AB29*INDEX(H_Curve!$B$1:$F$100,4+($B$11-1)*17+3+P$28*2,$AA29))+$B$14*INDEX(H_Parametri!$A$14:$A$16,$B$11+1)/1000*IF($AG29=0,INDEX(H_Curve!$B$1:$F$100,4+($B$11)*17+3+P$28*2,$AE29),(1-$AG29)*INDEX(H_Curve!$B$1:$F$100,4+($B$11)*17+3+P$28*2,$AE29)+$AG29*INDEX(H_Curve!$B$1:$F$100,4+($B$11)*17+3+P$28*2,$AF29)))))/($B$4/1000)),""))</f>
        <v>0.35016732690785796</v>
      </c>
      <c r="Q29" s="13">
        <f>IF(B29="","",IFERROR(MAX(0.0001,$A29*(IF($B$14=0,INDEX(H_Parametri!$A$14:$A$16,$B$11)/1000*IF($AB29=0,INDEX(H_Curve!$B$1:$F$100,4+($B$11-1)*17+3+Q$28*2,$Z29),(1-$AB29)*INDEX(H_Curve!$B$1:$F$100,4+($B$11-1)*17+3+Q$28*2,$Z29)+$AB29*INDEX(H_Curve!$B$1:$F$100,4+($B$11-1)*17+3+Q$28*2,$AA29)),IF($B$14=1,INDEX(H_Parametri!$A$14:$A$16,$B$11+1)/1000*IF($AG29=0,INDEX(H_Curve!$B$1:$F$100,4+($B$11)*17+3+Q$28*2,$AE29),(1-$AG29)*INDEX(H_Curve!$B$1:$F$100,4+($B$11)*17+3+Q$28*2,$AE29)+$AG29*INDEX(H_Curve!$B$1:$F$100,4+($B$11)*17+3+Q$28*2,$AF29)),(1-$B$14)*INDEX(H_Parametri!$A$14:$A$16,$B$11)/1000*IF($AB29=0,INDEX(H_Curve!$B$1:$F$100,4+($B$11-1)*17+3+Q$28*2,$Z29),(1-$AB29)*INDEX(H_Curve!$B$1:$F$100,4+($B$11-1)*17+3+Q$28*2,$Z29)+$AB29*INDEX(H_Curve!$B$1:$F$100,4+($B$11-1)*17+3+Q$28*2,$AA29))+$B$14*INDEX(H_Parametri!$A$14:$A$16,$B$11+1)/1000*IF($AG29=0,INDEX(H_Curve!$B$1:$F$100,4+($B$11)*17+3+Q$28*2,$AE29),(1-$AG29)*INDEX(H_Curve!$B$1:$F$100,4+($B$11)*17+3+Q$28*2,$AE29)+$AG29*INDEX(H_Curve!$B$1:$F$100,4+($B$11)*17+3+Q$28*2,$AF29)))))/($B$4/1000)),""))</f>
        <v>0.23360862161018647</v>
      </c>
      <c r="R29" s="18">
        <f t="array" ref="R29">IF(B29="","",SUMPRODUCT(MAX(ISNUMBER(G29:P29)*ISNUMBER(H29:Q29)*(G29:P29&gt;=$B$6)*(H29:Q29&lt;$B$6)*(COLUMN(G29:P29)-COLUMN(G29)+1))))</f>
        <v>10</v>
      </c>
      <c r="S29" s="9">
        <f t="shared" ref="S29:S37" si="4">IF(OR(R29="",R29=0),"",INDEX(G$28:Q$28,R29))</f>
        <v>5</v>
      </c>
      <c r="T29" s="9">
        <f t="shared" ref="T29:T37" si="5">IF(S29="","",INDEX(G$28:Q$28,R29+1))</f>
        <v>5.5</v>
      </c>
      <c r="U29" s="13">
        <f t="shared" ref="U29:U37" si="6">IF(S29="","",INDEX(G29:Q29,R29))</f>
        <v>0.35016732690785796</v>
      </c>
      <c r="V29" s="13">
        <f t="shared" ref="V29:V37" si="7">IF(S29="","",INDEX(G29:Q29,R29+1))</f>
        <v>0.23360862161018647</v>
      </c>
      <c r="W29" s="18">
        <f t="shared" ref="W29:W37" si="8">IF(B29="","",IFERROR(MATCH($B$7,$G$28:$Q$28,1),""))</f>
        <v>10</v>
      </c>
      <c r="X29" s="18">
        <f>IFERROR(LARGE(INDEX(H_Curve!$B$1:$F$100,4+($B$11-1)*17+1,1):INDEX(H_Curve!$B$1:$F$100,4+($B$11-1)*17+1,5),COUNTIF(INDEX(H_Curve!$B$1:$F$100,4+($B$11-1)*17+1,1):INDEX(H_Curve!$B$1:$F$100,4+($B$11-1)*17+1,5),"&gt;"&amp;$A29)+1),0)</f>
        <v>300</v>
      </c>
      <c r="Y29" s="18">
        <f>IFERROR(SMALL(INDEX(H_Curve!$B$1:$F$100,4+($B$11-1)*17+1,1):INDEX(H_Curve!$B$1:$F$100,4+($B$11-1)*17+1,5),COUNTIF(INDEX(H_Curve!$B$1:$F$100,4+($B$11-1)*17+1,1):INDEX(H_Curve!$B$1:$F$100,4+($B$11-1)*17+1,5),"&lt;"&amp;$A29)+1),1000000000)</f>
        <v>1000000000</v>
      </c>
      <c r="Z29" s="18">
        <f>IFERROR(IF(X29=0,MATCH(Y29,INDEX(H_Curve!$B$1:$F$100,4+($B$11-1)*17+1,1):INDEX(H_Curve!$B$1:$F$100,4+($B$11-1)*17+1,5),0),MATCH(X29,INDEX(H_Curve!$B$1:$F$100,4+($B$11-1)*17+1,1):INDEX(H_Curve!$B$1:$F$100,4+($B$11-1)*17+1,5),0)),"")</f>
        <v>4</v>
      </c>
      <c r="AA29" s="18">
        <f>IFERROR(IF(Y29&gt;=1000000000,MATCH(X29,INDEX(H_Curve!$B$1:$F$100,4+($B$11-1)*17+1,1):INDEX(H_Curve!$B$1:$F$100,4+($B$11-1)*17+1,5),0),MATCH(Y29,INDEX(H_Curve!$B$1:$F$100,4+($B$11-1)*17+1,1):INDEX(H_Curve!$B$1:$F$100,4+($B$11-1)*17+1,5),0)),"")</f>
        <v>4</v>
      </c>
      <c r="AB29" s="13">
        <f t="shared" ref="AB29:AB37" si="9">IF(OR(X29=0,Y29&gt;=1000000000),0,IF(Y29&gt;X29,($A29-X29)/(Y29-X29),0))</f>
        <v>0</v>
      </c>
      <c r="AC29" s="18">
        <f>IFERROR(LARGE(INDEX(H_Curve!$B$1:$F$100,4+($B$11)*17+1,1):INDEX(H_Curve!$B$1:$F$100,4+($B$11)*17+1,5),COUNTIF(INDEX(H_Curve!$B$1:$F$100,4+($B$11)*17+1,1):INDEX(H_Curve!$B$1:$F$100,4+($B$11)*17+1,5),"&gt;"&amp;$A29)+1),0)</f>
        <v>450</v>
      </c>
      <c r="AD29" s="18">
        <f>IFERROR(SMALL(INDEX(H_Curve!$B$1:$F$100,4+($B$11)*17+1,1):INDEX(H_Curve!$B$1:$F$100,4+($B$11)*17+1,5),COUNTIF(INDEX(H_Curve!$B$1:$F$100,4+($B$11)*17+1,1):INDEX(H_Curve!$B$1:$F$100,4+($B$11)*17+1,5),"&lt;"&amp;$A29)+1),1000000000)</f>
        <v>450</v>
      </c>
      <c r="AE29" s="18">
        <f>IFERROR(IF(AC29=0,MATCH(AD29,INDEX(H_Curve!$B$1:$F$100,4+($B$11)*17+1,1):INDEX(H_Curve!$B$1:$F$100,4+($B$11)*17+1,5),0),MATCH(AC29,INDEX(H_Curve!$B$1:$F$100,4+($B$11)*17+1,1):INDEX(H_Curve!$B$1:$F$100,4+($B$11)*17+1,5),0)),"")</f>
        <v>5</v>
      </c>
      <c r="AF29" s="18">
        <f>IFERROR(IF(AD29&gt;=1000000000,MATCH(AC29,INDEX(H_Curve!$B$1:$F$100,4+($B$11)*17+1,1):INDEX(H_Curve!$B$1:$F$100,4+($B$11)*17+1,5),0),MATCH(AD29,INDEX(H_Curve!$B$1:$F$100,4+($B$11)*17+1,1):INDEX(H_Curve!$B$1:$F$100,4+($B$11)*17+1,5),0)),"")</f>
        <v>5</v>
      </c>
      <c r="AG29" s="13">
        <f t="shared" ref="AG29:AG37" si="10">IF(OR(AC29=0,AD29&gt;=1000000000),0,IF(AD29&gt;AC29,($A29-AC29)/(AD29-AC29),0))</f>
        <v>0</v>
      </c>
      <c r="AH29" s="34">
        <f>IFERROR(MAX(0.000001,(IF($B$14=0,INDEX(H_Parametri!$A$14:$A$16,$B$11)/1000*IF($AB29=0,INDEX(H_Curve!$B$1:$F$100,4+($B$11-1)*17+2,$Z29),(1-$AB29)*INDEX(H_Curve!$B$1:$F$100,4+($B$11-1)*17+2,$Z29)+$AB29*INDEX(H_Curve!$B$1:$F$100,4+($B$11-1)*17+2,$AA29)),IF($B$14=1,INDEX(H_Parametri!$A$14:$A$16,$B$11+1)/1000*IF($AG29=0,INDEX(H_Curve!$B$1:$F$100,4+($B$11)*17+2,$AE29),(1-$AG29)*INDEX(H_Curve!$B$1:$F$100,4+($B$11)*17+2,$AE29)+$AG29*INDEX(H_Curve!$B$1:$F$100,4+($B$11)*17+2,$AF29)),(1-$B$14)*INDEX(H_Parametri!$A$14:$A$16,$B$11)/1000*IF($AB29=0,INDEX(H_Curve!$B$1:$F$100,4+($B$11-1)*17+2,$Z29),(1-$AB29)*INDEX(H_Curve!$B$1:$F$100,4+($B$11-1)*17+2,$Z29)+$AB29*INDEX(H_Curve!$B$1:$F$100,4+($B$11-1)*17+2,$AA29))+$B$14*INDEX(H_Parametri!$A$14:$A$16,$B$11+1)/1000*IF($AG29=0,INDEX(H_Curve!$B$1:$F$100,4+($B$11)*17+2,$AE29),(1-$AG29)*INDEX(H_Curve!$B$1:$F$100,4+($B$11)*17+2,$AE29)+$AG29*INDEX(H_Curve!$B$1:$F$100,4+($B$11)*17+2,$AF29)))))/($B$4/1000)),"")</f>
        <v>1.251625504482809E-2</v>
      </c>
      <c r="AI29" s="18" t="str">
        <f>IFERROR(IF(AK29="","&gt; "&amp;A37,IF(AK29=1,"≤ "&amp;A30,INDEX(A30:A37,AK29-1)+($B$6-INDEX(E30:E37,AK29-1))/(INDEX(E30:E37,AK29)-INDEX(E30:E37,AK29-1))*(INDEX(A30:A37,AK29)-INDEX(A30:A37,AK29-1)))),"")</f>
        <v>&gt; 300</v>
      </c>
      <c r="AK29" s="18" t="str">
        <f>IFERROR(MATCH(1,AJ30:AJ37,0),"")</f>
        <v/>
      </c>
    </row>
    <row r="30" spans="1:37" x14ac:dyDescent="0.25">
      <c r="A30" s="12">
        <v>75</v>
      </c>
      <c r="B30" s="23">
        <f t="shared" si="0"/>
        <v>0.94962015256202792</v>
      </c>
      <c r="C30" s="13">
        <f t="shared" si="1"/>
        <v>0.26326315772207703</v>
      </c>
      <c r="D30" s="23" t="str">
        <f t="shared" si="2"/>
        <v>&lt; 0,5</v>
      </c>
      <c r="E30" s="23">
        <f t="shared" si="3"/>
        <v>5.9819177792548479E-2</v>
      </c>
      <c r="F30" s="5" t="str">
        <f>IF(B30="","",IF(OR($B$10&lt;2,$B$4&lt;INDEX(H_Parametri!$A$14:$A$16,1),$B$4&gt;INDEX(H_Parametri!$A$14:$A$16,H_Parametri!$B$10)),"L fuori campo: estrapolazione",IF(OR(A30&lt;$B$15*0.99,A30&gt;$B$16*1.01),"Q fuori dal campo dei dati (estrapolazione)",IF(D30="&gt; x max","Il getto raggiunge la parete (lancio &gt; x max)",IF(D30="n.d.","Dati CFD non coprono tutta la distanza (curva incompleta)",IF(NOT(ISNUMBER(D30)),"vₜ non raggiunta / &lt; 0,5 m",IF(IFERROR(C30&gt;INDEX(G30:Q30,ROUND(H_Parametri!$B$9*2,0))/B30,FALSE()),"vₜ nel campo vicino (x &lt; "&amp;H_Parametri!$B$9&amp;" m): lancio poco significativo",IF(D30&gt;$B$17,"Oltre x max: influenzato dalla parete","OK"))))))))</f>
        <v>Q fuori dal campo dei dati (estrapolazione)</v>
      </c>
      <c r="G30" s="13">
        <f>IF(B30="","",IFERROR(MAX(0.0001,$A30*(IF($B$14=0,INDEX(H_Parametri!$A$14:$A$16,$B$11)/1000*IF($AB30=0,INDEX(H_Curve!$B$1:$F$100,4+($B$11-1)*17+3+G$28*2,$Z30),(1-$AB30)*INDEX(H_Curve!$B$1:$F$100,4+($B$11-1)*17+3+G$28*2,$Z30)+$AB30*INDEX(H_Curve!$B$1:$F$100,4+($B$11-1)*17+3+G$28*2,$AA30)),IF($B$14=1,INDEX(H_Parametri!$A$14:$A$16,$B$11+1)/1000*IF($AG30=0,INDEX(H_Curve!$B$1:$F$100,4+($B$11)*17+3+G$28*2,$AE30),(1-$AG30)*INDEX(H_Curve!$B$1:$F$100,4+($B$11)*17+3+G$28*2,$AE30)+$AG30*INDEX(H_Curve!$B$1:$F$100,4+($B$11)*17+3+G$28*2,$AF30)),(1-$B$14)*INDEX(H_Parametri!$A$14:$A$16,$B$11)/1000*IF($AB30=0,INDEX(H_Curve!$B$1:$F$100,4+($B$11-1)*17+3+G$28*2,$Z30),(1-$AB30)*INDEX(H_Curve!$B$1:$F$100,4+($B$11-1)*17+3+G$28*2,$Z30)+$AB30*INDEX(H_Curve!$B$1:$F$100,4+($B$11-1)*17+3+G$28*2,$AA30))+$B$14*INDEX(H_Parametri!$A$14:$A$16,$B$11+1)/1000*IF($AG30=0,INDEX(H_Curve!$B$1:$F$100,4+($B$11)*17+3+G$28*2,$AE30),(1-$AG30)*INDEX(H_Curve!$B$1:$F$100,4+($B$11)*17+3+G$28*2,$AE30)+$AG30*INDEX(H_Curve!$B$1:$F$100,4+($B$11)*17+3+G$28*2,$AF30)))))/($B$4/1000)),""))</f>
        <v>0.15480486724730388</v>
      </c>
      <c r="H30" s="13">
        <f>IF(B30="","",IFERROR(MAX(0.0001,$A30*(IF($B$14=0,INDEX(H_Parametri!$A$14:$A$16,$B$11)/1000*IF($AB30=0,INDEX(H_Curve!$B$1:$F$100,4+($B$11-1)*17+3+H$28*2,$Z30),(1-$AB30)*INDEX(H_Curve!$B$1:$F$100,4+($B$11-1)*17+3+H$28*2,$Z30)+$AB30*INDEX(H_Curve!$B$1:$F$100,4+($B$11-1)*17+3+H$28*2,$AA30)),IF($B$14=1,INDEX(H_Parametri!$A$14:$A$16,$B$11+1)/1000*IF($AG30=0,INDEX(H_Curve!$B$1:$F$100,4+($B$11)*17+3+H$28*2,$AE30),(1-$AG30)*INDEX(H_Curve!$B$1:$F$100,4+($B$11)*17+3+H$28*2,$AE30)+$AG30*INDEX(H_Curve!$B$1:$F$100,4+($B$11)*17+3+H$28*2,$AF30)),(1-$B$14)*INDEX(H_Parametri!$A$14:$A$16,$B$11)/1000*IF($AB30=0,INDEX(H_Curve!$B$1:$F$100,4+($B$11-1)*17+3+H$28*2,$Z30),(1-$AB30)*INDEX(H_Curve!$B$1:$F$100,4+($B$11-1)*17+3+H$28*2,$Z30)+$AB30*INDEX(H_Curve!$B$1:$F$100,4+($B$11-1)*17+3+H$28*2,$AA30))+$B$14*INDEX(H_Parametri!$A$14:$A$16,$B$11+1)/1000*IF($AG30=0,INDEX(H_Curve!$B$1:$F$100,4+($B$11)*17+3+H$28*2,$AE30),(1-$AG30)*INDEX(H_Curve!$B$1:$F$100,4+($B$11)*17+3+H$28*2,$AE30)+$AG30*INDEX(H_Curve!$B$1:$F$100,4+($B$11)*17+3+H$28*2,$AF30)))))/($B$4/1000)),""))</f>
        <v>0.14122200101910784</v>
      </c>
      <c r="I30" s="13">
        <f>IF(B30="","",IFERROR(MAX(0.0001,$A30*(IF($B$14=0,INDEX(H_Parametri!$A$14:$A$16,$B$11)/1000*IF($AB30=0,INDEX(H_Curve!$B$1:$F$100,4+($B$11-1)*17+3+I$28*2,$Z30),(1-$AB30)*INDEX(H_Curve!$B$1:$F$100,4+($B$11-1)*17+3+I$28*2,$Z30)+$AB30*INDEX(H_Curve!$B$1:$F$100,4+($B$11-1)*17+3+I$28*2,$AA30)),IF($B$14=1,INDEX(H_Parametri!$A$14:$A$16,$B$11+1)/1000*IF($AG30=0,INDEX(H_Curve!$B$1:$F$100,4+($B$11)*17+3+I$28*2,$AE30),(1-$AG30)*INDEX(H_Curve!$B$1:$F$100,4+($B$11)*17+3+I$28*2,$AE30)+$AG30*INDEX(H_Curve!$B$1:$F$100,4+($B$11)*17+3+I$28*2,$AF30)),(1-$B$14)*INDEX(H_Parametri!$A$14:$A$16,$B$11)/1000*IF($AB30=0,INDEX(H_Curve!$B$1:$F$100,4+($B$11-1)*17+3+I$28*2,$Z30),(1-$AB30)*INDEX(H_Curve!$B$1:$F$100,4+($B$11-1)*17+3+I$28*2,$Z30)+$AB30*INDEX(H_Curve!$B$1:$F$100,4+($B$11-1)*17+3+I$28*2,$AA30))+$B$14*INDEX(H_Parametri!$A$14:$A$16,$B$11+1)/1000*IF($AG30=0,INDEX(H_Curve!$B$1:$F$100,4+($B$11)*17+3+I$28*2,$AE30),(1-$AG30)*INDEX(H_Curve!$B$1:$F$100,4+($B$11)*17+3+I$28*2,$AE30)+$AG30*INDEX(H_Curve!$B$1:$F$100,4+($B$11)*17+3+I$28*2,$AF30)))))/($B$4/1000)),""))</f>
        <v>0.14389638507378602</v>
      </c>
      <c r="J30" s="13">
        <f>IF(B30="","",IFERROR(MAX(0.0001,$A30*(IF($B$14=0,INDEX(H_Parametri!$A$14:$A$16,$B$11)/1000*IF($AB30=0,INDEX(H_Curve!$B$1:$F$100,4+($B$11-1)*17+3+J$28*2,$Z30),(1-$AB30)*INDEX(H_Curve!$B$1:$F$100,4+($B$11-1)*17+3+J$28*2,$Z30)+$AB30*INDEX(H_Curve!$B$1:$F$100,4+($B$11-1)*17+3+J$28*2,$AA30)),IF($B$14=1,INDEX(H_Parametri!$A$14:$A$16,$B$11+1)/1000*IF($AG30=0,INDEX(H_Curve!$B$1:$F$100,4+($B$11)*17+3+J$28*2,$AE30),(1-$AG30)*INDEX(H_Curve!$B$1:$F$100,4+($B$11)*17+3+J$28*2,$AE30)+$AG30*INDEX(H_Curve!$B$1:$F$100,4+($B$11)*17+3+J$28*2,$AF30)),(1-$B$14)*INDEX(H_Parametri!$A$14:$A$16,$B$11)/1000*IF($AB30=0,INDEX(H_Curve!$B$1:$F$100,4+($B$11-1)*17+3+J$28*2,$Z30),(1-$AB30)*INDEX(H_Curve!$B$1:$F$100,4+($B$11-1)*17+3+J$28*2,$Z30)+$AB30*INDEX(H_Curve!$B$1:$F$100,4+($B$11-1)*17+3+J$28*2,$AA30))+$B$14*INDEX(H_Parametri!$A$14:$A$16,$B$11+1)/1000*IF($AG30=0,INDEX(H_Curve!$B$1:$F$100,4+($B$11)*17+3+J$28*2,$AE30),(1-$AG30)*INDEX(H_Curve!$B$1:$F$100,4+($B$11)*17+3+J$28*2,$AE30)+$AG30*INDEX(H_Curve!$B$1:$F$100,4+($B$11)*17+3+J$28*2,$AF30)))))/($B$4/1000)),""))</f>
        <v>0.14743168790701888</v>
      </c>
      <c r="K30" s="13">
        <f>IF(B30="","",IFERROR(MAX(0.0001,$A30*(IF($B$14=0,INDEX(H_Parametri!$A$14:$A$16,$B$11)/1000*IF($AB30=0,INDEX(H_Curve!$B$1:$F$100,4+($B$11-1)*17+3+K$28*2,$Z30),(1-$AB30)*INDEX(H_Curve!$B$1:$F$100,4+($B$11-1)*17+3+K$28*2,$Z30)+$AB30*INDEX(H_Curve!$B$1:$F$100,4+($B$11-1)*17+3+K$28*2,$AA30)),IF($B$14=1,INDEX(H_Parametri!$A$14:$A$16,$B$11+1)/1000*IF($AG30=0,INDEX(H_Curve!$B$1:$F$100,4+($B$11)*17+3+K$28*2,$AE30),(1-$AG30)*INDEX(H_Curve!$B$1:$F$100,4+($B$11)*17+3+K$28*2,$AE30)+$AG30*INDEX(H_Curve!$B$1:$F$100,4+($B$11)*17+3+K$28*2,$AF30)),(1-$B$14)*INDEX(H_Parametri!$A$14:$A$16,$B$11)/1000*IF($AB30=0,INDEX(H_Curve!$B$1:$F$100,4+($B$11-1)*17+3+K$28*2,$Z30),(1-$AB30)*INDEX(H_Curve!$B$1:$F$100,4+($B$11-1)*17+3+K$28*2,$Z30)+$AB30*INDEX(H_Curve!$B$1:$F$100,4+($B$11-1)*17+3+K$28*2,$AA30))+$B$14*INDEX(H_Parametri!$A$14:$A$16,$B$11+1)/1000*IF($AG30=0,INDEX(H_Curve!$B$1:$F$100,4+($B$11)*17+3+K$28*2,$AE30),(1-$AG30)*INDEX(H_Curve!$B$1:$F$100,4+($B$11)*17+3+K$28*2,$AE30)+$AG30*INDEX(H_Curve!$B$1:$F$100,4+($B$11)*17+3+K$28*2,$AF30)))))/($B$4/1000)),""))</f>
        <v>0.13889198136053157</v>
      </c>
      <c r="L30" s="13">
        <f>IF(B30="","",IFERROR(MAX(0.0001,$A30*(IF($B$14=0,INDEX(H_Parametri!$A$14:$A$16,$B$11)/1000*IF($AB30=0,INDEX(H_Curve!$B$1:$F$100,4+($B$11-1)*17+3+L$28*2,$Z30),(1-$AB30)*INDEX(H_Curve!$B$1:$F$100,4+($B$11-1)*17+3+L$28*2,$Z30)+$AB30*INDEX(H_Curve!$B$1:$F$100,4+($B$11-1)*17+3+L$28*2,$AA30)),IF($B$14=1,INDEX(H_Parametri!$A$14:$A$16,$B$11+1)/1000*IF($AG30=0,INDEX(H_Curve!$B$1:$F$100,4+($B$11)*17+3+L$28*2,$AE30),(1-$AG30)*INDEX(H_Curve!$B$1:$F$100,4+($B$11)*17+3+L$28*2,$AE30)+$AG30*INDEX(H_Curve!$B$1:$F$100,4+($B$11)*17+3+L$28*2,$AF30)),(1-$B$14)*INDEX(H_Parametri!$A$14:$A$16,$B$11)/1000*IF($AB30=0,INDEX(H_Curve!$B$1:$F$100,4+($B$11-1)*17+3+L$28*2,$Z30),(1-$AB30)*INDEX(H_Curve!$B$1:$F$100,4+($B$11-1)*17+3+L$28*2,$Z30)+$AB30*INDEX(H_Curve!$B$1:$F$100,4+($B$11-1)*17+3+L$28*2,$AA30))+$B$14*INDEX(H_Parametri!$A$14:$A$16,$B$11+1)/1000*IF($AG30=0,INDEX(H_Curve!$B$1:$F$100,4+($B$11)*17+3+L$28*2,$AE30),(1-$AG30)*INDEX(H_Curve!$B$1:$F$100,4+($B$11)*17+3+L$28*2,$AE30)+$AG30*INDEX(H_Curve!$B$1:$F$100,4+($B$11)*17+3+L$28*2,$AF30)))))/($B$4/1000)),""))</f>
        <v>0.12190814126929235</v>
      </c>
      <c r="M30" s="13">
        <f>IF(B30="","",IFERROR(MAX(0.0001,$A30*(IF($B$14=0,INDEX(H_Parametri!$A$14:$A$16,$B$11)/1000*IF($AB30=0,INDEX(H_Curve!$B$1:$F$100,4+($B$11-1)*17+3+M$28*2,$Z30),(1-$AB30)*INDEX(H_Curve!$B$1:$F$100,4+($B$11-1)*17+3+M$28*2,$Z30)+$AB30*INDEX(H_Curve!$B$1:$F$100,4+($B$11-1)*17+3+M$28*2,$AA30)),IF($B$14=1,INDEX(H_Parametri!$A$14:$A$16,$B$11+1)/1000*IF($AG30=0,INDEX(H_Curve!$B$1:$F$100,4+($B$11)*17+3+M$28*2,$AE30),(1-$AG30)*INDEX(H_Curve!$B$1:$F$100,4+($B$11)*17+3+M$28*2,$AE30)+$AG30*INDEX(H_Curve!$B$1:$F$100,4+($B$11)*17+3+M$28*2,$AF30)),(1-$B$14)*INDEX(H_Parametri!$A$14:$A$16,$B$11)/1000*IF($AB30=0,INDEX(H_Curve!$B$1:$F$100,4+($B$11-1)*17+3+M$28*2,$Z30),(1-$AB30)*INDEX(H_Curve!$B$1:$F$100,4+($B$11-1)*17+3+M$28*2,$Z30)+$AB30*INDEX(H_Curve!$B$1:$F$100,4+($B$11-1)*17+3+M$28*2,$AA30))+$B$14*INDEX(H_Parametri!$A$14:$A$16,$B$11+1)/1000*IF($AG30=0,INDEX(H_Curve!$B$1:$F$100,4+($B$11)*17+3+M$28*2,$AE30),(1-$AG30)*INDEX(H_Curve!$B$1:$F$100,4+($B$11)*17+3+M$28*2,$AE30)+$AG30*INDEX(H_Curve!$B$1:$F$100,4+($B$11)*17+3+M$28*2,$AF30)))))/($B$4/1000)),""))</f>
        <v>0.10912913154472853</v>
      </c>
      <c r="N30" s="13">
        <f>IF(B30="","",IFERROR(MAX(0.0001,$A30*(IF($B$14=0,INDEX(H_Parametri!$A$14:$A$16,$B$11)/1000*IF($AB30=0,INDEX(H_Curve!$B$1:$F$100,4+($B$11-1)*17+3+N$28*2,$Z30),(1-$AB30)*INDEX(H_Curve!$B$1:$F$100,4+($B$11-1)*17+3+N$28*2,$Z30)+$AB30*INDEX(H_Curve!$B$1:$F$100,4+($B$11-1)*17+3+N$28*2,$AA30)),IF($B$14=1,INDEX(H_Parametri!$A$14:$A$16,$B$11+1)/1000*IF($AG30=0,INDEX(H_Curve!$B$1:$F$100,4+($B$11)*17+3+N$28*2,$AE30),(1-$AG30)*INDEX(H_Curve!$B$1:$F$100,4+($B$11)*17+3+N$28*2,$AE30)+$AG30*INDEX(H_Curve!$B$1:$F$100,4+($B$11)*17+3+N$28*2,$AF30)),(1-$B$14)*INDEX(H_Parametri!$A$14:$A$16,$B$11)/1000*IF($AB30=0,INDEX(H_Curve!$B$1:$F$100,4+($B$11-1)*17+3+N$28*2,$Z30),(1-$AB30)*INDEX(H_Curve!$B$1:$F$100,4+($B$11-1)*17+3+N$28*2,$Z30)+$AB30*INDEX(H_Curve!$B$1:$F$100,4+($B$11-1)*17+3+N$28*2,$AA30))+$B$14*INDEX(H_Parametri!$A$14:$A$16,$B$11+1)/1000*IF($AG30=0,INDEX(H_Curve!$B$1:$F$100,4+($B$11)*17+3+N$28*2,$AE30),(1-$AG30)*INDEX(H_Curve!$B$1:$F$100,4+($B$11)*17+3+N$28*2,$AE30)+$AG30*INDEX(H_Curve!$B$1:$F$100,4+($B$11)*17+3+N$28*2,$AF30)))))/($B$4/1000)),""))</f>
        <v>9.7023920634987437E-2</v>
      </c>
      <c r="O30" s="13">
        <f>IF(B30="","",IFERROR(MAX(0.0001,$A30*(IF($B$14=0,INDEX(H_Parametri!$A$14:$A$16,$B$11)/1000*IF($AB30=0,INDEX(H_Curve!$B$1:$F$100,4+($B$11-1)*17+3+O$28*2,$Z30),(1-$AB30)*INDEX(H_Curve!$B$1:$F$100,4+($B$11-1)*17+3+O$28*2,$Z30)+$AB30*INDEX(H_Curve!$B$1:$F$100,4+($B$11-1)*17+3+O$28*2,$AA30)),IF($B$14=1,INDEX(H_Parametri!$A$14:$A$16,$B$11+1)/1000*IF($AG30=0,INDEX(H_Curve!$B$1:$F$100,4+($B$11)*17+3+O$28*2,$AE30),(1-$AG30)*INDEX(H_Curve!$B$1:$F$100,4+($B$11)*17+3+O$28*2,$AE30)+$AG30*INDEX(H_Curve!$B$1:$F$100,4+($B$11)*17+3+O$28*2,$AF30)),(1-$B$14)*INDEX(H_Parametri!$A$14:$A$16,$B$11)/1000*IF($AB30=0,INDEX(H_Curve!$B$1:$F$100,4+($B$11-1)*17+3+O$28*2,$Z30),(1-$AB30)*INDEX(H_Curve!$B$1:$F$100,4+($B$11-1)*17+3+O$28*2,$Z30)+$AB30*INDEX(H_Curve!$B$1:$F$100,4+($B$11-1)*17+3+O$28*2,$AA30))+$B$14*INDEX(H_Parametri!$A$14:$A$16,$B$11+1)/1000*IF($AG30=0,INDEX(H_Curve!$B$1:$F$100,4+($B$11)*17+3+O$28*2,$AE30),(1-$AG30)*INDEX(H_Curve!$B$1:$F$100,4+($B$11)*17+3+O$28*2,$AE30)+$AG30*INDEX(H_Curve!$B$1:$F$100,4+($B$11)*17+3+O$28*2,$AF30)))))/($B$4/1000)),""))</f>
        <v>7.843621835424601E-2</v>
      </c>
      <c r="P30" s="13">
        <f>IF(B30="","",IFERROR(MAX(0.0001,$A30*(IF($B$14=0,INDEX(H_Parametri!$A$14:$A$16,$B$11)/1000*IF($AB30=0,INDEX(H_Curve!$B$1:$F$100,4+($B$11-1)*17+3+P$28*2,$Z30),(1-$AB30)*INDEX(H_Curve!$B$1:$F$100,4+($B$11-1)*17+3+P$28*2,$Z30)+$AB30*INDEX(H_Curve!$B$1:$F$100,4+($B$11-1)*17+3+P$28*2,$AA30)),IF($B$14=1,INDEX(H_Parametri!$A$14:$A$16,$B$11+1)/1000*IF($AG30=0,INDEX(H_Curve!$B$1:$F$100,4+($B$11)*17+3+P$28*2,$AE30),(1-$AG30)*INDEX(H_Curve!$B$1:$F$100,4+($B$11)*17+3+P$28*2,$AE30)+$AG30*INDEX(H_Curve!$B$1:$F$100,4+($B$11)*17+3+P$28*2,$AF30)),(1-$B$14)*INDEX(H_Parametri!$A$14:$A$16,$B$11)/1000*IF($AB30=0,INDEX(H_Curve!$B$1:$F$100,4+($B$11-1)*17+3+P$28*2,$Z30),(1-$AB30)*INDEX(H_Curve!$B$1:$F$100,4+($B$11-1)*17+3+P$28*2,$Z30)+$AB30*INDEX(H_Curve!$B$1:$F$100,4+($B$11-1)*17+3+P$28*2,$AA30))+$B$14*INDEX(H_Parametri!$A$14:$A$16,$B$11+1)/1000*IF($AG30=0,INDEX(H_Curve!$B$1:$F$100,4+($B$11)*17+3+P$28*2,$AE30),(1-$AG30)*INDEX(H_Curve!$B$1:$F$100,4+($B$11)*17+3+P$28*2,$AE30)+$AG30*INDEX(H_Curve!$B$1:$F$100,4+($B$11)*17+3+P$28*2,$AF30)))))/($B$4/1000)),""))</f>
        <v>5.9819177792548479E-2</v>
      </c>
      <c r="Q30" s="13">
        <f>IF(B30="","",IFERROR(MAX(0.0001,$A30*(IF($B$14=0,INDEX(H_Parametri!$A$14:$A$16,$B$11)/1000*IF($AB30=0,INDEX(H_Curve!$B$1:$F$100,4+($B$11-1)*17+3+Q$28*2,$Z30),(1-$AB30)*INDEX(H_Curve!$B$1:$F$100,4+($B$11-1)*17+3+Q$28*2,$Z30)+$AB30*INDEX(H_Curve!$B$1:$F$100,4+($B$11-1)*17+3+Q$28*2,$AA30)),IF($B$14=1,INDEX(H_Parametri!$A$14:$A$16,$B$11+1)/1000*IF($AG30=0,INDEX(H_Curve!$B$1:$F$100,4+($B$11)*17+3+Q$28*2,$AE30),(1-$AG30)*INDEX(H_Curve!$B$1:$F$100,4+($B$11)*17+3+Q$28*2,$AE30)+$AG30*INDEX(H_Curve!$B$1:$F$100,4+($B$11)*17+3+Q$28*2,$AF30)),(1-$B$14)*INDEX(H_Parametri!$A$14:$A$16,$B$11)/1000*IF($AB30=0,INDEX(H_Curve!$B$1:$F$100,4+($B$11-1)*17+3+Q$28*2,$Z30),(1-$AB30)*INDEX(H_Curve!$B$1:$F$100,4+($B$11-1)*17+3+Q$28*2,$Z30)+$AB30*INDEX(H_Curve!$B$1:$F$100,4+($B$11-1)*17+3+Q$28*2,$AA30))+$B$14*INDEX(H_Parametri!$A$14:$A$16,$B$11+1)/1000*IF($AG30=0,INDEX(H_Curve!$B$1:$F$100,4+($B$11)*17+3+Q$28*2,$AE30),(1-$AG30)*INDEX(H_Curve!$B$1:$F$100,4+($B$11)*17+3+Q$28*2,$AE30)+$AG30*INDEX(H_Curve!$B$1:$F$100,4+($B$11)*17+3+Q$28*2,$AF30)))))/($B$4/1000)),""))</f>
        <v>4.2457265737834544E-2</v>
      </c>
      <c r="R30" s="18">
        <f t="array" ref="R30">IF(B30="","",SUMPRODUCT(MAX(ISNUMBER(G30:P30)*ISNUMBER(H30:Q30)*(G30:P30&gt;=$B$6)*(H30:Q30&lt;$B$6)*(COLUMN(G30:P30)-COLUMN(G30)+1))))</f>
        <v>0</v>
      </c>
      <c r="S30" s="9" t="str">
        <f t="shared" si="4"/>
        <v/>
      </c>
      <c r="T30" s="9" t="str">
        <f t="shared" si="5"/>
        <v/>
      </c>
      <c r="U30" s="13" t="str">
        <f t="shared" si="6"/>
        <v/>
      </c>
      <c r="V30" s="13" t="str">
        <f t="shared" si="7"/>
        <v/>
      </c>
      <c r="W30" s="18">
        <f t="shared" si="8"/>
        <v>10</v>
      </c>
      <c r="X30" s="18">
        <f>IFERROR(LARGE(INDEX(H_Curve!$B$1:$F$100,4+($B$11-1)*17+1,1):INDEX(H_Curve!$B$1:$F$100,4+($B$11-1)*17+1,5),COUNTIF(INDEX(H_Curve!$B$1:$F$100,4+($B$11-1)*17+1,1):INDEX(H_Curve!$B$1:$F$100,4+($B$11-1)*17+1,5),"&gt;"&amp;$A30)+1),0)</f>
        <v>0</v>
      </c>
      <c r="Y30" s="18">
        <f>IFERROR(SMALL(INDEX(H_Curve!$B$1:$F$100,4+($B$11-1)*17+1,1):INDEX(H_Curve!$B$1:$F$100,4+($B$11-1)*17+1,5),COUNTIF(INDEX(H_Curve!$B$1:$F$100,4+($B$11-1)*17+1,1):INDEX(H_Curve!$B$1:$F$100,4+($B$11-1)*17+1,5),"&lt;"&amp;$A30)+1),1000000000)</f>
        <v>80</v>
      </c>
      <c r="Z30" s="18">
        <f>IFERROR(IF(X30=0,MATCH(Y30,INDEX(H_Curve!$B$1:$F$100,4+($B$11-1)*17+1,1):INDEX(H_Curve!$B$1:$F$100,4+($B$11-1)*17+1,5),0),MATCH(X30,INDEX(H_Curve!$B$1:$F$100,4+($B$11-1)*17+1,1):INDEX(H_Curve!$B$1:$F$100,4+($B$11-1)*17+1,5),0)),"")</f>
        <v>1</v>
      </c>
      <c r="AA30" s="18">
        <f>IFERROR(IF(Y30&gt;=1000000000,MATCH(X30,INDEX(H_Curve!$B$1:$F$100,4+($B$11-1)*17+1,1):INDEX(H_Curve!$B$1:$F$100,4+($B$11-1)*17+1,5),0),MATCH(Y30,INDEX(H_Curve!$B$1:$F$100,4+($B$11-1)*17+1,1):INDEX(H_Curve!$B$1:$F$100,4+($B$11-1)*17+1,5),0)),"")</f>
        <v>1</v>
      </c>
      <c r="AB30" s="13">
        <f t="shared" si="9"/>
        <v>0</v>
      </c>
      <c r="AC30" s="18">
        <f>IFERROR(LARGE(INDEX(H_Curve!$B$1:$F$100,4+($B$11)*17+1,1):INDEX(H_Curve!$B$1:$F$100,4+($B$11)*17+1,5),COUNTIF(INDEX(H_Curve!$B$1:$F$100,4+($B$11)*17+1,1):INDEX(H_Curve!$B$1:$F$100,4+($B$11)*17+1,5),"&gt;"&amp;$A30)+1),0)</f>
        <v>0</v>
      </c>
      <c r="AD30" s="18">
        <f>IFERROR(SMALL(INDEX(H_Curve!$B$1:$F$100,4+($B$11)*17+1,1):INDEX(H_Curve!$B$1:$F$100,4+($B$11)*17+1,5),COUNTIF(INDEX(H_Curve!$B$1:$F$100,4+($B$11)*17+1,1):INDEX(H_Curve!$B$1:$F$100,4+($B$11)*17+1,5),"&lt;"&amp;$A30)+1),1000000000)</f>
        <v>80</v>
      </c>
      <c r="AE30" s="18">
        <f>IFERROR(IF(AC30=0,MATCH(AD30,INDEX(H_Curve!$B$1:$F$100,4+($B$11)*17+1,1):INDEX(H_Curve!$B$1:$F$100,4+($B$11)*17+1,5),0),MATCH(AC30,INDEX(H_Curve!$B$1:$F$100,4+($B$11)*17+1,1):INDEX(H_Curve!$B$1:$F$100,4+($B$11)*17+1,5),0)),"")</f>
        <v>1</v>
      </c>
      <c r="AF30" s="18">
        <f>IFERROR(IF(AD30&gt;=1000000000,MATCH(AC30,INDEX(H_Curve!$B$1:$F$100,4+($B$11)*17+1,1):INDEX(H_Curve!$B$1:$F$100,4+($B$11)*17+1,5),0),MATCH(AD30,INDEX(H_Curve!$B$1:$F$100,4+($B$11)*17+1,1):INDEX(H_Curve!$B$1:$F$100,4+($B$11)*17+1,5),0)),"")</f>
        <v>1</v>
      </c>
      <c r="AG30" s="13">
        <f t="shared" si="10"/>
        <v>0</v>
      </c>
      <c r="AH30" s="34">
        <f>IFERROR(MAX(0.000001,(IF($B$14=0,INDEX(H_Parametri!$A$14:$A$16,$B$11)/1000*IF($AB30=0,INDEX(H_Curve!$B$1:$F$100,4+($B$11-1)*17+2,$Z30),(1-$AB30)*INDEX(H_Curve!$B$1:$F$100,4+($B$11-1)*17+2,$Z30)+$AB30*INDEX(H_Curve!$B$1:$F$100,4+($B$11-1)*17+2,$AA30)),IF($B$14=1,INDEX(H_Parametri!$A$14:$A$16,$B$11+1)/1000*IF($AG30=0,INDEX(H_Curve!$B$1:$F$100,4+($B$11)*17+2,$AE30),(1-$AG30)*INDEX(H_Curve!$B$1:$F$100,4+($B$11)*17+2,$AE30)+$AG30*INDEX(H_Curve!$B$1:$F$100,4+($B$11)*17+2,$AF30)),(1-$B$14)*INDEX(H_Parametri!$A$14:$A$16,$B$11)/1000*IF($AB30=0,INDEX(H_Curve!$B$1:$F$100,4+($B$11-1)*17+2,$Z30),(1-$AB30)*INDEX(H_Curve!$B$1:$F$100,4+($B$11-1)*17+2,$Z30)+$AB30*INDEX(H_Curve!$B$1:$F$100,4+($B$11-1)*17+2,$AA30))+$B$14*INDEX(H_Parametri!$A$14:$A$16,$B$11+1)/1000*IF($AG30=0,INDEX(H_Curve!$B$1:$F$100,4+($B$11)*17+2,$AE30),(1-$AG30)*INDEX(H_Curve!$B$1:$F$100,4+($B$11)*17+2,$AE30)+$AG30*INDEX(H_Curve!$B$1:$F$100,4+($B$11)*17+2,$AF30)))))/($B$4/1000)),"")</f>
        <v>1.2661602034160372E-2</v>
      </c>
      <c r="AJ30" s="18">
        <f t="shared" ref="AJ30:AJ37" si="11">IF(AND(ISNUMBER(E30),N(E30)&gt;=$B$6),1,0)</f>
        <v>0</v>
      </c>
    </row>
    <row r="31" spans="1:37" x14ac:dyDescent="0.25">
      <c r="A31" s="12">
        <v>100</v>
      </c>
      <c r="B31" s="23">
        <f t="shared" si="0"/>
        <v>1.2481726259012724</v>
      </c>
      <c r="C31" s="13">
        <f t="shared" si="1"/>
        <v>0.20029280791147108</v>
      </c>
      <c r="D31" s="23" t="str">
        <f t="shared" si="2"/>
        <v>&lt; 0,5</v>
      </c>
      <c r="E31" s="23" t="str">
        <f t="shared" si="3"/>
        <v/>
      </c>
      <c r="F31" s="5" t="str">
        <f>IF(B31="","",IF(OR($B$10&lt;2,$B$4&lt;INDEX(H_Parametri!$A$14:$A$16,1),$B$4&gt;INDEX(H_Parametri!$A$14:$A$16,H_Parametri!$B$10)),"L fuori campo: estrapolazione",IF(OR(A31&lt;$B$15*0.99,A31&gt;$B$16*1.01),"Q fuori dal campo dei dati (estrapolazione)",IF(D31="&gt; x max","Il getto raggiunge la parete (lancio &gt; x max)",IF(D31="n.d.","Dati CFD non coprono tutta la distanza (curva incompleta)",IF(NOT(ISNUMBER(D31)),"vₜ non raggiunta / &lt; 0,5 m",IF(IFERROR(C31&gt;INDEX(G31:Q31,ROUND(H_Parametri!$B$9*2,0))/B31,FALSE()),"vₜ nel campo vicino (x &lt; "&amp;H_Parametri!$B$9&amp;" m): lancio poco significativo",IF(D31&gt;$B$17,"Oltre x max: influenzato dalla parete","OK"))))))))</f>
        <v>vₜ non raggiunta / &lt; 0,5 m</v>
      </c>
      <c r="G31" s="13">
        <f>IF(B31="","",IFERROR(MAX(0.0001,$A31*(IF($B$14=0,INDEX(H_Parametri!$A$14:$A$16,$B$11)/1000*IF($AB31=0,INDEX(H_Curve!$B$1:$F$100,4+($B$11-1)*17+3+G$28*2,$Z31),(1-$AB31)*INDEX(H_Curve!$B$1:$F$100,4+($B$11-1)*17+3+G$28*2,$Z31)+$AB31*INDEX(H_Curve!$B$1:$F$100,4+($B$11-1)*17+3+G$28*2,$AA31)),IF($B$14=1,INDEX(H_Parametri!$A$14:$A$16,$B$11+1)/1000*IF($AG31=0,INDEX(H_Curve!$B$1:$F$100,4+($B$11)*17+3+G$28*2,$AE31),(1-$AG31)*INDEX(H_Curve!$B$1:$F$100,4+($B$11)*17+3+G$28*2,$AE31)+$AG31*INDEX(H_Curve!$B$1:$F$100,4+($B$11)*17+3+G$28*2,$AF31)),(1-$B$14)*INDEX(H_Parametri!$A$14:$A$16,$B$11)/1000*IF($AB31=0,INDEX(H_Curve!$B$1:$F$100,4+($B$11-1)*17+3+G$28*2,$Z31),(1-$AB31)*INDEX(H_Curve!$B$1:$F$100,4+($B$11-1)*17+3+G$28*2,$Z31)+$AB31*INDEX(H_Curve!$B$1:$F$100,4+($B$11-1)*17+3+G$28*2,$AA31))+$B$14*INDEX(H_Parametri!$A$14:$A$16,$B$11+1)/1000*IF($AG31=0,INDEX(H_Curve!$B$1:$F$100,4+($B$11)*17+3+G$28*2,$AE31),(1-$AG31)*INDEX(H_Curve!$B$1:$F$100,4+($B$11)*17+3+G$28*2,$AE31)+$AG31*INDEX(H_Curve!$B$1:$F$100,4+($B$11)*17+3+G$28*2,$AF31)))))/($B$4/1000)),""))</f>
        <v>0.20870704149969474</v>
      </c>
      <c r="H31" s="13">
        <f>IF(B31="","",IFERROR(MAX(0.0001,$A31*(IF($B$14=0,INDEX(H_Parametri!$A$14:$A$16,$B$11)/1000*IF($AB31=0,INDEX(H_Curve!$B$1:$F$100,4+($B$11-1)*17+3+H$28*2,$Z31),(1-$AB31)*INDEX(H_Curve!$B$1:$F$100,4+($B$11-1)*17+3+H$28*2,$Z31)+$AB31*INDEX(H_Curve!$B$1:$F$100,4+($B$11-1)*17+3+H$28*2,$AA31)),IF($B$14=1,INDEX(H_Parametri!$A$14:$A$16,$B$11+1)/1000*IF($AG31=0,INDEX(H_Curve!$B$1:$F$100,4+($B$11)*17+3+H$28*2,$AE31),(1-$AG31)*INDEX(H_Curve!$B$1:$F$100,4+($B$11)*17+3+H$28*2,$AE31)+$AG31*INDEX(H_Curve!$B$1:$F$100,4+($B$11)*17+3+H$28*2,$AF31)),(1-$B$14)*INDEX(H_Parametri!$A$14:$A$16,$B$11)/1000*IF($AB31=0,INDEX(H_Curve!$B$1:$F$100,4+($B$11-1)*17+3+H$28*2,$Z31),(1-$AB31)*INDEX(H_Curve!$B$1:$F$100,4+($B$11-1)*17+3+H$28*2,$Z31)+$AB31*INDEX(H_Curve!$B$1:$F$100,4+($B$11-1)*17+3+H$28*2,$AA31))+$B$14*INDEX(H_Parametri!$A$14:$A$16,$B$11+1)/1000*IF($AG31=0,INDEX(H_Curve!$B$1:$F$100,4+($B$11)*17+3+H$28*2,$AE31),(1-$AG31)*INDEX(H_Curve!$B$1:$F$100,4+($B$11)*17+3+H$28*2,$AE31)+$AG31*INDEX(H_Curve!$B$1:$F$100,4+($B$11)*17+3+H$28*2,$AF31)))))/($B$4/1000)),""))</f>
        <v>0.19803334872538944</v>
      </c>
      <c r="I31" s="13">
        <f>IF(B31="","",IFERROR(MAX(0.0001,$A31*(IF($B$14=0,INDEX(H_Parametri!$A$14:$A$16,$B$11)/1000*IF($AB31=0,INDEX(H_Curve!$B$1:$F$100,4+($B$11-1)*17+3+I$28*2,$Z31),(1-$AB31)*INDEX(H_Curve!$B$1:$F$100,4+($B$11-1)*17+3+I$28*2,$Z31)+$AB31*INDEX(H_Curve!$B$1:$F$100,4+($B$11-1)*17+3+I$28*2,$AA31)),IF($B$14=1,INDEX(H_Parametri!$A$14:$A$16,$B$11+1)/1000*IF($AG31=0,INDEX(H_Curve!$B$1:$F$100,4+($B$11)*17+3+I$28*2,$AE31),(1-$AG31)*INDEX(H_Curve!$B$1:$F$100,4+($B$11)*17+3+I$28*2,$AE31)+$AG31*INDEX(H_Curve!$B$1:$F$100,4+($B$11)*17+3+I$28*2,$AF31)),(1-$B$14)*INDEX(H_Parametri!$A$14:$A$16,$B$11)/1000*IF($AB31=0,INDEX(H_Curve!$B$1:$F$100,4+($B$11-1)*17+3+I$28*2,$Z31),(1-$AB31)*INDEX(H_Curve!$B$1:$F$100,4+($B$11-1)*17+3+I$28*2,$Z31)+$AB31*INDEX(H_Curve!$B$1:$F$100,4+($B$11-1)*17+3+I$28*2,$AA31))+$B$14*INDEX(H_Parametri!$A$14:$A$16,$B$11+1)/1000*IF($AG31=0,INDEX(H_Curve!$B$1:$F$100,4+($B$11)*17+3+I$28*2,$AE31),(1-$AG31)*INDEX(H_Curve!$B$1:$F$100,4+($B$11)*17+3+I$28*2,$AE31)+$AG31*INDEX(H_Curve!$B$1:$F$100,4+($B$11)*17+3+I$28*2,$AF31)))))/($B$4/1000)),""))</f>
        <v>0.19962264390957465</v>
      </c>
      <c r="J31" s="13">
        <f>IF(B31="","",IFERROR(MAX(0.0001,$A31*(IF($B$14=0,INDEX(H_Parametri!$A$14:$A$16,$B$11)/1000*IF($AB31=0,INDEX(H_Curve!$B$1:$F$100,4+($B$11-1)*17+3+J$28*2,$Z31),(1-$AB31)*INDEX(H_Curve!$B$1:$F$100,4+($B$11-1)*17+3+J$28*2,$Z31)+$AB31*INDEX(H_Curve!$B$1:$F$100,4+($B$11-1)*17+3+J$28*2,$AA31)),IF($B$14=1,INDEX(H_Parametri!$A$14:$A$16,$B$11+1)/1000*IF($AG31=0,INDEX(H_Curve!$B$1:$F$100,4+($B$11)*17+3+J$28*2,$AE31),(1-$AG31)*INDEX(H_Curve!$B$1:$F$100,4+($B$11)*17+3+J$28*2,$AE31)+$AG31*INDEX(H_Curve!$B$1:$F$100,4+($B$11)*17+3+J$28*2,$AF31)),(1-$B$14)*INDEX(H_Parametri!$A$14:$A$16,$B$11)/1000*IF($AB31=0,INDEX(H_Curve!$B$1:$F$100,4+($B$11-1)*17+3+J$28*2,$Z31),(1-$AB31)*INDEX(H_Curve!$B$1:$F$100,4+($B$11-1)*17+3+J$28*2,$Z31)+$AB31*INDEX(H_Curve!$B$1:$F$100,4+($B$11-1)*17+3+J$28*2,$AA31))+$B$14*INDEX(H_Parametri!$A$14:$A$16,$B$11+1)/1000*IF($AG31=0,INDEX(H_Curve!$B$1:$F$100,4+($B$11)*17+3+J$28*2,$AE31),(1-$AG31)*INDEX(H_Curve!$B$1:$F$100,4+($B$11)*17+3+J$28*2,$AE31)+$AG31*INDEX(H_Curve!$B$1:$F$100,4+($B$11)*17+3+J$28*2,$AF31)))))/($B$4/1000)),""))</f>
        <v>0.19332809794963468</v>
      </c>
      <c r="K31" s="13">
        <f>IF(B31="","",IFERROR(MAX(0.0001,$A31*(IF($B$14=0,INDEX(H_Parametri!$A$14:$A$16,$B$11)/1000*IF($AB31=0,INDEX(H_Curve!$B$1:$F$100,4+($B$11-1)*17+3+K$28*2,$Z31),(1-$AB31)*INDEX(H_Curve!$B$1:$F$100,4+($B$11-1)*17+3+K$28*2,$Z31)+$AB31*INDEX(H_Curve!$B$1:$F$100,4+($B$11-1)*17+3+K$28*2,$AA31)),IF($B$14=1,INDEX(H_Parametri!$A$14:$A$16,$B$11+1)/1000*IF($AG31=0,INDEX(H_Curve!$B$1:$F$100,4+($B$11)*17+3+K$28*2,$AE31),(1-$AG31)*INDEX(H_Curve!$B$1:$F$100,4+($B$11)*17+3+K$28*2,$AE31)+$AG31*INDEX(H_Curve!$B$1:$F$100,4+($B$11)*17+3+K$28*2,$AF31)),(1-$B$14)*INDEX(H_Parametri!$A$14:$A$16,$B$11)/1000*IF($AB31=0,INDEX(H_Curve!$B$1:$F$100,4+($B$11-1)*17+3+K$28*2,$Z31),(1-$AB31)*INDEX(H_Curve!$B$1:$F$100,4+($B$11-1)*17+3+K$28*2,$Z31)+$AB31*INDEX(H_Curve!$B$1:$F$100,4+($B$11-1)*17+3+K$28*2,$AA31))+$B$14*INDEX(H_Parametri!$A$14:$A$16,$B$11+1)/1000*IF($AG31=0,INDEX(H_Curve!$B$1:$F$100,4+($B$11)*17+3+K$28*2,$AE31),(1-$AG31)*INDEX(H_Curve!$B$1:$F$100,4+($B$11)*17+3+K$28*2,$AE31)+$AG31*INDEX(H_Curve!$B$1:$F$100,4+($B$11)*17+3+K$28*2,$AF31)))))/($B$4/1000)),""))</f>
        <v>0.17514850902225829</v>
      </c>
      <c r="L31" s="13">
        <f>IF(B31="","",IFERROR(MAX(0.0001,$A31*(IF($B$14=0,INDEX(H_Parametri!$A$14:$A$16,$B$11)/1000*IF($AB31=0,INDEX(H_Curve!$B$1:$F$100,4+($B$11-1)*17+3+L$28*2,$Z31),(1-$AB31)*INDEX(H_Curve!$B$1:$F$100,4+($B$11-1)*17+3+L$28*2,$Z31)+$AB31*INDEX(H_Curve!$B$1:$F$100,4+($B$11-1)*17+3+L$28*2,$AA31)),IF($B$14=1,INDEX(H_Parametri!$A$14:$A$16,$B$11+1)/1000*IF($AG31=0,INDEX(H_Curve!$B$1:$F$100,4+($B$11)*17+3+L$28*2,$AE31),(1-$AG31)*INDEX(H_Curve!$B$1:$F$100,4+($B$11)*17+3+L$28*2,$AE31)+$AG31*INDEX(H_Curve!$B$1:$F$100,4+($B$11)*17+3+L$28*2,$AF31)),(1-$B$14)*INDEX(H_Parametri!$A$14:$A$16,$B$11)/1000*IF($AB31=0,INDEX(H_Curve!$B$1:$F$100,4+($B$11-1)*17+3+L$28*2,$Z31),(1-$AB31)*INDEX(H_Curve!$B$1:$F$100,4+($B$11-1)*17+3+L$28*2,$Z31)+$AB31*INDEX(H_Curve!$B$1:$F$100,4+($B$11-1)*17+3+L$28*2,$AA31))+$B$14*INDEX(H_Parametri!$A$14:$A$16,$B$11+1)/1000*IF($AG31=0,INDEX(H_Curve!$B$1:$F$100,4+($B$11)*17+3+L$28*2,$AE31),(1-$AG31)*INDEX(H_Curve!$B$1:$F$100,4+($B$11)*17+3+L$28*2,$AE31)+$AG31*INDEX(H_Curve!$B$1:$F$100,4+($B$11)*17+3+L$28*2,$AF31)))))/($B$4/1000)),""))</f>
        <v>0.15197597509858662</v>
      </c>
      <c r="M31" s="13">
        <f>IF(B31="","",IFERROR(MAX(0.0001,$A31*(IF($B$14=0,INDEX(H_Parametri!$A$14:$A$16,$B$11)/1000*IF($AB31=0,INDEX(H_Curve!$B$1:$F$100,4+($B$11-1)*17+3+M$28*2,$Z31),(1-$AB31)*INDEX(H_Curve!$B$1:$F$100,4+($B$11-1)*17+3+M$28*2,$Z31)+$AB31*INDEX(H_Curve!$B$1:$F$100,4+($B$11-1)*17+3+M$28*2,$AA31)),IF($B$14=1,INDEX(H_Parametri!$A$14:$A$16,$B$11+1)/1000*IF($AG31=0,INDEX(H_Curve!$B$1:$F$100,4+($B$11)*17+3+M$28*2,$AE31),(1-$AG31)*INDEX(H_Curve!$B$1:$F$100,4+($B$11)*17+3+M$28*2,$AE31)+$AG31*INDEX(H_Curve!$B$1:$F$100,4+($B$11)*17+3+M$28*2,$AF31)),(1-$B$14)*INDEX(H_Parametri!$A$14:$A$16,$B$11)/1000*IF($AB31=0,INDEX(H_Curve!$B$1:$F$100,4+($B$11-1)*17+3+M$28*2,$Z31),(1-$AB31)*INDEX(H_Curve!$B$1:$F$100,4+($B$11-1)*17+3+M$28*2,$Z31)+$AB31*INDEX(H_Curve!$B$1:$F$100,4+($B$11-1)*17+3+M$28*2,$AA31))+$B$14*INDEX(H_Parametri!$A$14:$A$16,$B$11+1)/1000*IF($AG31=0,INDEX(H_Curve!$B$1:$F$100,4+($B$11)*17+3+M$28*2,$AE31),(1-$AG31)*INDEX(H_Curve!$B$1:$F$100,4+($B$11)*17+3+M$28*2,$AE31)+$AG31*INDEX(H_Curve!$B$1:$F$100,4+($B$11)*17+3+M$28*2,$AF31)))))/($B$4/1000)),""))</f>
        <v>0.13252513398534144</v>
      </c>
      <c r="N31" s="13">
        <f>IF(B31="","",IFERROR(MAX(0.0001,$A31*(IF($B$14=0,INDEX(H_Parametri!$A$14:$A$16,$B$11)/1000*IF($AB31=0,INDEX(H_Curve!$B$1:$F$100,4+($B$11-1)*17+3+N$28*2,$Z31),(1-$AB31)*INDEX(H_Curve!$B$1:$F$100,4+($B$11-1)*17+3+N$28*2,$Z31)+$AB31*INDEX(H_Curve!$B$1:$F$100,4+($B$11-1)*17+3+N$28*2,$AA31)),IF($B$14=1,INDEX(H_Parametri!$A$14:$A$16,$B$11+1)/1000*IF($AG31=0,INDEX(H_Curve!$B$1:$F$100,4+($B$11)*17+3+N$28*2,$AE31),(1-$AG31)*INDEX(H_Curve!$B$1:$F$100,4+($B$11)*17+3+N$28*2,$AE31)+$AG31*INDEX(H_Curve!$B$1:$F$100,4+($B$11)*17+3+N$28*2,$AF31)),(1-$B$14)*INDEX(H_Parametri!$A$14:$A$16,$B$11)/1000*IF($AB31=0,INDEX(H_Curve!$B$1:$F$100,4+($B$11-1)*17+3+N$28*2,$Z31),(1-$AB31)*INDEX(H_Curve!$B$1:$F$100,4+($B$11-1)*17+3+N$28*2,$Z31)+$AB31*INDEX(H_Curve!$B$1:$F$100,4+($B$11-1)*17+3+N$28*2,$AA31))+$B$14*INDEX(H_Parametri!$A$14:$A$16,$B$11+1)/1000*IF($AG31=0,INDEX(H_Curve!$B$1:$F$100,4+($B$11)*17+3+N$28*2,$AE31),(1-$AG31)*INDEX(H_Curve!$B$1:$F$100,4+($B$11)*17+3+N$28*2,$AE31)+$AG31*INDEX(H_Curve!$B$1:$F$100,4+($B$11)*17+3+N$28*2,$AF31)))))/($B$4/1000)),""))</f>
        <v>0.1143077424600471</v>
      </c>
      <c r="O31" s="13" t="str">
        <f>IF(B31="","",IFERROR(MAX(0.0001,$A31*(IF($B$14=0,INDEX(H_Parametri!$A$14:$A$16,$B$11)/1000*IF($AB31=0,INDEX(H_Curve!$B$1:$F$100,4+($B$11-1)*17+3+O$28*2,$Z31),(1-$AB31)*INDEX(H_Curve!$B$1:$F$100,4+($B$11-1)*17+3+O$28*2,$Z31)+$AB31*INDEX(H_Curve!$B$1:$F$100,4+($B$11-1)*17+3+O$28*2,$AA31)),IF($B$14=1,INDEX(H_Parametri!$A$14:$A$16,$B$11+1)/1000*IF($AG31=0,INDEX(H_Curve!$B$1:$F$100,4+($B$11)*17+3+O$28*2,$AE31),(1-$AG31)*INDEX(H_Curve!$B$1:$F$100,4+($B$11)*17+3+O$28*2,$AE31)+$AG31*INDEX(H_Curve!$B$1:$F$100,4+($B$11)*17+3+O$28*2,$AF31)),(1-$B$14)*INDEX(H_Parametri!$A$14:$A$16,$B$11)/1000*IF($AB31=0,INDEX(H_Curve!$B$1:$F$100,4+($B$11-1)*17+3+O$28*2,$Z31),(1-$AB31)*INDEX(H_Curve!$B$1:$F$100,4+($B$11-1)*17+3+O$28*2,$Z31)+$AB31*INDEX(H_Curve!$B$1:$F$100,4+($B$11-1)*17+3+O$28*2,$AA31))+$B$14*INDEX(H_Parametri!$A$14:$A$16,$B$11+1)/1000*IF($AG31=0,INDEX(H_Curve!$B$1:$F$100,4+($B$11)*17+3+O$28*2,$AE31),(1-$AG31)*INDEX(H_Curve!$B$1:$F$100,4+($B$11)*17+3+O$28*2,$AE31)+$AG31*INDEX(H_Curve!$B$1:$F$100,4+($B$11)*17+3+O$28*2,$AF31)))))/($B$4/1000)),""))</f>
        <v/>
      </c>
      <c r="P31" s="13" t="str">
        <f>IF(B31="","",IFERROR(MAX(0.0001,$A31*(IF($B$14=0,INDEX(H_Parametri!$A$14:$A$16,$B$11)/1000*IF($AB31=0,INDEX(H_Curve!$B$1:$F$100,4+($B$11-1)*17+3+P$28*2,$Z31),(1-$AB31)*INDEX(H_Curve!$B$1:$F$100,4+($B$11-1)*17+3+P$28*2,$Z31)+$AB31*INDEX(H_Curve!$B$1:$F$100,4+($B$11-1)*17+3+P$28*2,$AA31)),IF($B$14=1,INDEX(H_Parametri!$A$14:$A$16,$B$11+1)/1000*IF($AG31=0,INDEX(H_Curve!$B$1:$F$100,4+($B$11)*17+3+P$28*2,$AE31),(1-$AG31)*INDEX(H_Curve!$B$1:$F$100,4+($B$11)*17+3+P$28*2,$AE31)+$AG31*INDEX(H_Curve!$B$1:$F$100,4+($B$11)*17+3+P$28*2,$AF31)),(1-$B$14)*INDEX(H_Parametri!$A$14:$A$16,$B$11)/1000*IF($AB31=0,INDEX(H_Curve!$B$1:$F$100,4+($B$11-1)*17+3+P$28*2,$Z31),(1-$AB31)*INDEX(H_Curve!$B$1:$F$100,4+($B$11-1)*17+3+P$28*2,$Z31)+$AB31*INDEX(H_Curve!$B$1:$F$100,4+($B$11-1)*17+3+P$28*2,$AA31))+$B$14*INDEX(H_Parametri!$A$14:$A$16,$B$11+1)/1000*IF($AG31=0,INDEX(H_Curve!$B$1:$F$100,4+($B$11)*17+3+P$28*2,$AE31),(1-$AG31)*INDEX(H_Curve!$B$1:$F$100,4+($B$11)*17+3+P$28*2,$AE31)+$AG31*INDEX(H_Curve!$B$1:$F$100,4+($B$11)*17+3+P$28*2,$AF31)))))/($B$4/1000)),""))</f>
        <v/>
      </c>
      <c r="Q31" s="13" t="str">
        <f>IF(B31="","",IFERROR(MAX(0.0001,$A31*(IF($B$14=0,INDEX(H_Parametri!$A$14:$A$16,$B$11)/1000*IF($AB31=0,INDEX(H_Curve!$B$1:$F$100,4+($B$11-1)*17+3+Q$28*2,$Z31),(1-$AB31)*INDEX(H_Curve!$B$1:$F$100,4+($B$11-1)*17+3+Q$28*2,$Z31)+$AB31*INDEX(H_Curve!$B$1:$F$100,4+($B$11-1)*17+3+Q$28*2,$AA31)),IF($B$14=1,INDEX(H_Parametri!$A$14:$A$16,$B$11+1)/1000*IF($AG31=0,INDEX(H_Curve!$B$1:$F$100,4+($B$11)*17+3+Q$28*2,$AE31),(1-$AG31)*INDEX(H_Curve!$B$1:$F$100,4+($B$11)*17+3+Q$28*2,$AE31)+$AG31*INDEX(H_Curve!$B$1:$F$100,4+($B$11)*17+3+Q$28*2,$AF31)),(1-$B$14)*INDEX(H_Parametri!$A$14:$A$16,$B$11)/1000*IF($AB31=0,INDEX(H_Curve!$B$1:$F$100,4+($B$11-1)*17+3+Q$28*2,$Z31),(1-$AB31)*INDEX(H_Curve!$B$1:$F$100,4+($B$11-1)*17+3+Q$28*2,$Z31)+$AB31*INDEX(H_Curve!$B$1:$F$100,4+($B$11-1)*17+3+Q$28*2,$AA31))+$B$14*INDEX(H_Parametri!$A$14:$A$16,$B$11+1)/1000*IF($AG31=0,INDEX(H_Curve!$B$1:$F$100,4+($B$11)*17+3+Q$28*2,$AE31),(1-$AG31)*INDEX(H_Curve!$B$1:$F$100,4+($B$11)*17+3+Q$28*2,$AE31)+$AG31*INDEX(H_Curve!$B$1:$F$100,4+($B$11)*17+3+Q$28*2,$AF31)))))/($B$4/1000)),""))</f>
        <v/>
      </c>
      <c r="R31" s="18">
        <f t="array" ref="R31">IF(B31="","",SUMPRODUCT(MAX(ISNUMBER(G31:P31)*ISNUMBER(H31:Q31)*(G31:P31&gt;=$B$6)*(H31:Q31&lt;$B$6)*(COLUMN(G31:P31)-COLUMN(G31)+1))))</f>
        <v>0</v>
      </c>
      <c r="S31" s="9" t="str">
        <f t="shared" si="4"/>
        <v/>
      </c>
      <c r="T31" s="9" t="str">
        <f t="shared" si="5"/>
        <v/>
      </c>
      <c r="U31" s="13" t="str">
        <f t="shared" si="6"/>
        <v/>
      </c>
      <c r="V31" s="13" t="str">
        <f t="shared" si="7"/>
        <v/>
      </c>
      <c r="W31" s="18">
        <f t="shared" si="8"/>
        <v>10</v>
      </c>
      <c r="X31" s="18">
        <f>IFERROR(LARGE(INDEX(H_Curve!$B$1:$F$100,4+($B$11-1)*17+1,1):INDEX(H_Curve!$B$1:$F$100,4+($B$11-1)*17+1,5),COUNTIF(INDEX(H_Curve!$B$1:$F$100,4+($B$11-1)*17+1,1):INDEX(H_Curve!$B$1:$F$100,4+($B$11-1)*17+1,5),"&gt;"&amp;$A31)+1),0)</f>
        <v>80</v>
      </c>
      <c r="Y31" s="18">
        <f>IFERROR(SMALL(INDEX(H_Curve!$B$1:$F$100,4+($B$11-1)*17+1,1):INDEX(H_Curve!$B$1:$F$100,4+($B$11-1)*17+1,5),COUNTIF(INDEX(H_Curve!$B$1:$F$100,4+($B$11-1)*17+1,1):INDEX(H_Curve!$B$1:$F$100,4+($B$11-1)*17+1,5),"&lt;"&amp;$A31)+1),1000000000)</f>
        <v>150</v>
      </c>
      <c r="Z31" s="18">
        <f>IFERROR(IF(X31=0,MATCH(Y31,INDEX(H_Curve!$B$1:$F$100,4+($B$11-1)*17+1,1):INDEX(H_Curve!$B$1:$F$100,4+($B$11-1)*17+1,5),0),MATCH(X31,INDEX(H_Curve!$B$1:$F$100,4+($B$11-1)*17+1,1):INDEX(H_Curve!$B$1:$F$100,4+($B$11-1)*17+1,5),0)),"")</f>
        <v>1</v>
      </c>
      <c r="AA31" s="18">
        <f>IFERROR(IF(Y31&gt;=1000000000,MATCH(X31,INDEX(H_Curve!$B$1:$F$100,4+($B$11-1)*17+1,1):INDEX(H_Curve!$B$1:$F$100,4+($B$11-1)*17+1,5),0),MATCH(Y31,INDEX(H_Curve!$B$1:$F$100,4+($B$11-1)*17+1,1):INDEX(H_Curve!$B$1:$F$100,4+($B$11-1)*17+1,5),0)),"")</f>
        <v>2</v>
      </c>
      <c r="AB31" s="13">
        <f t="shared" si="9"/>
        <v>0.2857142857142857</v>
      </c>
      <c r="AC31" s="18">
        <f>IFERROR(LARGE(INDEX(H_Curve!$B$1:$F$100,4+($B$11)*17+1,1):INDEX(H_Curve!$B$1:$F$100,4+($B$11)*17+1,5),COUNTIF(INDEX(H_Curve!$B$1:$F$100,4+($B$11)*17+1,1):INDEX(H_Curve!$B$1:$F$100,4+($B$11)*17+1,5),"&gt;"&amp;$A31)+1),0)</f>
        <v>80</v>
      </c>
      <c r="AD31" s="18">
        <f>IFERROR(SMALL(INDEX(H_Curve!$B$1:$F$100,4+($B$11)*17+1,1):INDEX(H_Curve!$B$1:$F$100,4+($B$11)*17+1,5),COUNTIF(INDEX(H_Curve!$B$1:$F$100,4+($B$11)*17+1,1):INDEX(H_Curve!$B$1:$F$100,4+($B$11)*17+1,5),"&lt;"&amp;$A31)+1),1000000000)</f>
        <v>150</v>
      </c>
      <c r="AE31" s="18">
        <f>IFERROR(IF(AC31=0,MATCH(AD31,INDEX(H_Curve!$B$1:$F$100,4+($B$11)*17+1,1):INDEX(H_Curve!$B$1:$F$100,4+($B$11)*17+1,5),0),MATCH(AC31,INDEX(H_Curve!$B$1:$F$100,4+($B$11)*17+1,1):INDEX(H_Curve!$B$1:$F$100,4+($B$11)*17+1,5),0)),"")</f>
        <v>1</v>
      </c>
      <c r="AF31" s="18">
        <f>IFERROR(IF(AD31&gt;=1000000000,MATCH(AC31,INDEX(H_Curve!$B$1:$F$100,4+($B$11)*17+1,1):INDEX(H_Curve!$B$1:$F$100,4+($B$11)*17+1,5),0),MATCH(AD31,INDEX(H_Curve!$B$1:$F$100,4+($B$11)*17+1,1):INDEX(H_Curve!$B$1:$F$100,4+($B$11)*17+1,5),0)),"")</f>
        <v>2</v>
      </c>
      <c r="AG31" s="13">
        <f t="shared" si="10"/>
        <v>0.2857142857142857</v>
      </c>
      <c r="AH31" s="34">
        <f>IFERROR(MAX(0.000001,(IF($B$14=0,INDEX(H_Parametri!$A$14:$A$16,$B$11)/1000*IF($AB31=0,INDEX(H_Curve!$B$1:$F$100,4+($B$11-1)*17+2,$Z31),(1-$AB31)*INDEX(H_Curve!$B$1:$F$100,4+($B$11-1)*17+2,$Z31)+$AB31*INDEX(H_Curve!$B$1:$F$100,4+($B$11-1)*17+2,$AA31)),IF($B$14=1,INDEX(H_Parametri!$A$14:$A$16,$B$11+1)/1000*IF($AG31=0,INDEX(H_Curve!$B$1:$F$100,4+($B$11)*17+2,$AE31),(1-$AG31)*INDEX(H_Curve!$B$1:$F$100,4+($B$11)*17+2,$AE31)+$AG31*INDEX(H_Curve!$B$1:$F$100,4+($B$11)*17+2,$AF31)),(1-$B$14)*INDEX(H_Parametri!$A$14:$A$16,$B$11)/1000*IF($AB31=0,INDEX(H_Curve!$B$1:$F$100,4+($B$11-1)*17+2,$Z31),(1-$AB31)*INDEX(H_Curve!$B$1:$F$100,4+($B$11-1)*17+2,$Z31)+$AB31*INDEX(H_Curve!$B$1:$F$100,4+($B$11-1)*17+2,$AA31))+$B$14*INDEX(H_Parametri!$A$14:$A$16,$B$11+1)/1000*IF($AG31=0,INDEX(H_Curve!$B$1:$F$100,4+($B$11)*17+2,$AE31),(1-$AG31)*INDEX(H_Curve!$B$1:$F$100,4+($B$11)*17+2,$AE31)+$AG31*INDEX(H_Curve!$B$1:$F$100,4+($B$11)*17+2,$AF31)))))/($B$4/1000)),"")</f>
        <v>1.2481726259012725E-2</v>
      </c>
      <c r="AJ31" s="18">
        <f t="shared" si="11"/>
        <v>0</v>
      </c>
    </row>
    <row r="32" spans="1:37" x14ac:dyDescent="0.25">
      <c r="A32" s="12">
        <v>125</v>
      </c>
      <c r="B32" s="23">
        <f t="shared" si="0"/>
        <v>1.5321101925097707</v>
      </c>
      <c r="C32" s="13">
        <f t="shared" si="1"/>
        <v>0.16317364196270479</v>
      </c>
      <c r="D32" s="23">
        <f t="shared" si="2"/>
        <v>1.70850090694982</v>
      </c>
      <c r="E32" s="23" t="str">
        <f t="shared" si="3"/>
        <v/>
      </c>
      <c r="F32" s="5" t="str">
        <f>IF(B32="","",IF(OR($B$10&lt;2,$B$4&lt;INDEX(H_Parametri!$A$14:$A$16,1),$B$4&gt;INDEX(H_Parametri!$A$14:$A$16,H_Parametri!$B$10)),"L fuori campo: estrapolazione",IF(OR(A32&lt;$B$15*0.99,A32&gt;$B$16*1.01),"Q fuori dal campo dei dati (estrapolazione)",IF(D32="&gt; x max","Il getto raggiunge la parete (lancio &gt; x max)",IF(D32="n.d.","Dati CFD non coprono tutta la distanza (curva incompleta)",IF(NOT(ISNUMBER(D32)),"vₜ non raggiunta / &lt; 0,5 m",IF(IFERROR(C32&gt;INDEX(G32:Q32,ROUND(H_Parametri!$B$9*2,0))/B32,FALSE()),"vₜ nel campo vicino (x &lt; "&amp;H_Parametri!$B$9&amp;" m): lancio poco significativo",IF(D32&gt;$B$17,"Oltre x max: influenzato dalla parete","OK"))))))))</f>
        <v>OK</v>
      </c>
      <c r="G32" s="13">
        <f>IF(B32="","",IFERROR(MAX(0.0001,$A32*(IF($B$14=0,INDEX(H_Parametri!$A$14:$A$16,$B$11)/1000*IF($AB32=0,INDEX(H_Curve!$B$1:$F$100,4+($B$11-1)*17+3+G$28*2,$Z32),(1-$AB32)*INDEX(H_Curve!$B$1:$F$100,4+($B$11-1)*17+3+G$28*2,$Z32)+$AB32*INDEX(H_Curve!$B$1:$F$100,4+($B$11-1)*17+3+G$28*2,$AA32)),IF($B$14=1,INDEX(H_Parametri!$A$14:$A$16,$B$11+1)/1000*IF($AG32=0,INDEX(H_Curve!$B$1:$F$100,4+($B$11)*17+3+G$28*2,$AE32),(1-$AG32)*INDEX(H_Curve!$B$1:$F$100,4+($B$11)*17+3+G$28*2,$AE32)+$AG32*INDEX(H_Curve!$B$1:$F$100,4+($B$11)*17+3+G$28*2,$AF32)),(1-$B$14)*INDEX(H_Parametri!$A$14:$A$16,$B$11)/1000*IF($AB32=0,INDEX(H_Curve!$B$1:$F$100,4+($B$11-1)*17+3+G$28*2,$Z32),(1-$AB32)*INDEX(H_Curve!$B$1:$F$100,4+($B$11-1)*17+3+G$28*2,$Z32)+$AB32*INDEX(H_Curve!$B$1:$F$100,4+($B$11-1)*17+3+G$28*2,$AA32))+$B$14*INDEX(H_Parametri!$A$14:$A$16,$B$11+1)/1000*IF($AG32=0,INDEX(H_Curve!$B$1:$F$100,4+($B$11)*17+3+G$28*2,$AE32),(1-$AG32)*INDEX(H_Curve!$B$1:$F$100,4+($B$11)*17+3+G$28*2,$AE32)+$AG32*INDEX(H_Curve!$B$1:$F$100,4+($B$11)*17+3+G$28*2,$AF32)))))/($B$4/1000)),""))</f>
        <v>0.26447841411934164</v>
      </c>
      <c r="H32" s="13">
        <f>IF(B32="","",IFERROR(MAX(0.0001,$A32*(IF($B$14=0,INDEX(H_Parametri!$A$14:$A$16,$B$11)/1000*IF($AB32=0,INDEX(H_Curve!$B$1:$F$100,4+($B$11-1)*17+3+H$28*2,$Z32),(1-$AB32)*INDEX(H_Curve!$B$1:$F$100,4+($B$11-1)*17+3+H$28*2,$Z32)+$AB32*INDEX(H_Curve!$B$1:$F$100,4+($B$11-1)*17+3+H$28*2,$AA32)),IF($B$14=1,INDEX(H_Parametri!$A$14:$A$16,$B$11+1)/1000*IF($AG32=0,INDEX(H_Curve!$B$1:$F$100,4+($B$11)*17+3+H$28*2,$AE32),(1-$AG32)*INDEX(H_Curve!$B$1:$F$100,4+($B$11)*17+3+H$28*2,$AE32)+$AG32*INDEX(H_Curve!$B$1:$F$100,4+($B$11)*17+3+H$28*2,$AF32)),(1-$B$14)*INDEX(H_Parametri!$A$14:$A$16,$B$11)/1000*IF($AB32=0,INDEX(H_Curve!$B$1:$F$100,4+($B$11-1)*17+3+H$28*2,$Z32),(1-$AB32)*INDEX(H_Curve!$B$1:$F$100,4+($B$11-1)*17+3+H$28*2,$Z32)+$AB32*INDEX(H_Curve!$B$1:$F$100,4+($B$11-1)*17+3+H$28*2,$AA32))+$B$14*INDEX(H_Parametri!$A$14:$A$16,$B$11+1)/1000*IF($AG32=0,INDEX(H_Curve!$B$1:$F$100,4+($B$11)*17+3+H$28*2,$AE32),(1-$AG32)*INDEX(H_Curve!$B$1:$F$100,4+($B$11)*17+3+H$28*2,$AE32)+$AG32*INDEX(H_Curve!$B$1:$F$100,4+($B$11)*17+3+H$28*2,$AF32)))))/($B$4/1000)),""))</f>
        <v>0.26275629116701643</v>
      </c>
      <c r="I32" s="13">
        <f>IF(B32="","",IFERROR(MAX(0.0001,$A32*(IF($B$14=0,INDEX(H_Parametri!$A$14:$A$16,$B$11)/1000*IF($AB32=0,INDEX(H_Curve!$B$1:$F$100,4+($B$11-1)*17+3+I$28*2,$Z32),(1-$AB32)*INDEX(H_Curve!$B$1:$F$100,4+($B$11-1)*17+3+I$28*2,$Z32)+$AB32*INDEX(H_Curve!$B$1:$F$100,4+($B$11-1)*17+3+I$28*2,$AA32)),IF($B$14=1,INDEX(H_Parametri!$A$14:$A$16,$B$11+1)/1000*IF($AG32=0,INDEX(H_Curve!$B$1:$F$100,4+($B$11)*17+3+I$28*2,$AE32),(1-$AG32)*INDEX(H_Curve!$B$1:$F$100,4+($B$11)*17+3+I$28*2,$AE32)+$AG32*INDEX(H_Curve!$B$1:$F$100,4+($B$11)*17+3+I$28*2,$AF32)),(1-$B$14)*INDEX(H_Parametri!$A$14:$A$16,$B$11)/1000*IF($AB32=0,INDEX(H_Curve!$B$1:$F$100,4+($B$11-1)*17+3+I$28*2,$Z32),(1-$AB32)*INDEX(H_Curve!$B$1:$F$100,4+($B$11-1)*17+3+I$28*2,$Z32)+$AB32*INDEX(H_Curve!$B$1:$F$100,4+($B$11-1)*17+3+I$28*2,$AA32))+$B$14*INDEX(H_Parametri!$A$14:$A$16,$B$11+1)/1000*IF($AG32=0,INDEX(H_Curve!$B$1:$F$100,4+($B$11)*17+3+I$28*2,$AE32),(1-$AG32)*INDEX(H_Curve!$B$1:$F$100,4+($B$11)*17+3+I$28*2,$AE32)+$AG32*INDEX(H_Curve!$B$1:$F$100,4+($B$11)*17+3+I$28*2,$AF32)))))/($B$4/1000)),""))</f>
        <v>0.26165455042529123</v>
      </c>
      <c r="J32" s="13">
        <f>IF(B32="","",IFERROR(MAX(0.0001,$A32*(IF($B$14=0,INDEX(H_Parametri!$A$14:$A$16,$B$11)/1000*IF($AB32=0,INDEX(H_Curve!$B$1:$F$100,4+($B$11-1)*17+3+J$28*2,$Z32),(1-$AB32)*INDEX(H_Curve!$B$1:$F$100,4+($B$11-1)*17+3+J$28*2,$Z32)+$AB32*INDEX(H_Curve!$B$1:$F$100,4+($B$11-1)*17+3+J$28*2,$AA32)),IF($B$14=1,INDEX(H_Parametri!$A$14:$A$16,$B$11+1)/1000*IF($AG32=0,INDEX(H_Curve!$B$1:$F$100,4+($B$11)*17+3+J$28*2,$AE32),(1-$AG32)*INDEX(H_Curve!$B$1:$F$100,4+($B$11)*17+3+J$28*2,$AE32)+$AG32*INDEX(H_Curve!$B$1:$F$100,4+($B$11)*17+3+J$28*2,$AF32)),(1-$B$14)*INDEX(H_Parametri!$A$14:$A$16,$B$11)/1000*IF($AB32=0,INDEX(H_Curve!$B$1:$F$100,4+($B$11-1)*17+3+J$28*2,$Z32),(1-$AB32)*INDEX(H_Curve!$B$1:$F$100,4+($B$11-1)*17+3+J$28*2,$Z32)+$AB32*INDEX(H_Curve!$B$1:$F$100,4+($B$11-1)*17+3+J$28*2,$AA32))+$B$14*INDEX(H_Parametri!$A$14:$A$16,$B$11+1)/1000*IF($AG32=0,INDEX(H_Curve!$B$1:$F$100,4+($B$11)*17+3+J$28*2,$AE32),(1-$AG32)*INDEX(H_Curve!$B$1:$F$100,4+($B$11)*17+3+J$28*2,$AE32)+$AG32*INDEX(H_Curve!$B$1:$F$100,4+($B$11)*17+3+J$28*2,$AF32)))))/($B$4/1000)),""))</f>
        <v>0.23658592567705816</v>
      </c>
      <c r="K32" s="13">
        <f>IF(B32="","",IFERROR(MAX(0.0001,$A32*(IF($B$14=0,INDEX(H_Parametri!$A$14:$A$16,$B$11)/1000*IF($AB32=0,INDEX(H_Curve!$B$1:$F$100,4+($B$11-1)*17+3+K$28*2,$Z32),(1-$AB32)*INDEX(H_Curve!$B$1:$F$100,4+($B$11-1)*17+3+K$28*2,$Z32)+$AB32*INDEX(H_Curve!$B$1:$F$100,4+($B$11-1)*17+3+K$28*2,$AA32)),IF($B$14=1,INDEX(H_Parametri!$A$14:$A$16,$B$11+1)/1000*IF($AG32=0,INDEX(H_Curve!$B$1:$F$100,4+($B$11)*17+3+K$28*2,$AE32),(1-$AG32)*INDEX(H_Curve!$B$1:$F$100,4+($B$11)*17+3+K$28*2,$AE32)+$AG32*INDEX(H_Curve!$B$1:$F$100,4+($B$11)*17+3+K$28*2,$AF32)),(1-$B$14)*INDEX(H_Parametri!$A$14:$A$16,$B$11)/1000*IF($AB32=0,INDEX(H_Curve!$B$1:$F$100,4+($B$11-1)*17+3+K$28*2,$Z32),(1-$AB32)*INDEX(H_Curve!$B$1:$F$100,4+($B$11-1)*17+3+K$28*2,$Z32)+$AB32*INDEX(H_Curve!$B$1:$F$100,4+($B$11-1)*17+3+K$28*2,$AA32))+$B$14*INDEX(H_Parametri!$A$14:$A$16,$B$11+1)/1000*IF($AG32=0,INDEX(H_Curve!$B$1:$F$100,4+($B$11)*17+3+K$28*2,$AE32),(1-$AG32)*INDEX(H_Curve!$B$1:$F$100,4+($B$11)*17+3+K$28*2,$AE32)+$AG32*INDEX(H_Curve!$B$1:$F$100,4+($B$11)*17+3+K$28*2,$AF32)))))/($B$4/1000)),""))</f>
        <v>0.20324688712399408</v>
      </c>
      <c r="L32" s="13">
        <f>IF(B32="","",IFERROR(MAX(0.0001,$A32*(IF($B$14=0,INDEX(H_Parametri!$A$14:$A$16,$B$11)/1000*IF($AB32=0,INDEX(H_Curve!$B$1:$F$100,4+($B$11-1)*17+3+L$28*2,$Z32),(1-$AB32)*INDEX(H_Curve!$B$1:$F$100,4+($B$11-1)*17+3+L$28*2,$Z32)+$AB32*INDEX(H_Curve!$B$1:$F$100,4+($B$11-1)*17+3+L$28*2,$AA32)),IF($B$14=1,INDEX(H_Parametri!$A$14:$A$16,$B$11+1)/1000*IF($AG32=0,INDEX(H_Curve!$B$1:$F$100,4+($B$11)*17+3+L$28*2,$AE32),(1-$AG32)*INDEX(H_Curve!$B$1:$F$100,4+($B$11)*17+3+L$28*2,$AE32)+$AG32*INDEX(H_Curve!$B$1:$F$100,4+($B$11)*17+3+L$28*2,$AF32)),(1-$B$14)*INDEX(H_Parametri!$A$14:$A$16,$B$11)/1000*IF($AB32=0,INDEX(H_Curve!$B$1:$F$100,4+($B$11-1)*17+3+L$28*2,$Z32),(1-$AB32)*INDEX(H_Curve!$B$1:$F$100,4+($B$11-1)*17+3+L$28*2,$Z32)+$AB32*INDEX(H_Curve!$B$1:$F$100,4+($B$11-1)*17+3+L$28*2,$AA32))+$B$14*INDEX(H_Parametri!$A$14:$A$16,$B$11+1)/1000*IF($AG32=0,INDEX(H_Curve!$B$1:$F$100,4+($B$11)*17+3+L$28*2,$AE32),(1-$AG32)*INDEX(H_Curve!$B$1:$F$100,4+($B$11)*17+3+L$28*2,$AE32)+$AG32*INDEX(H_Curve!$B$1:$F$100,4+($B$11)*17+3+L$28*2,$AF32)))))/($B$4/1000)),""))</f>
        <v>0.17345713565374912</v>
      </c>
      <c r="M32" s="13">
        <f>IF(B32="","",IFERROR(MAX(0.0001,$A32*(IF($B$14=0,INDEX(H_Parametri!$A$14:$A$16,$B$11)/1000*IF($AB32=0,INDEX(H_Curve!$B$1:$F$100,4+($B$11-1)*17+3+M$28*2,$Z32),(1-$AB32)*INDEX(H_Curve!$B$1:$F$100,4+($B$11-1)*17+3+M$28*2,$Z32)+$AB32*INDEX(H_Curve!$B$1:$F$100,4+($B$11-1)*17+3+M$28*2,$AA32)),IF($B$14=1,INDEX(H_Parametri!$A$14:$A$16,$B$11+1)/1000*IF($AG32=0,INDEX(H_Curve!$B$1:$F$100,4+($B$11)*17+3+M$28*2,$AE32),(1-$AG32)*INDEX(H_Curve!$B$1:$F$100,4+($B$11)*17+3+M$28*2,$AE32)+$AG32*INDEX(H_Curve!$B$1:$F$100,4+($B$11)*17+3+M$28*2,$AF32)),(1-$B$14)*INDEX(H_Parametri!$A$14:$A$16,$B$11)/1000*IF($AB32=0,INDEX(H_Curve!$B$1:$F$100,4+($B$11-1)*17+3+M$28*2,$Z32),(1-$AB32)*INDEX(H_Curve!$B$1:$F$100,4+($B$11-1)*17+3+M$28*2,$Z32)+$AB32*INDEX(H_Curve!$B$1:$F$100,4+($B$11-1)*17+3+M$28*2,$AA32))+$B$14*INDEX(H_Parametri!$A$14:$A$16,$B$11+1)/1000*IF($AG32=0,INDEX(H_Curve!$B$1:$F$100,4+($B$11)*17+3+M$28*2,$AE32),(1-$AG32)*INDEX(H_Curve!$B$1:$F$100,4+($B$11)*17+3+M$28*2,$AE32)+$AG32*INDEX(H_Curve!$B$1:$F$100,4+($B$11)*17+3+M$28*2,$AF32)))))/($B$4/1000)),""))</f>
        <v>0.14537458194892164</v>
      </c>
      <c r="N32" s="13">
        <f>IF(B32="","",IFERROR(MAX(0.0001,$A32*(IF($B$14=0,INDEX(H_Parametri!$A$14:$A$16,$B$11)/1000*IF($AB32=0,INDEX(H_Curve!$B$1:$F$100,4+($B$11-1)*17+3+N$28*2,$Z32),(1-$AB32)*INDEX(H_Curve!$B$1:$F$100,4+($B$11-1)*17+3+N$28*2,$Z32)+$AB32*INDEX(H_Curve!$B$1:$F$100,4+($B$11-1)*17+3+N$28*2,$AA32)),IF($B$14=1,INDEX(H_Parametri!$A$14:$A$16,$B$11+1)/1000*IF($AG32=0,INDEX(H_Curve!$B$1:$F$100,4+($B$11)*17+3+N$28*2,$AE32),(1-$AG32)*INDEX(H_Curve!$B$1:$F$100,4+($B$11)*17+3+N$28*2,$AE32)+$AG32*INDEX(H_Curve!$B$1:$F$100,4+($B$11)*17+3+N$28*2,$AF32)),(1-$B$14)*INDEX(H_Parametri!$A$14:$A$16,$B$11)/1000*IF($AB32=0,INDEX(H_Curve!$B$1:$F$100,4+($B$11-1)*17+3+N$28*2,$Z32),(1-$AB32)*INDEX(H_Curve!$B$1:$F$100,4+($B$11-1)*17+3+N$28*2,$Z32)+$AB32*INDEX(H_Curve!$B$1:$F$100,4+($B$11-1)*17+3+N$28*2,$AA32))+$B$14*INDEX(H_Parametri!$A$14:$A$16,$B$11+1)/1000*IF($AG32=0,INDEX(H_Curve!$B$1:$F$100,4+($B$11)*17+3+N$28*2,$AE32),(1-$AG32)*INDEX(H_Curve!$B$1:$F$100,4+($B$11)*17+3+N$28*2,$AE32)+$AG32*INDEX(H_Curve!$B$1:$F$100,4+($B$11)*17+3+N$28*2,$AF32)))))/($B$4/1000)),""))</f>
        <v>0.11935735767932532</v>
      </c>
      <c r="O32" s="13" t="str">
        <f>IF(B32="","",IFERROR(MAX(0.0001,$A32*(IF($B$14=0,INDEX(H_Parametri!$A$14:$A$16,$B$11)/1000*IF($AB32=0,INDEX(H_Curve!$B$1:$F$100,4+($B$11-1)*17+3+O$28*2,$Z32),(1-$AB32)*INDEX(H_Curve!$B$1:$F$100,4+($B$11-1)*17+3+O$28*2,$Z32)+$AB32*INDEX(H_Curve!$B$1:$F$100,4+($B$11-1)*17+3+O$28*2,$AA32)),IF($B$14=1,INDEX(H_Parametri!$A$14:$A$16,$B$11+1)/1000*IF($AG32=0,INDEX(H_Curve!$B$1:$F$100,4+($B$11)*17+3+O$28*2,$AE32),(1-$AG32)*INDEX(H_Curve!$B$1:$F$100,4+($B$11)*17+3+O$28*2,$AE32)+$AG32*INDEX(H_Curve!$B$1:$F$100,4+($B$11)*17+3+O$28*2,$AF32)),(1-$B$14)*INDEX(H_Parametri!$A$14:$A$16,$B$11)/1000*IF($AB32=0,INDEX(H_Curve!$B$1:$F$100,4+($B$11-1)*17+3+O$28*2,$Z32),(1-$AB32)*INDEX(H_Curve!$B$1:$F$100,4+($B$11-1)*17+3+O$28*2,$Z32)+$AB32*INDEX(H_Curve!$B$1:$F$100,4+($B$11-1)*17+3+O$28*2,$AA32))+$B$14*INDEX(H_Parametri!$A$14:$A$16,$B$11+1)/1000*IF($AG32=0,INDEX(H_Curve!$B$1:$F$100,4+($B$11)*17+3+O$28*2,$AE32),(1-$AG32)*INDEX(H_Curve!$B$1:$F$100,4+($B$11)*17+3+O$28*2,$AE32)+$AG32*INDEX(H_Curve!$B$1:$F$100,4+($B$11)*17+3+O$28*2,$AF32)))))/($B$4/1000)),""))</f>
        <v/>
      </c>
      <c r="P32" s="13" t="str">
        <f>IF(B32="","",IFERROR(MAX(0.0001,$A32*(IF($B$14=0,INDEX(H_Parametri!$A$14:$A$16,$B$11)/1000*IF($AB32=0,INDEX(H_Curve!$B$1:$F$100,4+($B$11-1)*17+3+P$28*2,$Z32),(1-$AB32)*INDEX(H_Curve!$B$1:$F$100,4+($B$11-1)*17+3+P$28*2,$Z32)+$AB32*INDEX(H_Curve!$B$1:$F$100,4+($B$11-1)*17+3+P$28*2,$AA32)),IF($B$14=1,INDEX(H_Parametri!$A$14:$A$16,$B$11+1)/1000*IF($AG32=0,INDEX(H_Curve!$B$1:$F$100,4+($B$11)*17+3+P$28*2,$AE32),(1-$AG32)*INDEX(H_Curve!$B$1:$F$100,4+($B$11)*17+3+P$28*2,$AE32)+$AG32*INDEX(H_Curve!$B$1:$F$100,4+($B$11)*17+3+P$28*2,$AF32)),(1-$B$14)*INDEX(H_Parametri!$A$14:$A$16,$B$11)/1000*IF($AB32=0,INDEX(H_Curve!$B$1:$F$100,4+($B$11-1)*17+3+P$28*2,$Z32),(1-$AB32)*INDEX(H_Curve!$B$1:$F$100,4+($B$11-1)*17+3+P$28*2,$Z32)+$AB32*INDEX(H_Curve!$B$1:$F$100,4+($B$11-1)*17+3+P$28*2,$AA32))+$B$14*INDEX(H_Parametri!$A$14:$A$16,$B$11+1)/1000*IF($AG32=0,INDEX(H_Curve!$B$1:$F$100,4+($B$11)*17+3+P$28*2,$AE32),(1-$AG32)*INDEX(H_Curve!$B$1:$F$100,4+($B$11)*17+3+P$28*2,$AE32)+$AG32*INDEX(H_Curve!$B$1:$F$100,4+($B$11)*17+3+P$28*2,$AF32)))))/($B$4/1000)),""))</f>
        <v/>
      </c>
      <c r="Q32" s="13" t="str">
        <f>IF(B32="","",IFERROR(MAX(0.0001,$A32*(IF($B$14=0,INDEX(H_Parametri!$A$14:$A$16,$B$11)/1000*IF($AB32=0,INDEX(H_Curve!$B$1:$F$100,4+($B$11-1)*17+3+Q$28*2,$Z32),(1-$AB32)*INDEX(H_Curve!$B$1:$F$100,4+($B$11-1)*17+3+Q$28*2,$Z32)+$AB32*INDEX(H_Curve!$B$1:$F$100,4+($B$11-1)*17+3+Q$28*2,$AA32)),IF($B$14=1,INDEX(H_Parametri!$A$14:$A$16,$B$11+1)/1000*IF($AG32=0,INDEX(H_Curve!$B$1:$F$100,4+($B$11)*17+3+Q$28*2,$AE32),(1-$AG32)*INDEX(H_Curve!$B$1:$F$100,4+($B$11)*17+3+Q$28*2,$AE32)+$AG32*INDEX(H_Curve!$B$1:$F$100,4+($B$11)*17+3+Q$28*2,$AF32)),(1-$B$14)*INDEX(H_Parametri!$A$14:$A$16,$B$11)/1000*IF($AB32=0,INDEX(H_Curve!$B$1:$F$100,4+($B$11-1)*17+3+Q$28*2,$Z32),(1-$AB32)*INDEX(H_Curve!$B$1:$F$100,4+($B$11-1)*17+3+Q$28*2,$Z32)+$AB32*INDEX(H_Curve!$B$1:$F$100,4+($B$11-1)*17+3+Q$28*2,$AA32))+$B$14*INDEX(H_Parametri!$A$14:$A$16,$B$11+1)/1000*IF($AG32=0,INDEX(H_Curve!$B$1:$F$100,4+($B$11)*17+3+Q$28*2,$AE32),(1-$AG32)*INDEX(H_Curve!$B$1:$F$100,4+($B$11)*17+3+Q$28*2,$AE32)+$AG32*INDEX(H_Curve!$B$1:$F$100,4+($B$11)*17+3+Q$28*2,$AF32)))))/($B$4/1000)),""))</f>
        <v/>
      </c>
      <c r="R32" s="18">
        <f t="array" ref="R32">IF(B32="","",SUMPRODUCT(MAX(ISNUMBER(G32:P32)*ISNUMBER(H32:Q32)*(G32:P32&gt;=$B$6)*(H32:Q32&lt;$B$6)*(COLUMN(G32:P32)-COLUMN(G32)+1))))</f>
        <v>3</v>
      </c>
      <c r="S32" s="9">
        <f t="shared" si="4"/>
        <v>1.5</v>
      </c>
      <c r="T32" s="9">
        <f t="shared" si="5"/>
        <v>2</v>
      </c>
      <c r="U32" s="13">
        <f t="shared" si="6"/>
        <v>0.26165455042529123</v>
      </c>
      <c r="V32" s="13">
        <f t="shared" si="7"/>
        <v>0.23658592567705816</v>
      </c>
      <c r="W32" s="18">
        <f t="shared" si="8"/>
        <v>10</v>
      </c>
      <c r="X32" s="18">
        <f>IFERROR(LARGE(INDEX(H_Curve!$B$1:$F$100,4+($B$11-1)*17+1,1):INDEX(H_Curve!$B$1:$F$100,4+($B$11-1)*17+1,5),COUNTIF(INDEX(H_Curve!$B$1:$F$100,4+($B$11-1)*17+1,1):INDEX(H_Curve!$B$1:$F$100,4+($B$11-1)*17+1,5),"&gt;"&amp;$A32)+1),0)</f>
        <v>80</v>
      </c>
      <c r="Y32" s="18">
        <f>IFERROR(SMALL(INDEX(H_Curve!$B$1:$F$100,4+($B$11-1)*17+1,1):INDEX(H_Curve!$B$1:$F$100,4+($B$11-1)*17+1,5),COUNTIF(INDEX(H_Curve!$B$1:$F$100,4+($B$11-1)*17+1,1):INDEX(H_Curve!$B$1:$F$100,4+($B$11-1)*17+1,5),"&lt;"&amp;$A32)+1),1000000000)</f>
        <v>150</v>
      </c>
      <c r="Z32" s="18">
        <f>IFERROR(IF(X32=0,MATCH(Y32,INDEX(H_Curve!$B$1:$F$100,4+($B$11-1)*17+1,1):INDEX(H_Curve!$B$1:$F$100,4+($B$11-1)*17+1,5),0),MATCH(X32,INDEX(H_Curve!$B$1:$F$100,4+($B$11-1)*17+1,1):INDEX(H_Curve!$B$1:$F$100,4+($B$11-1)*17+1,5),0)),"")</f>
        <v>1</v>
      </c>
      <c r="AA32" s="18">
        <f>IFERROR(IF(Y32&gt;=1000000000,MATCH(X32,INDEX(H_Curve!$B$1:$F$100,4+($B$11-1)*17+1,1):INDEX(H_Curve!$B$1:$F$100,4+($B$11-1)*17+1,5),0),MATCH(Y32,INDEX(H_Curve!$B$1:$F$100,4+($B$11-1)*17+1,1):INDEX(H_Curve!$B$1:$F$100,4+($B$11-1)*17+1,5),0)),"")</f>
        <v>2</v>
      </c>
      <c r="AB32" s="13">
        <f t="shared" si="9"/>
        <v>0.6428571428571429</v>
      </c>
      <c r="AC32" s="18">
        <f>IFERROR(LARGE(INDEX(H_Curve!$B$1:$F$100,4+($B$11)*17+1,1):INDEX(H_Curve!$B$1:$F$100,4+($B$11)*17+1,5),COUNTIF(INDEX(H_Curve!$B$1:$F$100,4+($B$11)*17+1,1):INDEX(H_Curve!$B$1:$F$100,4+($B$11)*17+1,5),"&gt;"&amp;$A32)+1),0)</f>
        <v>80</v>
      </c>
      <c r="AD32" s="18">
        <f>IFERROR(SMALL(INDEX(H_Curve!$B$1:$F$100,4+($B$11)*17+1,1):INDEX(H_Curve!$B$1:$F$100,4+($B$11)*17+1,5),COUNTIF(INDEX(H_Curve!$B$1:$F$100,4+($B$11)*17+1,1):INDEX(H_Curve!$B$1:$F$100,4+($B$11)*17+1,5),"&lt;"&amp;$A32)+1),1000000000)</f>
        <v>150</v>
      </c>
      <c r="AE32" s="18">
        <f>IFERROR(IF(AC32=0,MATCH(AD32,INDEX(H_Curve!$B$1:$F$100,4+($B$11)*17+1,1):INDEX(H_Curve!$B$1:$F$100,4+($B$11)*17+1,5),0),MATCH(AC32,INDEX(H_Curve!$B$1:$F$100,4+($B$11)*17+1,1):INDEX(H_Curve!$B$1:$F$100,4+($B$11)*17+1,5),0)),"")</f>
        <v>1</v>
      </c>
      <c r="AF32" s="18">
        <f>IFERROR(IF(AD32&gt;=1000000000,MATCH(AC32,INDEX(H_Curve!$B$1:$F$100,4+($B$11)*17+1,1):INDEX(H_Curve!$B$1:$F$100,4+($B$11)*17+1,5),0),MATCH(AD32,INDEX(H_Curve!$B$1:$F$100,4+($B$11)*17+1,1):INDEX(H_Curve!$B$1:$F$100,4+($B$11)*17+1,5),0)),"")</f>
        <v>2</v>
      </c>
      <c r="AG32" s="13">
        <f t="shared" si="10"/>
        <v>0.6428571428571429</v>
      </c>
      <c r="AH32" s="34">
        <f>IFERROR(MAX(0.000001,(IF($B$14=0,INDEX(H_Parametri!$A$14:$A$16,$B$11)/1000*IF($AB32=0,INDEX(H_Curve!$B$1:$F$100,4+($B$11-1)*17+2,$Z32),(1-$AB32)*INDEX(H_Curve!$B$1:$F$100,4+($B$11-1)*17+2,$Z32)+$AB32*INDEX(H_Curve!$B$1:$F$100,4+($B$11-1)*17+2,$AA32)),IF($B$14=1,INDEX(H_Parametri!$A$14:$A$16,$B$11+1)/1000*IF($AG32=0,INDEX(H_Curve!$B$1:$F$100,4+($B$11)*17+2,$AE32),(1-$AG32)*INDEX(H_Curve!$B$1:$F$100,4+($B$11)*17+2,$AE32)+$AG32*INDEX(H_Curve!$B$1:$F$100,4+($B$11)*17+2,$AF32)),(1-$B$14)*INDEX(H_Parametri!$A$14:$A$16,$B$11)/1000*IF($AB32=0,INDEX(H_Curve!$B$1:$F$100,4+($B$11-1)*17+2,$Z32),(1-$AB32)*INDEX(H_Curve!$B$1:$F$100,4+($B$11-1)*17+2,$Z32)+$AB32*INDEX(H_Curve!$B$1:$F$100,4+($B$11-1)*17+2,$AA32))+$B$14*INDEX(H_Parametri!$A$14:$A$16,$B$11+1)/1000*IF($AG32=0,INDEX(H_Curve!$B$1:$F$100,4+($B$11)*17+2,$AE32),(1-$AG32)*INDEX(H_Curve!$B$1:$F$100,4+($B$11)*17+2,$AE32)+$AG32*INDEX(H_Curve!$B$1:$F$100,4+($B$11)*17+2,$AF32)))))/($B$4/1000)),"")</f>
        <v>1.2256881540078165E-2</v>
      </c>
      <c r="AJ32" s="18">
        <f t="shared" si="11"/>
        <v>0</v>
      </c>
    </row>
    <row r="33" spans="1:36" x14ac:dyDescent="0.25">
      <c r="A33" s="12">
        <v>150</v>
      </c>
      <c r="B33" s="23">
        <f t="shared" si="0"/>
        <v>1.8048055231715401</v>
      </c>
      <c r="C33" s="13">
        <f t="shared" si="1"/>
        <v>0.1385190796406037</v>
      </c>
      <c r="D33" s="23">
        <f t="shared" si="2"/>
        <v>2.2365902255301382</v>
      </c>
      <c r="E33" s="23" t="str">
        <f t="shared" si="3"/>
        <v/>
      </c>
      <c r="F33" s="5" t="str">
        <f>IF(B33="","",IF(OR($B$10&lt;2,$B$4&lt;INDEX(H_Parametri!$A$14:$A$16,1),$B$4&gt;INDEX(H_Parametri!$A$14:$A$16,H_Parametri!$B$10)),"L fuori campo: estrapolazione",IF(OR(A33&lt;$B$15*0.99,A33&gt;$B$16*1.01),"Q fuori dal campo dei dati (estrapolazione)",IF(D33="&gt; x max","Il getto raggiunge la parete (lancio &gt; x max)",IF(D33="n.d.","Dati CFD non coprono tutta la distanza (curva incompleta)",IF(NOT(ISNUMBER(D33)),"vₜ non raggiunta / &lt; 0,5 m",IF(IFERROR(C33&gt;INDEX(G33:Q33,ROUND(H_Parametri!$B$9*2,0))/B33,FALSE()),"vₜ nel campo vicino (x &lt; "&amp;H_Parametri!$B$9&amp;" m): lancio poco significativo",IF(D33&gt;$B$17,"Oltre x max: influenzato dalla parete","OK"))))))))</f>
        <v>OK</v>
      </c>
      <c r="G33" s="13">
        <f>IF(B33="","",IFERROR(MAX(0.0001,$A33*(IF($B$14=0,INDEX(H_Parametri!$A$14:$A$16,$B$11)/1000*IF($AB33=0,INDEX(H_Curve!$B$1:$F$100,4+($B$11-1)*17+3+G$28*2,$Z33),(1-$AB33)*INDEX(H_Curve!$B$1:$F$100,4+($B$11-1)*17+3+G$28*2,$Z33)+$AB33*INDEX(H_Curve!$B$1:$F$100,4+($B$11-1)*17+3+G$28*2,$AA33)),IF($B$14=1,INDEX(H_Parametri!$A$14:$A$16,$B$11+1)/1000*IF($AG33=0,INDEX(H_Curve!$B$1:$F$100,4+($B$11)*17+3+G$28*2,$AE33),(1-$AG33)*INDEX(H_Curve!$B$1:$F$100,4+($B$11)*17+3+G$28*2,$AE33)+$AG33*INDEX(H_Curve!$B$1:$F$100,4+($B$11)*17+3+G$28*2,$AF33)),(1-$B$14)*INDEX(H_Parametri!$A$14:$A$16,$B$11)/1000*IF($AB33=0,INDEX(H_Curve!$B$1:$F$100,4+($B$11-1)*17+3+G$28*2,$Z33),(1-$AB33)*INDEX(H_Curve!$B$1:$F$100,4+($B$11-1)*17+3+G$28*2,$Z33)+$AB33*INDEX(H_Curve!$B$1:$F$100,4+($B$11-1)*17+3+G$28*2,$AA33))+$B$14*INDEX(H_Parametri!$A$14:$A$16,$B$11+1)/1000*IF($AG33=0,INDEX(H_Curve!$B$1:$F$100,4+($B$11)*17+3+G$28*2,$AE33),(1-$AG33)*INDEX(H_Curve!$B$1:$F$100,4+($B$11)*17+3+G$28*2,$AE33)+$AG33*INDEX(H_Curve!$B$1:$F$100,4+($B$11)*17+3+G$28*2,$AF33)))))/($B$4/1000)),""))</f>
        <v>0.32168763163687786</v>
      </c>
      <c r="H33" s="13">
        <f>IF(B33="","",IFERROR(MAX(0.0001,$A33*(IF($B$14=0,INDEX(H_Parametri!$A$14:$A$16,$B$11)/1000*IF($AB33=0,INDEX(H_Curve!$B$1:$F$100,4+($B$11-1)*17+3+H$28*2,$Z33),(1-$AB33)*INDEX(H_Curve!$B$1:$F$100,4+($B$11-1)*17+3+H$28*2,$Z33)+$AB33*INDEX(H_Curve!$B$1:$F$100,4+($B$11-1)*17+3+H$28*2,$AA33)),IF($B$14=1,INDEX(H_Parametri!$A$14:$A$16,$B$11+1)/1000*IF($AG33=0,INDEX(H_Curve!$B$1:$F$100,4+($B$11)*17+3+H$28*2,$AE33),(1-$AG33)*INDEX(H_Curve!$B$1:$F$100,4+($B$11)*17+3+H$28*2,$AE33)+$AG33*INDEX(H_Curve!$B$1:$F$100,4+($B$11)*17+3+H$28*2,$AF33)),(1-$B$14)*INDEX(H_Parametri!$A$14:$A$16,$B$11)/1000*IF($AB33=0,INDEX(H_Curve!$B$1:$F$100,4+($B$11-1)*17+3+H$28*2,$Z33),(1-$AB33)*INDEX(H_Curve!$B$1:$F$100,4+($B$11-1)*17+3+H$28*2,$Z33)+$AB33*INDEX(H_Curve!$B$1:$F$100,4+($B$11-1)*17+3+H$28*2,$AA33))+$B$14*INDEX(H_Parametri!$A$14:$A$16,$B$11+1)/1000*IF($AG33=0,INDEX(H_Curve!$B$1:$F$100,4+($B$11)*17+3+H$28*2,$AE33),(1-$AG33)*INDEX(H_Curve!$B$1:$F$100,4+($B$11)*17+3+H$28*2,$AE33)+$AG33*INDEX(H_Curve!$B$1:$F$100,4+($B$11)*17+3+H$28*2,$AF33)))))/($B$4/1000)),""))</f>
        <v>0.33356507571275534</v>
      </c>
      <c r="I33" s="13">
        <f>IF(B33="","",IFERROR(MAX(0.0001,$A33*(IF($B$14=0,INDEX(H_Parametri!$A$14:$A$16,$B$11)/1000*IF($AB33=0,INDEX(H_Curve!$B$1:$F$100,4+($B$11-1)*17+3+I$28*2,$Z33),(1-$AB33)*INDEX(H_Curve!$B$1:$F$100,4+($B$11-1)*17+3+I$28*2,$Z33)+$AB33*INDEX(H_Curve!$B$1:$F$100,4+($B$11-1)*17+3+I$28*2,$AA33)),IF($B$14=1,INDEX(H_Parametri!$A$14:$A$16,$B$11+1)/1000*IF($AG33=0,INDEX(H_Curve!$B$1:$F$100,4+($B$11)*17+3+I$28*2,$AE33),(1-$AG33)*INDEX(H_Curve!$B$1:$F$100,4+($B$11)*17+3+I$28*2,$AE33)+$AG33*INDEX(H_Curve!$B$1:$F$100,4+($B$11)*17+3+I$28*2,$AF33)),(1-$B$14)*INDEX(H_Parametri!$A$14:$A$16,$B$11)/1000*IF($AB33=0,INDEX(H_Curve!$B$1:$F$100,4+($B$11-1)*17+3+I$28*2,$Z33),(1-$AB33)*INDEX(H_Curve!$B$1:$F$100,4+($B$11-1)*17+3+I$28*2,$Z33)+$AB33*INDEX(H_Curve!$B$1:$F$100,4+($B$11-1)*17+3+I$28*2,$AA33))+$B$14*INDEX(H_Parametri!$A$14:$A$16,$B$11+1)/1000*IF($AG33=0,INDEX(H_Curve!$B$1:$F$100,4+($B$11)*17+3+I$28*2,$AE33),(1-$AG33)*INDEX(H_Curve!$B$1:$F$100,4+($B$11)*17+3+I$28*2,$AE33)+$AG33*INDEX(H_Curve!$B$1:$F$100,4+($B$11)*17+3+I$28*2,$AF33)))))/($B$4/1000)),""))</f>
        <v>0.32853695515633691</v>
      </c>
      <c r="J33" s="13">
        <f>IF(B33="","",IFERROR(MAX(0.0001,$A33*(IF($B$14=0,INDEX(H_Parametri!$A$14:$A$16,$B$11)/1000*IF($AB33=0,INDEX(H_Curve!$B$1:$F$100,4+($B$11-1)*17+3+J$28*2,$Z33),(1-$AB33)*INDEX(H_Curve!$B$1:$F$100,4+($B$11-1)*17+3+J$28*2,$Z33)+$AB33*INDEX(H_Curve!$B$1:$F$100,4+($B$11-1)*17+3+J$28*2,$AA33)),IF($B$14=1,INDEX(H_Parametri!$A$14:$A$16,$B$11+1)/1000*IF($AG33=0,INDEX(H_Curve!$B$1:$F$100,4+($B$11)*17+3+J$28*2,$AE33),(1-$AG33)*INDEX(H_Curve!$B$1:$F$100,4+($B$11)*17+3+J$28*2,$AE33)+$AG33*INDEX(H_Curve!$B$1:$F$100,4+($B$11)*17+3+J$28*2,$AF33)),(1-$B$14)*INDEX(H_Parametri!$A$14:$A$16,$B$11)/1000*IF($AB33=0,INDEX(H_Curve!$B$1:$F$100,4+($B$11-1)*17+3+J$28*2,$Z33),(1-$AB33)*INDEX(H_Curve!$B$1:$F$100,4+($B$11-1)*17+3+J$28*2,$Z33)+$AB33*INDEX(H_Curve!$B$1:$F$100,4+($B$11-1)*17+3+J$28*2,$AA33))+$B$14*INDEX(H_Parametri!$A$14:$A$16,$B$11+1)/1000*IF($AG33=0,INDEX(H_Curve!$B$1:$F$100,4+($B$11)*17+3+J$28*2,$AE33),(1-$AG33)*INDEX(H_Curve!$B$1:$F$100,4+($B$11)*17+3+J$28*2,$AE33)+$AG33*INDEX(H_Curve!$B$1:$F$100,4+($B$11)*17+3+J$28*2,$AF33)))))/($B$4/1000)),""))</f>
        <v>0.27781407470048763</v>
      </c>
      <c r="K33" s="13">
        <f>IF(B33="","",IFERROR(MAX(0.0001,$A33*(IF($B$14=0,INDEX(H_Parametri!$A$14:$A$16,$B$11)/1000*IF($AB33=0,INDEX(H_Curve!$B$1:$F$100,4+($B$11-1)*17+3+K$28*2,$Z33),(1-$AB33)*INDEX(H_Curve!$B$1:$F$100,4+($B$11-1)*17+3+K$28*2,$Z33)+$AB33*INDEX(H_Curve!$B$1:$F$100,4+($B$11-1)*17+3+K$28*2,$AA33)),IF($B$14=1,INDEX(H_Parametri!$A$14:$A$16,$B$11+1)/1000*IF($AG33=0,INDEX(H_Curve!$B$1:$F$100,4+($B$11)*17+3+K$28*2,$AE33),(1-$AG33)*INDEX(H_Curve!$B$1:$F$100,4+($B$11)*17+3+K$28*2,$AE33)+$AG33*INDEX(H_Curve!$B$1:$F$100,4+($B$11)*17+3+K$28*2,$AF33)),(1-$B$14)*INDEX(H_Parametri!$A$14:$A$16,$B$11)/1000*IF($AB33=0,INDEX(H_Curve!$B$1:$F$100,4+($B$11-1)*17+3+K$28*2,$Z33),(1-$AB33)*INDEX(H_Curve!$B$1:$F$100,4+($B$11-1)*17+3+K$28*2,$Z33)+$AB33*INDEX(H_Curve!$B$1:$F$100,4+($B$11-1)*17+3+K$28*2,$AA33))+$B$14*INDEX(H_Parametri!$A$14:$A$16,$B$11+1)/1000*IF($AG33=0,INDEX(H_Curve!$B$1:$F$100,4+($B$11)*17+3+K$28*2,$AE33),(1-$AG33)*INDEX(H_Curve!$B$1:$F$100,4+($B$11)*17+3+K$28*2,$AE33)+$AG33*INDEX(H_Curve!$B$1:$F$100,4+($B$11)*17+3+K$28*2,$AF33)))))/($B$4/1000)),""))</f>
        <v>0.22506976556419833</v>
      </c>
      <c r="L33" s="13">
        <f>IF(B33="","",IFERROR(MAX(0.0001,$A33*(IF($B$14=0,INDEX(H_Parametri!$A$14:$A$16,$B$11)/1000*IF($AB33=0,INDEX(H_Curve!$B$1:$F$100,4+($B$11-1)*17+3+L$28*2,$Z33),(1-$AB33)*INDEX(H_Curve!$B$1:$F$100,4+($B$11-1)*17+3+L$28*2,$Z33)+$AB33*INDEX(H_Curve!$B$1:$F$100,4+($B$11-1)*17+3+L$28*2,$AA33)),IF($B$14=1,INDEX(H_Parametri!$A$14:$A$16,$B$11+1)/1000*IF($AG33=0,INDEX(H_Curve!$B$1:$F$100,4+($B$11)*17+3+L$28*2,$AE33),(1-$AG33)*INDEX(H_Curve!$B$1:$F$100,4+($B$11)*17+3+L$28*2,$AE33)+$AG33*INDEX(H_Curve!$B$1:$F$100,4+($B$11)*17+3+L$28*2,$AF33)),(1-$B$14)*INDEX(H_Parametri!$A$14:$A$16,$B$11)/1000*IF($AB33=0,INDEX(H_Curve!$B$1:$F$100,4+($B$11-1)*17+3+L$28*2,$Z33),(1-$AB33)*INDEX(H_Curve!$B$1:$F$100,4+($B$11-1)*17+3+L$28*2,$Z33)+$AB33*INDEX(H_Curve!$B$1:$F$100,4+($B$11-1)*17+3+L$28*2,$AA33))+$B$14*INDEX(H_Parametri!$A$14:$A$16,$B$11+1)/1000*IF($AG33=0,INDEX(H_Curve!$B$1:$F$100,4+($B$11)*17+3+L$28*2,$AE33),(1-$AG33)*INDEX(H_Curve!$B$1:$F$100,4+($B$11)*17+3+L$28*2,$AE33)+$AG33*INDEX(H_Curve!$B$1:$F$100,4+($B$11)*17+3+L$28*2,$AF33)))))/($B$4/1000)),""))</f>
        <v>0.1883331629211181</v>
      </c>
      <c r="M33" s="13">
        <f>IF(B33="","",IFERROR(MAX(0.0001,$A33*(IF($B$14=0,INDEX(H_Parametri!$A$14:$A$16,$B$11)/1000*IF($AB33=0,INDEX(H_Curve!$B$1:$F$100,4+($B$11-1)*17+3+M$28*2,$Z33),(1-$AB33)*INDEX(H_Curve!$B$1:$F$100,4+($B$11-1)*17+3+M$28*2,$Z33)+$AB33*INDEX(H_Curve!$B$1:$F$100,4+($B$11-1)*17+3+M$28*2,$AA33)),IF($B$14=1,INDEX(H_Parametri!$A$14:$A$16,$B$11+1)/1000*IF($AG33=0,INDEX(H_Curve!$B$1:$F$100,4+($B$11)*17+3+M$28*2,$AE33),(1-$AG33)*INDEX(H_Curve!$B$1:$F$100,4+($B$11)*17+3+M$28*2,$AE33)+$AG33*INDEX(H_Curve!$B$1:$F$100,4+($B$11)*17+3+M$28*2,$AF33)),(1-$B$14)*INDEX(H_Parametri!$A$14:$A$16,$B$11)/1000*IF($AB33=0,INDEX(H_Curve!$B$1:$F$100,4+($B$11-1)*17+3+M$28*2,$Z33),(1-$AB33)*INDEX(H_Curve!$B$1:$F$100,4+($B$11-1)*17+3+M$28*2,$Z33)+$AB33*INDEX(H_Curve!$B$1:$F$100,4+($B$11-1)*17+3+M$28*2,$AA33))+$B$14*INDEX(H_Parametri!$A$14:$A$16,$B$11+1)/1000*IF($AG33=0,INDEX(H_Curve!$B$1:$F$100,4+($B$11)*17+3+M$28*2,$AE33),(1-$AG33)*INDEX(H_Curve!$B$1:$F$100,4+($B$11)*17+3+M$28*2,$AE33)+$AG33*INDEX(H_Curve!$B$1:$F$100,4+($B$11)*17+3+M$28*2,$AF33)))))/($B$4/1000)),""))</f>
        <v>0.15011129569939982</v>
      </c>
      <c r="N33" s="13">
        <f>IF(B33="","",IFERROR(MAX(0.0001,$A33*(IF($B$14=0,INDEX(H_Parametri!$A$14:$A$16,$B$11)/1000*IF($AB33=0,INDEX(H_Curve!$B$1:$F$100,4+($B$11-1)*17+3+N$28*2,$Z33),(1-$AB33)*INDEX(H_Curve!$B$1:$F$100,4+($B$11-1)*17+3+N$28*2,$Z33)+$AB33*INDEX(H_Curve!$B$1:$F$100,4+($B$11-1)*17+3+N$28*2,$AA33)),IF($B$14=1,INDEX(H_Parametri!$A$14:$A$16,$B$11+1)/1000*IF($AG33=0,INDEX(H_Curve!$B$1:$F$100,4+($B$11)*17+3+N$28*2,$AE33),(1-$AG33)*INDEX(H_Curve!$B$1:$F$100,4+($B$11)*17+3+N$28*2,$AE33)+$AG33*INDEX(H_Curve!$B$1:$F$100,4+($B$11)*17+3+N$28*2,$AF33)),(1-$B$14)*INDEX(H_Parametri!$A$14:$A$16,$B$11)/1000*IF($AB33=0,INDEX(H_Curve!$B$1:$F$100,4+($B$11-1)*17+3+N$28*2,$Z33),(1-$AB33)*INDEX(H_Curve!$B$1:$F$100,4+($B$11-1)*17+3+N$28*2,$Z33)+$AB33*INDEX(H_Curve!$B$1:$F$100,4+($B$11-1)*17+3+N$28*2,$AA33))+$B$14*INDEX(H_Parametri!$A$14:$A$16,$B$11+1)/1000*IF($AG33=0,INDEX(H_Curve!$B$1:$F$100,4+($B$11)*17+3+N$28*2,$AE33),(1-$AG33)*INDEX(H_Curve!$B$1:$F$100,4+($B$11)*17+3+N$28*2,$AE33)+$AG33*INDEX(H_Curve!$B$1:$F$100,4+($B$11)*17+3+N$28*2,$AF33)))))/($B$4/1000)),""))</f>
        <v>0.11499604474031012</v>
      </c>
      <c r="O33" s="13" t="str">
        <f>IF(B33="","",IFERROR(MAX(0.0001,$A33*(IF($B$14=0,INDEX(H_Parametri!$A$14:$A$16,$B$11)/1000*IF($AB33=0,INDEX(H_Curve!$B$1:$F$100,4+($B$11-1)*17+3+O$28*2,$Z33),(1-$AB33)*INDEX(H_Curve!$B$1:$F$100,4+($B$11-1)*17+3+O$28*2,$Z33)+$AB33*INDEX(H_Curve!$B$1:$F$100,4+($B$11-1)*17+3+O$28*2,$AA33)),IF($B$14=1,INDEX(H_Parametri!$A$14:$A$16,$B$11+1)/1000*IF($AG33=0,INDEX(H_Curve!$B$1:$F$100,4+($B$11)*17+3+O$28*2,$AE33),(1-$AG33)*INDEX(H_Curve!$B$1:$F$100,4+($B$11)*17+3+O$28*2,$AE33)+$AG33*INDEX(H_Curve!$B$1:$F$100,4+($B$11)*17+3+O$28*2,$AF33)),(1-$B$14)*INDEX(H_Parametri!$A$14:$A$16,$B$11)/1000*IF($AB33=0,INDEX(H_Curve!$B$1:$F$100,4+($B$11-1)*17+3+O$28*2,$Z33),(1-$AB33)*INDEX(H_Curve!$B$1:$F$100,4+($B$11-1)*17+3+O$28*2,$Z33)+$AB33*INDEX(H_Curve!$B$1:$F$100,4+($B$11-1)*17+3+O$28*2,$AA33))+$B$14*INDEX(H_Parametri!$A$14:$A$16,$B$11+1)/1000*IF($AG33=0,INDEX(H_Curve!$B$1:$F$100,4+($B$11)*17+3+O$28*2,$AE33),(1-$AG33)*INDEX(H_Curve!$B$1:$F$100,4+($B$11)*17+3+O$28*2,$AE33)+$AG33*INDEX(H_Curve!$B$1:$F$100,4+($B$11)*17+3+O$28*2,$AF33)))))/($B$4/1000)),""))</f>
        <v/>
      </c>
      <c r="P33" s="13" t="str">
        <f>IF(B33="","",IFERROR(MAX(0.0001,$A33*(IF($B$14=0,INDEX(H_Parametri!$A$14:$A$16,$B$11)/1000*IF($AB33=0,INDEX(H_Curve!$B$1:$F$100,4+($B$11-1)*17+3+P$28*2,$Z33),(1-$AB33)*INDEX(H_Curve!$B$1:$F$100,4+($B$11-1)*17+3+P$28*2,$Z33)+$AB33*INDEX(H_Curve!$B$1:$F$100,4+($B$11-1)*17+3+P$28*2,$AA33)),IF($B$14=1,INDEX(H_Parametri!$A$14:$A$16,$B$11+1)/1000*IF($AG33=0,INDEX(H_Curve!$B$1:$F$100,4+($B$11)*17+3+P$28*2,$AE33),(1-$AG33)*INDEX(H_Curve!$B$1:$F$100,4+($B$11)*17+3+P$28*2,$AE33)+$AG33*INDEX(H_Curve!$B$1:$F$100,4+($B$11)*17+3+P$28*2,$AF33)),(1-$B$14)*INDEX(H_Parametri!$A$14:$A$16,$B$11)/1000*IF($AB33=0,INDEX(H_Curve!$B$1:$F$100,4+($B$11-1)*17+3+P$28*2,$Z33),(1-$AB33)*INDEX(H_Curve!$B$1:$F$100,4+($B$11-1)*17+3+P$28*2,$Z33)+$AB33*INDEX(H_Curve!$B$1:$F$100,4+($B$11-1)*17+3+P$28*2,$AA33))+$B$14*INDEX(H_Parametri!$A$14:$A$16,$B$11+1)/1000*IF($AG33=0,INDEX(H_Curve!$B$1:$F$100,4+($B$11)*17+3+P$28*2,$AE33),(1-$AG33)*INDEX(H_Curve!$B$1:$F$100,4+($B$11)*17+3+P$28*2,$AE33)+$AG33*INDEX(H_Curve!$B$1:$F$100,4+($B$11)*17+3+P$28*2,$AF33)))))/($B$4/1000)),""))</f>
        <v/>
      </c>
      <c r="Q33" s="13" t="str">
        <f>IF(B33="","",IFERROR(MAX(0.0001,$A33*(IF($B$14=0,INDEX(H_Parametri!$A$14:$A$16,$B$11)/1000*IF($AB33=0,INDEX(H_Curve!$B$1:$F$100,4+($B$11-1)*17+3+Q$28*2,$Z33),(1-$AB33)*INDEX(H_Curve!$B$1:$F$100,4+($B$11-1)*17+3+Q$28*2,$Z33)+$AB33*INDEX(H_Curve!$B$1:$F$100,4+($B$11-1)*17+3+Q$28*2,$AA33)),IF($B$14=1,INDEX(H_Parametri!$A$14:$A$16,$B$11+1)/1000*IF($AG33=0,INDEX(H_Curve!$B$1:$F$100,4+($B$11)*17+3+Q$28*2,$AE33),(1-$AG33)*INDEX(H_Curve!$B$1:$F$100,4+($B$11)*17+3+Q$28*2,$AE33)+$AG33*INDEX(H_Curve!$B$1:$F$100,4+($B$11)*17+3+Q$28*2,$AF33)),(1-$B$14)*INDEX(H_Parametri!$A$14:$A$16,$B$11)/1000*IF($AB33=0,INDEX(H_Curve!$B$1:$F$100,4+($B$11-1)*17+3+Q$28*2,$Z33),(1-$AB33)*INDEX(H_Curve!$B$1:$F$100,4+($B$11-1)*17+3+Q$28*2,$Z33)+$AB33*INDEX(H_Curve!$B$1:$F$100,4+($B$11-1)*17+3+Q$28*2,$AA33))+$B$14*INDEX(H_Parametri!$A$14:$A$16,$B$11+1)/1000*IF($AG33=0,INDEX(H_Curve!$B$1:$F$100,4+($B$11)*17+3+Q$28*2,$AE33),(1-$AG33)*INDEX(H_Curve!$B$1:$F$100,4+($B$11)*17+3+Q$28*2,$AE33)+$AG33*INDEX(H_Curve!$B$1:$F$100,4+($B$11)*17+3+Q$28*2,$AF33)))))/($B$4/1000)),""))</f>
        <v/>
      </c>
      <c r="R33" s="18">
        <f t="array" ref="R33">IF(B33="","",SUMPRODUCT(MAX(ISNUMBER(G33:P33)*ISNUMBER(H33:Q33)*(G33:P33&gt;=$B$6)*(H33:Q33&lt;$B$6)*(COLUMN(G33:P33)-COLUMN(G33)+1))))</f>
        <v>4</v>
      </c>
      <c r="S33" s="9">
        <f t="shared" si="4"/>
        <v>2</v>
      </c>
      <c r="T33" s="9">
        <f t="shared" si="5"/>
        <v>2.5</v>
      </c>
      <c r="U33" s="13">
        <f t="shared" si="6"/>
        <v>0.27781407470048763</v>
      </c>
      <c r="V33" s="13">
        <f t="shared" si="7"/>
        <v>0.22506976556419833</v>
      </c>
      <c r="W33" s="18">
        <f t="shared" si="8"/>
        <v>10</v>
      </c>
      <c r="X33" s="18">
        <f>IFERROR(LARGE(INDEX(H_Curve!$B$1:$F$100,4+($B$11-1)*17+1,1):INDEX(H_Curve!$B$1:$F$100,4+($B$11-1)*17+1,5),COUNTIF(INDEX(H_Curve!$B$1:$F$100,4+($B$11-1)*17+1,1):INDEX(H_Curve!$B$1:$F$100,4+($B$11-1)*17+1,5),"&gt;"&amp;$A33)+1),0)</f>
        <v>150</v>
      </c>
      <c r="Y33" s="18">
        <f>IFERROR(SMALL(INDEX(H_Curve!$B$1:$F$100,4+($B$11-1)*17+1,1):INDEX(H_Curve!$B$1:$F$100,4+($B$11-1)*17+1,5),COUNTIF(INDEX(H_Curve!$B$1:$F$100,4+($B$11-1)*17+1,1):INDEX(H_Curve!$B$1:$F$100,4+($B$11-1)*17+1,5),"&lt;"&amp;$A33)+1),1000000000)</f>
        <v>150</v>
      </c>
      <c r="Z33" s="18">
        <f>IFERROR(IF(X33=0,MATCH(Y33,INDEX(H_Curve!$B$1:$F$100,4+($B$11-1)*17+1,1):INDEX(H_Curve!$B$1:$F$100,4+($B$11-1)*17+1,5),0),MATCH(X33,INDEX(H_Curve!$B$1:$F$100,4+($B$11-1)*17+1,1):INDEX(H_Curve!$B$1:$F$100,4+($B$11-1)*17+1,5),0)),"")</f>
        <v>2</v>
      </c>
      <c r="AA33" s="18">
        <f>IFERROR(IF(Y33&gt;=1000000000,MATCH(X33,INDEX(H_Curve!$B$1:$F$100,4+($B$11-1)*17+1,1):INDEX(H_Curve!$B$1:$F$100,4+($B$11-1)*17+1,5),0),MATCH(Y33,INDEX(H_Curve!$B$1:$F$100,4+($B$11-1)*17+1,1):INDEX(H_Curve!$B$1:$F$100,4+($B$11-1)*17+1,5),0)),"")</f>
        <v>2</v>
      </c>
      <c r="AB33" s="13">
        <f t="shared" si="9"/>
        <v>0</v>
      </c>
      <c r="AC33" s="18">
        <f>IFERROR(LARGE(INDEX(H_Curve!$B$1:$F$100,4+($B$11)*17+1,1):INDEX(H_Curve!$B$1:$F$100,4+($B$11)*17+1,5),COUNTIF(INDEX(H_Curve!$B$1:$F$100,4+($B$11)*17+1,1):INDEX(H_Curve!$B$1:$F$100,4+($B$11)*17+1,5),"&gt;"&amp;$A33)+1),0)</f>
        <v>150</v>
      </c>
      <c r="AD33" s="18">
        <f>IFERROR(SMALL(INDEX(H_Curve!$B$1:$F$100,4+($B$11)*17+1,1):INDEX(H_Curve!$B$1:$F$100,4+($B$11)*17+1,5),COUNTIF(INDEX(H_Curve!$B$1:$F$100,4+($B$11)*17+1,1):INDEX(H_Curve!$B$1:$F$100,4+($B$11)*17+1,5),"&lt;"&amp;$A33)+1),1000000000)</f>
        <v>150</v>
      </c>
      <c r="AE33" s="18">
        <f>IFERROR(IF(AC33=0,MATCH(AD33,INDEX(H_Curve!$B$1:$F$100,4+($B$11)*17+1,1):INDEX(H_Curve!$B$1:$F$100,4+($B$11)*17+1,5),0),MATCH(AC33,INDEX(H_Curve!$B$1:$F$100,4+($B$11)*17+1,1):INDEX(H_Curve!$B$1:$F$100,4+($B$11)*17+1,5),0)),"")</f>
        <v>2</v>
      </c>
      <c r="AF33" s="18">
        <f>IFERROR(IF(AD33&gt;=1000000000,MATCH(AC33,INDEX(H_Curve!$B$1:$F$100,4+($B$11)*17+1,1):INDEX(H_Curve!$B$1:$F$100,4+($B$11)*17+1,5),0),MATCH(AD33,INDEX(H_Curve!$B$1:$F$100,4+($B$11)*17+1,1):INDEX(H_Curve!$B$1:$F$100,4+($B$11)*17+1,5),0)),"")</f>
        <v>2</v>
      </c>
      <c r="AG33" s="13">
        <f t="shared" si="10"/>
        <v>0</v>
      </c>
      <c r="AH33" s="34">
        <f>IFERROR(MAX(0.000001,(IF($B$14=0,INDEX(H_Parametri!$A$14:$A$16,$B$11)/1000*IF($AB33=0,INDEX(H_Curve!$B$1:$F$100,4+($B$11-1)*17+2,$Z33),(1-$AB33)*INDEX(H_Curve!$B$1:$F$100,4+($B$11-1)*17+2,$Z33)+$AB33*INDEX(H_Curve!$B$1:$F$100,4+($B$11-1)*17+2,$AA33)),IF($B$14=1,INDEX(H_Parametri!$A$14:$A$16,$B$11+1)/1000*IF($AG33=0,INDEX(H_Curve!$B$1:$F$100,4+($B$11)*17+2,$AE33),(1-$AG33)*INDEX(H_Curve!$B$1:$F$100,4+($B$11)*17+2,$AE33)+$AG33*INDEX(H_Curve!$B$1:$F$100,4+($B$11)*17+2,$AF33)),(1-$B$14)*INDEX(H_Parametri!$A$14:$A$16,$B$11)/1000*IF($AB33=0,INDEX(H_Curve!$B$1:$F$100,4+($B$11-1)*17+2,$Z33),(1-$AB33)*INDEX(H_Curve!$B$1:$F$100,4+($B$11-1)*17+2,$Z33)+$AB33*INDEX(H_Curve!$B$1:$F$100,4+($B$11-1)*17+2,$AA33))+$B$14*INDEX(H_Parametri!$A$14:$A$16,$B$11+1)/1000*IF($AG33=0,INDEX(H_Curve!$B$1:$F$100,4+($B$11)*17+2,$AE33),(1-$AG33)*INDEX(H_Curve!$B$1:$F$100,4+($B$11)*17+2,$AE33)+$AG33*INDEX(H_Curve!$B$1:$F$100,4+($B$11)*17+2,$AF33)))))/($B$4/1000)),"")</f>
        <v>1.20320368211436E-2</v>
      </c>
      <c r="AJ33" s="18">
        <f t="shared" si="11"/>
        <v>0</v>
      </c>
    </row>
    <row r="34" spans="1:36" x14ac:dyDescent="0.25">
      <c r="A34" s="12">
        <v>175</v>
      </c>
      <c r="B34" s="23">
        <f t="shared" si="0"/>
        <v>2.1080302539033728</v>
      </c>
      <c r="C34" s="13">
        <f t="shared" si="1"/>
        <v>0.11859412337042266</v>
      </c>
      <c r="D34" s="23">
        <f t="shared" si="2"/>
        <v>2.6543318534014291</v>
      </c>
      <c r="E34" s="23" t="str">
        <f t="shared" si="3"/>
        <v/>
      </c>
      <c r="F34" s="5" t="str">
        <f>IF(B34="","",IF(OR($B$10&lt;2,$B$4&lt;INDEX(H_Parametri!$A$14:$A$16,1),$B$4&gt;INDEX(H_Parametri!$A$14:$A$16,H_Parametri!$B$10)),"L fuori campo: estrapolazione",IF(OR(A34&lt;$B$15*0.99,A34&gt;$B$16*1.01),"Q fuori dal campo dei dati (estrapolazione)",IF(D34="&gt; x max","Il getto raggiunge la parete (lancio &gt; x max)",IF(D34="n.d.","Dati CFD non coprono tutta la distanza (curva incompleta)",IF(NOT(ISNUMBER(D34)),"vₜ non raggiunta / &lt; 0,5 m",IF(IFERROR(C34&gt;INDEX(G34:Q34,ROUND(H_Parametri!$B$9*2,0))/B34,FALSE()),"vₜ nel campo vicino (x &lt; "&amp;H_Parametri!$B$9&amp;" m): lancio poco significativo",IF(D34&gt;$B$17,"Oltre x max: influenzato dalla parete","OK"))))))))</f>
        <v>OK</v>
      </c>
      <c r="G34" s="13">
        <f>IF(B34="","",IFERROR(MAX(0.0001,$A34*(IF($B$14=0,INDEX(H_Parametri!$A$14:$A$16,$B$11)/1000*IF($AB34=0,INDEX(H_Curve!$B$1:$F$100,4+($B$11-1)*17+3+G$28*2,$Z34),(1-$AB34)*INDEX(H_Curve!$B$1:$F$100,4+($B$11-1)*17+3+G$28*2,$Z34)+$AB34*INDEX(H_Curve!$B$1:$F$100,4+($B$11-1)*17+3+G$28*2,$AA34)),IF($B$14=1,INDEX(H_Parametri!$A$14:$A$16,$B$11+1)/1000*IF($AG34=0,INDEX(H_Curve!$B$1:$F$100,4+($B$11)*17+3+G$28*2,$AE34),(1-$AG34)*INDEX(H_Curve!$B$1:$F$100,4+($B$11)*17+3+G$28*2,$AE34)+$AG34*INDEX(H_Curve!$B$1:$F$100,4+($B$11)*17+3+G$28*2,$AF34)),(1-$B$14)*INDEX(H_Parametri!$A$14:$A$16,$B$11)/1000*IF($AB34=0,INDEX(H_Curve!$B$1:$F$100,4+($B$11-1)*17+3+G$28*2,$Z34),(1-$AB34)*INDEX(H_Curve!$B$1:$F$100,4+($B$11-1)*17+3+G$28*2,$Z34)+$AB34*INDEX(H_Curve!$B$1:$F$100,4+($B$11-1)*17+3+G$28*2,$AA34))+$B$14*INDEX(H_Parametri!$A$14:$A$16,$B$11+1)/1000*IF($AG34=0,INDEX(H_Curve!$B$1:$F$100,4+($B$11)*17+3+G$28*2,$AE34),(1-$AG34)*INDEX(H_Curve!$B$1:$F$100,4+($B$11)*17+3+G$28*2,$AE34)+$AG34*INDEX(H_Curve!$B$1:$F$100,4+($B$11)*17+3+G$28*2,$AF34)))))/($B$4/1000)),""))</f>
        <v>0.36867867579523333</v>
      </c>
      <c r="H34" s="13">
        <f>IF(B34="","",IFERROR(MAX(0.0001,$A34*(IF($B$14=0,INDEX(H_Parametri!$A$14:$A$16,$B$11)/1000*IF($AB34=0,INDEX(H_Curve!$B$1:$F$100,4+($B$11-1)*17+3+H$28*2,$Z34),(1-$AB34)*INDEX(H_Curve!$B$1:$F$100,4+($B$11-1)*17+3+H$28*2,$Z34)+$AB34*INDEX(H_Curve!$B$1:$F$100,4+($B$11-1)*17+3+H$28*2,$AA34)),IF($B$14=1,INDEX(H_Parametri!$A$14:$A$16,$B$11+1)/1000*IF($AG34=0,INDEX(H_Curve!$B$1:$F$100,4+($B$11)*17+3+H$28*2,$AE34),(1-$AG34)*INDEX(H_Curve!$B$1:$F$100,4+($B$11)*17+3+H$28*2,$AE34)+$AG34*INDEX(H_Curve!$B$1:$F$100,4+($B$11)*17+3+H$28*2,$AF34)),(1-$B$14)*INDEX(H_Parametri!$A$14:$A$16,$B$11)/1000*IF($AB34=0,INDEX(H_Curve!$B$1:$F$100,4+($B$11-1)*17+3+H$28*2,$Z34),(1-$AB34)*INDEX(H_Curve!$B$1:$F$100,4+($B$11-1)*17+3+H$28*2,$Z34)+$AB34*INDEX(H_Curve!$B$1:$F$100,4+($B$11-1)*17+3+H$28*2,$AA34))+$B$14*INDEX(H_Parametri!$A$14:$A$16,$B$11+1)/1000*IF($AG34=0,INDEX(H_Curve!$B$1:$F$100,4+($B$11)*17+3+H$28*2,$AE34),(1-$AG34)*INDEX(H_Curve!$B$1:$F$100,4+($B$11)*17+3+H$28*2,$AE34)+$AG34*INDEX(H_Curve!$B$1:$F$100,4+($B$11)*17+3+H$28*2,$AF34)))))/($B$4/1000)),""))</f>
        <v>0.36605395435124305</v>
      </c>
      <c r="I34" s="13">
        <f>IF(B34="","",IFERROR(MAX(0.0001,$A34*(IF($B$14=0,INDEX(H_Parametri!$A$14:$A$16,$B$11)/1000*IF($AB34=0,INDEX(H_Curve!$B$1:$F$100,4+($B$11-1)*17+3+I$28*2,$Z34),(1-$AB34)*INDEX(H_Curve!$B$1:$F$100,4+($B$11-1)*17+3+I$28*2,$Z34)+$AB34*INDEX(H_Curve!$B$1:$F$100,4+($B$11-1)*17+3+I$28*2,$AA34)),IF($B$14=1,INDEX(H_Parametri!$A$14:$A$16,$B$11+1)/1000*IF($AG34=0,INDEX(H_Curve!$B$1:$F$100,4+($B$11)*17+3+I$28*2,$AE34),(1-$AG34)*INDEX(H_Curve!$B$1:$F$100,4+($B$11)*17+3+I$28*2,$AE34)+$AG34*INDEX(H_Curve!$B$1:$F$100,4+($B$11)*17+3+I$28*2,$AF34)),(1-$B$14)*INDEX(H_Parametri!$A$14:$A$16,$B$11)/1000*IF($AB34=0,INDEX(H_Curve!$B$1:$F$100,4+($B$11-1)*17+3+I$28*2,$Z34),(1-$AB34)*INDEX(H_Curve!$B$1:$F$100,4+($B$11-1)*17+3+I$28*2,$Z34)+$AB34*INDEX(H_Curve!$B$1:$F$100,4+($B$11-1)*17+3+I$28*2,$AA34))+$B$14*INDEX(H_Parametri!$A$14:$A$16,$B$11+1)/1000*IF($AG34=0,INDEX(H_Curve!$B$1:$F$100,4+($B$11)*17+3+I$28*2,$AE34),(1-$AG34)*INDEX(H_Curve!$B$1:$F$100,4+($B$11)*17+3+I$28*2,$AE34)+$AG34*INDEX(H_Curve!$B$1:$F$100,4+($B$11)*17+3+I$28*2,$AF34)))))/($B$4/1000)),""))</f>
        <v>0.36350538323296849</v>
      </c>
      <c r="J34" s="13">
        <f>IF(B34="","",IFERROR(MAX(0.0001,$A34*(IF($B$14=0,INDEX(H_Parametri!$A$14:$A$16,$B$11)/1000*IF($AB34=0,INDEX(H_Curve!$B$1:$F$100,4+($B$11-1)*17+3+J$28*2,$Z34),(1-$AB34)*INDEX(H_Curve!$B$1:$F$100,4+($B$11-1)*17+3+J$28*2,$Z34)+$AB34*INDEX(H_Curve!$B$1:$F$100,4+($B$11-1)*17+3+J$28*2,$AA34)),IF($B$14=1,INDEX(H_Parametri!$A$14:$A$16,$B$11+1)/1000*IF($AG34=0,INDEX(H_Curve!$B$1:$F$100,4+($B$11)*17+3+J$28*2,$AE34),(1-$AG34)*INDEX(H_Curve!$B$1:$F$100,4+($B$11)*17+3+J$28*2,$AE34)+$AG34*INDEX(H_Curve!$B$1:$F$100,4+($B$11)*17+3+J$28*2,$AF34)),(1-$B$14)*INDEX(H_Parametri!$A$14:$A$16,$B$11)/1000*IF($AB34=0,INDEX(H_Curve!$B$1:$F$100,4+($B$11-1)*17+3+J$28*2,$Z34),(1-$AB34)*INDEX(H_Curve!$B$1:$F$100,4+($B$11-1)*17+3+J$28*2,$Z34)+$AB34*INDEX(H_Curve!$B$1:$F$100,4+($B$11-1)*17+3+J$28*2,$AA34))+$B$14*INDEX(H_Parametri!$A$14:$A$16,$B$11+1)/1000*IF($AG34=0,INDEX(H_Curve!$B$1:$F$100,4+($B$11)*17+3+J$28*2,$AE34),(1-$AG34)*INDEX(H_Curve!$B$1:$F$100,4+($B$11)*17+3+J$28*2,$AE34)+$AG34*INDEX(H_Curve!$B$1:$F$100,4+($B$11)*17+3+J$28*2,$AF34)))))/($B$4/1000)),""))</f>
        <v>0.31861471435780986</v>
      </c>
      <c r="K34" s="13">
        <f>IF(B34="","",IFERROR(MAX(0.0001,$A34*(IF($B$14=0,INDEX(H_Parametri!$A$14:$A$16,$B$11)/1000*IF($AB34=0,INDEX(H_Curve!$B$1:$F$100,4+($B$11-1)*17+3+K$28*2,$Z34),(1-$AB34)*INDEX(H_Curve!$B$1:$F$100,4+($B$11-1)*17+3+K$28*2,$Z34)+$AB34*INDEX(H_Curve!$B$1:$F$100,4+($B$11-1)*17+3+K$28*2,$AA34)),IF($B$14=1,INDEX(H_Parametri!$A$14:$A$16,$B$11+1)/1000*IF($AG34=0,INDEX(H_Curve!$B$1:$F$100,4+($B$11)*17+3+K$28*2,$AE34),(1-$AG34)*INDEX(H_Curve!$B$1:$F$100,4+($B$11)*17+3+K$28*2,$AE34)+$AG34*INDEX(H_Curve!$B$1:$F$100,4+($B$11)*17+3+K$28*2,$AF34)),(1-$B$14)*INDEX(H_Parametri!$A$14:$A$16,$B$11)/1000*IF($AB34=0,INDEX(H_Curve!$B$1:$F$100,4+($B$11-1)*17+3+K$28*2,$Z34),(1-$AB34)*INDEX(H_Curve!$B$1:$F$100,4+($B$11-1)*17+3+K$28*2,$Z34)+$AB34*INDEX(H_Curve!$B$1:$F$100,4+($B$11-1)*17+3+K$28*2,$AA34))+$B$14*INDEX(H_Parametri!$A$14:$A$16,$B$11+1)/1000*IF($AG34=0,INDEX(H_Curve!$B$1:$F$100,4+($B$11)*17+3+K$28*2,$AE34),(1-$AG34)*INDEX(H_Curve!$B$1:$F$100,4+($B$11)*17+3+K$28*2,$AE34)+$AG34*INDEX(H_Curve!$B$1:$F$100,4+($B$11)*17+3+K$28*2,$AF34)))))/($B$4/1000)),""))</f>
        <v>0.26448163085773818</v>
      </c>
      <c r="L34" s="13">
        <f>IF(B34="","",IFERROR(MAX(0.0001,$A34*(IF($B$14=0,INDEX(H_Parametri!$A$14:$A$16,$B$11)/1000*IF($AB34=0,INDEX(H_Curve!$B$1:$F$100,4+($B$11-1)*17+3+L$28*2,$Z34),(1-$AB34)*INDEX(H_Curve!$B$1:$F$100,4+($B$11-1)*17+3+L$28*2,$Z34)+$AB34*INDEX(H_Curve!$B$1:$F$100,4+($B$11-1)*17+3+L$28*2,$AA34)),IF($B$14=1,INDEX(H_Parametri!$A$14:$A$16,$B$11+1)/1000*IF($AG34=0,INDEX(H_Curve!$B$1:$F$100,4+($B$11)*17+3+L$28*2,$AE34),(1-$AG34)*INDEX(H_Curve!$B$1:$F$100,4+($B$11)*17+3+L$28*2,$AE34)+$AG34*INDEX(H_Curve!$B$1:$F$100,4+($B$11)*17+3+L$28*2,$AF34)),(1-$B$14)*INDEX(H_Parametri!$A$14:$A$16,$B$11)/1000*IF($AB34=0,INDEX(H_Curve!$B$1:$F$100,4+($B$11-1)*17+3+L$28*2,$Z34),(1-$AB34)*INDEX(H_Curve!$B$1:$F$100,4+($B$11-1)*17+3+L$28*2,$Z34)+$AB34*INDEX(H_Curve!$B$1:$F$100,4+($B$11-1)*17+3+L$28*2,$AA34))+$B$14*INDEX(H_Parametri!$A$14:$A$16,$B$11+1)/1000*IF($AG34=0,INDEX(H_Curve!$B$1:$F$100,4+($B$11)*17+3+L$28*2,$AE34),(1-$AG34)*INDEX(H_Curve!$B$1:$F$100,4+($B$11)*17+3+L$28*2,$AE34)+$AG34*INDEX(H_Curve!$B$1:$F$100,4+($B$11)*17+3+L$28*2,$AF34)))))/($B$4/1000)),""))</f>
        <v>0.22282374356229681</v>
      </c>
      <c r="M34" s="13">
        <f>IF(B34="","",IFERROR(MAX(0.0001,$A34*(IF($B$14=0,INDEX(H_Parametri!$A$14:$A$16,$B$11)/1000*IF($AB34=0,INDEX(H_Curve!$B$1:$F$100,4+($B$11-1)*17+3+M$28*2,$Z34),(1-$AB34)*INDEX(H_Curve!$B$1:$F$100,4+($B$11-1)*17+3+M$28*2,$Z34)+$AB34*INDEX(H_Curve!$B$1:$F$100,4+($B$11-1)*17+3+M$28*2,$AA34)),IF($B$14=1,INDEX(H_Parametri!$A$14:$A$16,$B$11+1)/1000*IF($AG34=0,INDEX(H_Curve!$B$1:$F$100,4+($B$11)*17+3+M$28*2,$AE34),(1-$AG34)*INDEX(H_Curve!$B$1:$F$100,4+($B$11)*17+3+M$28*2,$AE34)+$AG34*INDEX(H_Curve!$B$1:$F$100,4+($B$11)*17+3+M$28*2,$AF34)),(1-$B$14)*INDEX(H_Parametri!$A$14:$A$16,$B$11)/1000*IF($AB34=0,INDEX(H_Curve!$B$1:$F$100,4+($B$11-1)*17+3+M$28*2,$Z34),(1-$AB34)*INDEX(H_Curve!$B$1:$F$100,4+($B$11-1)*17+3+M$28*2,$Z34)+$AB34*INDEX(H_Curve!$B$1:$F$100,4+($B$11-1)*17+3+M$28*2,$AA34))+$B$14*INDEX(H_Parametri!$A$14:$A$16,$B$11+1)/1000*IF($AG34=0,INDEX(H_Curve!$B$1:$F$100,4+($B$11)*17+3+M$28*2,$AE34),(1-$AG34)*INDEX(H_Curve!$B$1:$F$100,4+($B$11)*17+3+M$28*2,$AE34)+$AG34*INDEX(H_Curve!$B$1:$F$100,4+($B$11)*17+3+M$28*2,$AF34)))))/($B$4/1000)),""))</f>
        <v>0.1819856604647502</v>
      </c>
      <c r="N34" s="13">
        <f>IF(B34="","",IFERROR(MAX(0.0001,$A34*(IF($B$14=0,INDEX(H_Parametri!$A$14:$A$16,$B$11)/1000*IF($AB34=0,INDEX(H_Curve!$B$1:$F$100,4+($B$11-1)*17+3+N$28*2,$Z34),(1-$AB34)*INDEX(H_Curve!$B$1:$F$100,4+($B$11-1)*17+3+N$28*2,$Z34)+$AB34*INDEX(H_Curve!$B$1:$F$100,4+($B$11-1)*17+3+N$28*2,$AA34)),IF($B$14=1,INDEX(H_Parametri!$A$14:$A$16,$B$11+1)/1000*IF($AG34=0,INDEX(H_Curve!$B$1:$F$100,4+($B$11)*17+3+N$28*2,$AE34),(1-$AG34)*INDEX(H_Curve!$B$1:$F$100,4+($B$11)*17+3+N$28*2,$AE34)+$AG34*INDEX(H_Curve!$B$1:$F$100,4+($B$11)*17+3+N$28*2,$AF34)),(1-$B$14)*INDEX(H_Parametri!$A$14:$A$16,$B$11)/1000*IF($AB34=0,INDEX(H_Curve!$B$1:$F$100,4+($B$11-1)*17+3+N$28*2,$Z34),(1-$AB34)*INDEX(H_Curve!$B$1:$F$100,4+($B$11-1)*17+3+N$28*2,$Z34)+$AB34*INDEX(H_Curve!$B$1:$F$100,4+($B$11-1)*17+3+N$28*2,$AA34))+$B$14*INDEX(H_Parametri!$A$14:$A$16,$B$11+1)/1000*IF($AG34=0,INDEX(H_Curve!$B$1:$F$100,4+($B$11)*17+3+N$28*2,$AE34),(1-$AG34)*INDEX(H_Curve!$B$1:$F$100,4+($B$11)*17+3+N$28*2,$AE34)+$AG34*INDEX(H_Curve!$B$1:$F$100,4+($B$11)*17+3+N$28*2,$AF34)))))/($B$4/1000)),""))</f>
        <v>0.14443532880480184</v>
      </c>
      <c r="O34" s="13" t="str">
        <f>IF(B34="","",IFERROR(MAX(0.0001,$A34*(IF($B$14=0,INDEX(H_Parametri!$A$14:$A$16,$B$11)/1000*IF($AB34=0,INDEX(H_Curve!$B$1:$F$100,4+($B$11-1)*17+3+O$28*2,$Z34),(1-$AB34)*INDEX(H_Curve!$B$1:$F$100,4+($B$11-1)*17+3+O$28*2,$Z34)+$AB34*INDEX(H_Curve!$B$1:$F$100,4+($B$11-1)*17+3+O$28*2,$AA34)),IF($B$14=1,INDEX(H_Parametri!$A$14:$A$16,$B$11+1)/1000*IF($AG34=0,INDEX(H_Curve!$B$1:$F$100,4+($B$11)*17+3+O$28*2,$AE34),(1-$AG34)*INDEX(H_Curve!$B$1:$F$100,4+($B$11)*17+3+O$28*2,$AE34)+$AG34*INDEX(H_Curve!$B$1:$F$100,4+($B$11)*17+3+O$28*2,$AF34)),(1-$B$14)*INDEX(H_Parametri!$A$14:$A$16,$B$11)/1000*IF($AB34=0,INDEX(H_Curve!$B$1:$F$100,4+($B$11-1)*17+3+O$28*2,$Z34),(1-$AB34)*INDEX(H_Curve!$B$1:$F$100,4+($B$11-1)*17+3+O$28*2,$Z34)+$AB34*INDEX(H_Curve!$B$1:$F$100,4+($B$11-1)*17+3+O$28*2,$AA34))+$B$14*INDEX(H_Parametri!$A$14:$A$16,$B$11+1)/1000*IF($AG34=0,INDEX(H_Curve!$B$1:$F$100,4+($B$11)*17+3+O$28*2,$AE34),(1-$AG34)*INDEX(H_Curve!$B$1:$F$100,4+($B$11)*17+3+O$28*2,$AE34)+$AG34*INDEX(H_Curve!$B$1:$F$100,4+($B$11)*17+3+O$28*2,$AF34)))))/($B$4/1000)),""))</f>
        <v/>
      </c>
      <c r="P34" s="13" t="str">
        <f>IF(B34="","",IFERROR(MAX(0.0001,$A34*(IF($B$14=0,INDEX(H_Parametri!$A$14:$A$16,$B$11)/1000*IF($AB34=0,INDEX(H_Curve!$B$1:$F$100,4+($B$11-1)*17+3+P$28*2,$Z34),(1-$AB34)*INDEX(H_Curve!$B$1:$F$100,4+($B$11-1)*17+3+P$28*2,$Z34)+$AB34*INDEX(H_Curve!$B$1:$F$100,4+($B$11-1)*17+3+P$28*2,$AA34)),IF($B$14=1,INDEX(H_Parametri!$A$14:$A$16,$B$11+1)/1000*IF($AG34=0,INDEX(H_Curve!$B$1:$F$100,4+($B$11)*17+3+P$28*2,$AE34),(1-$AG34)*INDEX(H_Curve!$B$1:$F$100,4+($B$11)*17+3+P$28*2,$AE34)+$AG34*INDEX(H_Curve!$B$1:$F$100,4+($B$11)*17+3+P$28*2,$AF34)),(1-$B$14)*INDEX(H_Parametri!$A$14:$A$16,$B$11)/1000*IF($AB34=0,INDEX(H_Curve!$B$1:$F$100,4+($B$11-1)*17+3+P$28*2,$Z34),(1-$AB34)*INDEX(H_Curve!$B$1:$F$100,4+($B$11-1)*17+3+P$28*2,$Z34)+$AB34*INDEX(H_Curve!$B$1:$F$100,4+($B$11-1)*17+3+P$28*2,$AA34))+$B$14*INDEX(H_Parametri!$A$14:$A$16,$B$11+1)/1000*IF($AG34=0,INDEX(H_Curve!$B$1:$F$100,4+($B$11)*17+3+P$28*2,$AE34),(1-$AG34)*INDEX(H_Curve!$B$1:$F$100,4+($B$11)*17+3+P$28*2,$AE34)+$AG34*INDEX(H_Curve!$B$1:$F$100,4+($B$11)*17+3+P$28*2,$AF34)))))/($B$4/1000)),""))</f>
        <v/>
      </c>
      <c r="Q34" s="13" t="str">
        <f>IF(B34="","",IFERROR(MAX(0.0001,$A34*(IF($B$14=0,INDEX(H_Parametri!$A$14:$A$16,$B$11)/1000*IF($AB34=0,INDEX(H_Curve!$B$1:$F$100,4+($B$11-1)*17+3+Q$28*2,$Z34),(1-$AB34)*INDEX(H_Curve!$B$1:$F$100,4+($B$11-1)*17+3+Q$28*2,$Z34)+$AB34*INDEX(H_Curve!$B$1:$F$100,4+($B$11-1)*17+3+Q$28*2,$AA34)),IF($B$14=1,INDEX(H_Parametri!$A$14:$A$16,$B$11+1)/1000*IF($AG34=0,INDEX(H_Curve!$B$1:$F$100,4+($B$11)*17+3+Q$28*2,$AE34),(1-$AG34)*INDEX(H_Curve!$B$1:$F$100,4+($B$11)*17+3+Q$28*2,$AE34)+$AG34*INDEX(H_Curve!$B$1:$F$100,4+($B$11)*17+3+Q$28*2,$AF34)),(1-$B$14)*INDEX(H_Parametri!$A$14:$A$16,$B$11)/1000*IF($AB34=0,INDEX(H_Curve!$B$1:$F$100,4+($B$11-1)*17+3+Q$28*2,$Z34),(1-$AB34)*INDEX(H_Curve!$B$1:$F$100,4+($B$11-1)*17+3+Q$28*2,$Z34)+$AB34*INDEX(H_Curve!$B$1:$F$100,4+($B$11-1)*17+3+Q$28*2,$AA34))+$B$14*INDEX(H_Parametri!$A$14:$A$16,$B$11+1)/1000*IF($AG34=0,INDEX(H_Curve!$B$1:$F$100,4+($B$11)*17+3+Q$28*2,$AE34),(1-$AG34)*INDEX(H_Curve!$B$1:$F$100,4+($B$11)*17+3+Q$28*2,$AE34)+$AG34*INDEX(H_Curve!$B$1:$F$100,4+($B$11)*17+3+Q$28*2,$AF34)))))/($B$4/1000)),""))</f>
        <v/>
      </c>
      <c r="R34" s="18">
        <f t="array" ref="R34">IF(B34="","",SUMPRODUCT(MAX(ISNUMBER(G34:P34)*ISNUMBER(H34:Q34)*(G34:P34&gt;=$B$6)*(H34:Q34&lt;$B$6)*(COLUMN(G34:P34)-COLUMN(G34)+1))))</f>
        <v>5</v>
      </c>
      <c r="S34" s="9">
        <f t="shared" si="4"/>
        <v>2.5</v>
      </c>
      <c r="T34" s="9">
        <f t="shared" si="5"/>
        <v>3</v>
      </c>
      <c r="U34" s="13">
        <f t="shared" si="6"/>
        <v>0.26448163085773818</v>
      </c>
      <c r="V34" s="13">
        <f t="shared" si="7"/>
        <v>0.22282374356229681</v>
      </c>
      <c r="W34" s="18">
        <f t="shared" si="8"/>
        <v>10</v>
      </c>
      <c r="X34" s="18">
        <f>IFERROR(LARGE(INDEX(H_Curve!$B$1:$F$100,4+($B$11-1)*17+1,1):INDEX(H_Curve!$B$1:$F$100,4+($B$11-1)*17+1,5),COUNTIF(INDEX(H_Curve!$B$1:$F$100,4+($B$11-1)*17+1,1):INDEX(H_Curve!$B$1:$F$100,4+($B$11-1)*17+1,5),"&gt;"&amp;$A34)+1),0)</f>
        <v>150</v>
      </c>
      <c r="Y34" s="18">
        <f>IFERROR(SMALL(INDEX(H_Curve!$B$1:$F$100,4+($B$11-1)*17+1,1):INDEX(H_Curve!$B$1:$F$100,4+($B$11-1)*17+1,5),COUNTIF(INDEX(H_Curve!$B$1:$F$100,4+($B$11-1)*17+1,1):INDEX(H_Curve!$B$1:$F$100,4+($B$11-1)*17+1,5),"&lt;"&amp;$A34)+1),1000000000)</f>
        <v>250</v>
      </c>
      <c r="Z34" s="18">
        <f>IFERROR(IF(X34=0,MATCH(Y34,INDEX(H_Curve!$B$1:$F$100,4+($B$11-1)*17+1,1):INDEX(H_Curve!$B$1:$F$100,4+($B$11-1)*17+1,5),0),MATCH(X34,INDEX(H_Curve!$B$1:$F$100,4+($B$11-1)*17+1,1):INDEX(H_Curve!$B$1:$F$100,4+($B$11-1)*17+1,5),0)),"")</f>
        <v>2</v>
      </c>
      <c r="AA34" s="18">
        <f>IFERROR(IF(Y34&gt;=1000000000,MATCH(X34,INDEX(H_Curve!$B$1:$F$100,4+($B$11-1)*17+1,1):INDEX(H_Curve!$B$1:$F$100,4+($B$11-1)*17+1,5),0),MATCH(Y34,INDEX(H_Curve!$B$1:$F$100,4+($B$11-1)*17+1,1):INDEX(H_Curve!$B$1:$F$100,4+($B$11-1)*17+1,5),0)),"")</f>
        <v>3</v>
      </c>
      <c r="AB34" s="13">
        <f t="shared" si="9"/>
        <v>0.25</v>
      </c>
      <c r="AC34" s="18">
        <f>IFERROR(LARGE(INDEX(H_Curve!$B$1:$F$100,4+($B$11)*17+1,1):INDEX(H_Curve!$B$1:$F$100,4+($B$11)*17+1,5),COUNTIF(INDEX(H_Curve!$B$1:$F$100,4+($B$11)*17+1,1):INDEX(H_Curve!$B$1:$F$100,4+($B$11)*17+1,5),"&gt;"&amp;$A34)+1),0)</f>
        <v>150</v>
      </c>
      <c r="AD34" s="18">
        <f>IFERROR(SMALL(INDEX(H_Curve!$B$1:$F$100,4+($B$11)*17+1,1):INDEX(H_Curve!$B$1:$F$100,4+($B$11)*17+1,5),COUNTIF(INDEX(H_Curve!$B$1:$F$100,4+($B$11)*17+1,1):INDEX(H_Curve!$B$1:$F$100,4+($B$11)*17+1,5),"&lt;"&amp;$A34)+1),1000000000)</f>
        <v>250</v>
      </c>
      <c r="AE34" s="18">
        <f>IFERROR(IF(AC34=0,MATCH(AD34,INDEX(H_Curve!$B$1:$F$100,4+($B$11)*17+1,1):INDEX(H_Curve!$B$1:$F$100,4+($B$11)*17+1,5),0),MATCH(AC34,INDEX(H_Curve!$B$1:$F$100,4+($B$11)*17+1,1):INDEX(H_Curve!$B$1:$F$100,4+($B$11)*17+1,5),0)),"")</f>
        <v>2</v>
      </c>
      <c r="AF34" s="18">
        <f>IFERROR(IF(AD34&gt;=1000000000,MATCH(AC34,INDEX(H_Curve!$B$1:$F$100,4+($B$11)*17+1,1):INDEX(H_Curve!$B$1:$F$100,4+($B$11)*17+1,5),0),MATCH(AD34,INDEX(H_Curve!$B$1:$F$100,4+($B$11)*17+1,1):INDEX(H_Curve!$B$1:$F$100,4+($B$11)*17+1,5),0)),"")</f>
        <v>3</v>
      </c>
      <c r="AG34" s="13">
        <f t="shared" si="10"/>
        <v>0.25</v>
      </c>
      <c r="AH34" s="34">
        <f>IFERROR(MAX(0.000001,(IF($B$14=0,INDEX(H_Parametri!$A$14:$A$16,$B$11)/1000*IF($AB34=0,INDEX(H_Curve!$B$1:$F$100,4+($B$11-1)*17+2,$Z34),(1-$AB34)*INDEX(H_Curve!$B$1:$F$100,4+($B$11-1)*17+2,$Z34)+$AB34*INDEX(H_Curve!$B$1:$F$100,4+($B$11-1)*17+2,$AA34)),IF($B$14=1,INDEX(H_Parametri!$A$14:$A$16,$B$11+1)/1000*IF($AG34=0,INDEX(H_Curve!$B$1:$F$100,4+($B$11)*17+2,$AE34),(1-$AG34)*INDEX(H_Curve!$B$1:$F$100,4+($B$11)*17+2,$AE34)+$AG34*INDEX(H_Curve!$B$1:$F$100,4+($B$11)*17+2,$AF34)),(1-$B$14)*INDEX(H_Parametri!$A$14:$A$16,$B$11)/1000*IF($AB34=0,INDEX(H_Curve!$B$1:$F$100,4+($B$11-1)*17+2,$Z34),(1-$AB34)*INDEX(H_Curve!$B$1:$F$100,4+($B$11-1)*17+2,$Z34)+$AB34*INDEX(H_Curve!$B$1:$F$100,4+($B$11-1)*17+2,$AA34))+$B$14*INDEX(H_Parametri!$A$14:$A$16,$B$11+1)/1000*IF($AG34=0,INDEX(H_Curve!$B$1:$F$100,4+($B$11)*17+2,$AE34),(1-$AG34)*INDEX(H_Curve!$B$1:$F$100,4+($B$11)*17+2,$AE34)+$AG34*INDEX(H_Curve!$B$1:$F$100,4+($B$11)*17+2,$AF34)))))/($B$4/1000)),"")</f>
        <v>1.204588716516213E-2</v>
      </c>
      <c r="AJ34" s="18">
        <f t="shared" si="11"/>
        <v>0</v>
      </c>
    </row>
    <row r="35" spans="1:36" x14ac:dyDescent="0.25">
      <c r="A35" s="12">
        <v>210</v>
      </c>
      <c r="B35" s="23">
        <f t="shared" si="0"/>
        <v>2.533708305825495</v>
      </c>
      <c r="C35" s="13">
        <f t="shared" si="1"/>
        <v>9.8669605899463927E-2</v>
      </c>
      <c r="D35" s="23">
        <f t="shared" si="2"/>
        <v>3.2443726638315407</v>
      </c>
      <c r="E35" s="23" t="str">
        <f t="shared" si="3"/>
        <v/>
      </c>
      <c r="F35" s="5" t="str">
        <f>IF(B35="","",IF(OR($B$10&lt;2,$B$4&lt;INDEX(H_Parametri!$A$14:$A$16,1),$B$4&gt;INDEX(H_Parametri!$A$14:$A$16,H_Parametri!$B$10)),"L fuori campo: estrapolazione",IF(OR(A35&lt;$B$15*0.99,A35&gt;$B$16*1.01),"Q fuori dal campo dei dati (estrapolazione)",IF(D35="&gt; x max","Il getto raggiunge la parete (lancio &gt; x max)",IF(D35="n.d.","Dati CFD non coprono tutta la distanza (curva incompleta)",IF(NOT(ISNUMBER(D35)),"vₜ non raggiunta / &lt; 0,5 m",IF(IFERROR(C35&gt;INDEX(G35:Q35,ROUND(H_Parametri!$B$9*2,0))/B35,FALSE()),"vₜ nel campo vicino (x &lt; "&amp;H_Parametri!$B$9&amp;" m): lancio poco significativo",IF(D35&gt;$B$17,"Oltre x max: influenzato dalla parete","OK"))))))))</f>
        <v>OK</v>
      </c>
      <c r="G35" s="13">
        <f>IF(B35="","",IFERROR(MAX(0.0001,$A35*(IF($B$14=0,INDEX(H_Parametri!$A$14:$A$16,$B$11)/1000*IF($AB35=0,INDEX(H_Curve!$B$1:$F$100,4+($B$11-1)*17+3+G$28*2,$Z35),(1-$AB35)*INDEX(H_Curve!$B$1:$F$100,4+($B$11-1)*17+3+G$28*2,$Z35)+$AB35*INDEX(H_Curve!$B$1:$F$100,4+($B$11-1)*17+3+G$28*2,$AA35)),IF($B$14=1,INDEX(H_Parametri!$A$14:$A$16,$B$11+1)/1000*IF($AG35=0,INDEX(H_Curve!$B$1:$F$100,4+($B$11)*17+3+G$28*2,$AE35),(1-$AG35)*INDEX(H_Curve!$B$1:$F$100,4+($B$11)*17+3+G$28*2,$AE35)+$AG35*INDEX(H_Curve!$B$1:$F$100,4+($B$11)*17+3+G$28*2,$AF35)),(1-$B$14)*INDEX(H_Parametri!$A$14:$A$16,$B$11)/1000*IF($AB35=0,INDEX(H_Curve!$B$1:$F$100,4+($B$11-1)*17+3+G$28*2,$Z35),(1-$AB35)*INDEX(H_Curve!$B$1:$F$100,4+($B$11-1)*17+3+G$28*2,$Z35)+$AB35*INDEX(H_Curve!$B$1:$F$100,4+($B$11-1)*17+3+G$28*2,$AA35))+$B$14*INDEX(H_Parametri!$A$14:$A$16,$B$11+1)/1000*IF($AG35=0,INDEX(H_Curve!$B$1:$F$100,4+($B$11)*17+3+G$28*2,$AE35),(1-$AG35)*INDEX(H_Curve!$B$1:$F$100,4+($B$11)*17+3+G$28*2,$AE35)+$AG35*INDEX(H_Curve!$B$1:$F$100,4+($B$11)*17+3+G$28*2,$AF35)))))/($B$4/1000)),""))</f>
        <v>0.43128682828199133</v>
      </c>
      <c r="H35" s="13">
        <f>IF(B35="","",IFERROR(MAX(0.0001,$A35*(IF($B$14=0,INDEX(H_Parametri!$A$14:$A$16,$B$11)/1000*IF($AB35=0,INDEX(H_Curve!$B$1:$F$100,4+($B$11-1)*17+3+H$28*2,$Z35),(1-$AB35)*INDEX(H_Curve!$B$1:$F$100,4+($B$11-1)*17+3+H$28*2,$Z35)+$AB35*INDEX(H_Curve!$B$1:$F$100,4+($B$11-1)*17+3+H$28*2,$AA35)),IF($B$14=1,INDEX(H_Parametri!$A$14:$A$16,$B$11+1)/1000*IF($AG35=0,INDEX(H_Curve!$B$1:$F$100,4+($B$11)*17+3+H$28*2,$AE35),(1-$AG35)*INDEX(H_Curve!$B$1:$F$100,4+($B$11)*17+3+H$28*2,$AE35)+$AG35*INDEX(H_Curve!$B$1:$F$100,4+($B$11)*17+3+H$28*2,$AF35)),(1-$B$14)*INDEX(H_Parametri!$A$14:$A$16,$B$11)/1000*IF($AB35=0,INDEX(H_Curve!$B$1:$F$100,4+($B$11-1)*17+3+H$28*2,$Z35),(1-$AB35)*INDEX(H_Curve!$B$1:$F$100,4+($B$11-1)*17+3+H$28*2,$Z35)+$AB35*INDEX(H_Curve!$B$1:$F$100,4+($B$11-1)*17+3+H$28*2,$AA35))+$B$14*INDEX(H_Parametri!$A$14:$A$16,$B$11+1)/1000*IF($AG35=0,INDEX(H_Curve!$B$1:$F$100,4+($B$11)*17+3+H$28*2,$AE35),(1-$AG35)*INDEX(H_Curve!$B$1:$F$100,4+($B$11)*17+3+H$28*2,$AE35)+$AG35*INDEX(H_Curve!$B$1:$F$100,4+($B$11)*17+3+H$28*2,$AF35)))))/($B$4/1000)),""))</f>
        <v>0.40044784013457946</v>
      </c>
      <c r="I35" s="13">
        <f>IF(B35="","",IFERROR(MAX(0.0001,$A35*(IF($B$14=0,INDEX(H_Parametri!$A$14:$A$16,$B$11)/1000*IF($AB35=0,INDEX(H_Curve!$B$1:$F$100,4+($B$11-1)*17+3+I$28*2,$Z35),(1-$AB35)*INDEX(H_Curve!$B$1:$F$100,4+($B$11-1)*17+3+I$28*2,$Z35)+$AB35*INDEX(H_Curve!$B$1:$F$100,4+($B$11-1)*17+3+I$28*2,$AA35)),IF($B$14=1,INDEX(H_Parametri!$A$14:$A$16,$B$11+1)/1000*IF($AG35=0,INDEX(H_Curve!$B$1:$F$100,4+($B$11)*17+3+I$28*2,$AE35),(1-$AG35)*INDEX(H_Curve!$B$1:$F$100,4+($B$11)*17+3+I$28*2,$AE35)+$AG35*INDEX(H_Curve!$B$1:$F$100,4+($B$11)*17+3+I$28*2,$AF35)),(1-$B$14)*INDEX(H_Parametri!$A$14:$A$16,$B$11)/1000*IF($AB35=0,INDEX(H_Curve!$B$1:$F$100,4+($B$11-1)*17+3+I$28*2,$Z35),(1-$AB35)*INDEX(H_Curve!$B$1:$F$100,4+($B$11-1)*17+3+I$28*2,$Z35)+$AB35*INDEX(H_Curve!$B$1:$F$100,4+($B$11-1)*17+3+I$28*2,$AA35))+$B$14*INDEX(H_Parametri!$A$14:$A$16,$B$11+1)/1000*IF($AG35=0,INDEX(H_Curve!$B$1:$F$100,4+($B$11)*17+3+I$28*2,$AE35),(1-$AG35)*INDEX(H_Curve!$B$1:$F$100,4+($B$11)*17+3+I$28*2,$AE35)+$AG35*INDEX(H_Curve!$B$1:$F$100,4+($B$11)*17+3+I$28*2,$AF35)))))/($B$4/1000)),""))</f>
        <v>0.40296307160452877</v>
      </c>
      <c r="J35" s="13">
        <f>IF(B35="","",IFERROR(MAX(0.0001,$A35*(IF($B$14=0,INDEX(H_Parametri!$A$14:$A$16,$B$11)/1000*IF($AB35=0,INDEX(H_Curve!$B$1:$F$100,4+($B$11-1)*17+3+J$28*2,$Z35),(1-$AB35)*INDEX(H_Curve!$B$1:$F$100,4+($B$11-1)*17+3+J$28*2,$Z35)+$AB35*INDEX(H_Curve!$B$1:$F$100,4+($B$11-1)*17+3+J$28*2,$AA35)),IF($B$14=1,INDEX(H_Parametri!$A$14:$A$16,$B$11+1)/1000*IF($AG35=0,INDEX(H_Curve!$B$1:$F$100,4+($B$11)*17+3+J$28*2,$AE35),(1-$AG35)*INDEX(H_Curve!$B$1:$F$100,4+($B$11)*17+3+J$28*2,$AE35)+$AG35*INDEX(H_Curve!$B$1:$F$100,4+($B$11)*17+3+J$28*2,$AF35)),(1-$B$14)*INDEX(H_Parametri!$A$14:$A$16,$B$11)/1000*IF($AB35=0,INDEX(H_Curve!$B$1:$F$100,4+($B$11-1)*17+3+J$28*2,$Z35),(1-$AB35)*INDEX(H_Curve!$B$1:$F$100,4+($B$11-1)*17+3+J$28*2,$Z35)+$AB35*INDEX(H_Curve!$B$1:$F$100,4+($B$11-1)*17+3+J$28*2,$AA35))+$B$14*INDEX(H_Parametri!$A$14:$A$16,$B$11+1)/1000*IF($AG35=0,INDEX(H_Curve!$B$1:$F$100,4+($B$11)*17+3+J$28*2,$AE35),(1-$AG35)*INDEX(H_Curve!$B$1:$F$100,4+($B$11)*17+3+J$28*2,$AE35)+$AG35*INDEX(H_Curve!$B$1:$F$100,4+($B$11)*17+3+J$28*2,$AF35)))))/($B$4/1000)),""))</f>
        <v>0.37309479093753667</v>
      </c>
      <c r="K35" s="13">
        <f>IF(B35="","",IFERROR(MAX(0.0001,$A35*(IF($B$14=0,INDEX(H_Parametri!$A$14:$A$16,$B$11)/1000*IF($AB35=0,INDEX(H_Curve!$B$1:$F$100,4+($B$11-1)*17+3+K$28*2,$Z35),(1-$AB35)*INDEX(H_Curve!$B$1:$F$100,4+($B$11-1)*17+3+K$28*2,$Z35)+$AB35*INDEX(H_Curve!$B$1:$F$100,4+($B$11-1)*17+3+K$28*2,$AA35)),IF($B$14=1,INDEX(H_Parametri!$A$14:$A$16,$B$11+1)/1000*IF($AG35=0,INDEX(H_Curve!$B$1:$F$100,4+($B$11)*17+3+K$28*2,$AE35),(1-$AG35)*INDEX(H_Curve!$B$1:$F$100,4+($B$11)*17+3+K$28*2,$AE35)+$AG35*INDEX(H_Curve!$B$1:$F$100,4+($B$11)*17+3+K$28*2,$AF35)),(1-$B$14)*INDEX(H_Parametri!$A$14:$A$16,$B$11)/1000*IF($AB35=0,INDEX(H_Curve!$B$1:$F$100,4+($B$11-1)*17+3+K$28*2,$Z35),(1-$AB35)*INDEX(H_Curve!$B$1:$F$100,4+($B$11-1)*17+3+K$28*2,$Z35)+$AB35*INDEX(H_Curve!$B$1:$F$100,4+($B$11-1)*17+3+K$28*2,$AA35))+$B$14*INDEX(H_Parametri!$A$14:$A$16,$B$11+1)/1000*IF($AG35=0,INDEX(H_Curve!$B$1:$F$100,4+($B$11)*17+3+K$28*2,$AE35),(1-$AG35)*INDEX(H_Curve!$B$1:$F$100,4+($B$11)*17+3+K$28*2,$AE35)+$AG35*INDEX(H_Curve!$B$1:$F$100,4+($B$11)*17+3+K$28*2,$AF35)))))/($B$4/1000)),""))</f>
        <v>0.32057035636445746</v>
      </c>
      <c r="L35" s="13">
        <f>IF(B35="","",IFERROR(MAX(0.0001,$A35*(IF($B$14=0,INDEX(H_Parametri!$A$14:$A$16,$B$11)/1000*IF($AB35=0,INDEX(H_Curve!$B$1:$F$100,4+($B$11-1)*17+3+L$28*2,$Z35),(1-$AB35)*INDEX(H_Curve!$B$1:$F$100,4+($B$11-1)*17+3+L$28*2,$Z35)+$AB35*INDEX(H_Curve!$B$1:$F$100,4+($B$11-1)*17+3+L$28*2,$AA35)),IF($B$14=1,INDEX(H_Parametri!$A$14:$A$16,$B$11+1)/1000*IF($AG35=0,INDEX(H_Curve!$B$1:$F$100,4+($B$11)*17+3+L$28*2,$AE35),(1-$AG35)*INDEX(H_Curve!$B$1:$F$100,4+($B$11)*17+3+L$28*2,$AE35)+$AG35*INDEX(H_Curve!$B$1:$F$100,4+($B$11)*17+3+L$28*2,$AF35)),(1-$B$14)*INDEX(H_Parametri!$A$14:$A$16,$B$11)/1000*IF($AB35=0,INDEX(H_Curve!$B$1:$F$100,4+($B$11-1)*17+3+L$28*2,$Z35),(1-$AB35)*INDEX(H_Curve!$B$1:$F$100,4+($B$11-1)*17+3+L$28*2,$Z35)+$AB35*INDEX(H_Curve!$B$1:$F$100,4+($B$11-1)*17+3+L$28*2,$AA35))+$B$14*INDEX(H_Parametri!$A$14:$A$16,$B$11+1)/1000*IF($AG35=0,INDEX(H_Curve!$B$1:$F$100,4+($B$11)*17+3+L$28*2,$AE35),(1-$AG35)*INDEX(H_Curve!$B$1:$F$100,4+($B$11)*17+3+L$28*2,$AE35)+$AG35*INDEX(H_Curve!$B$1:$F$100,4+($B$11)*17+3+L$28*2,$AF35)))))/($B$4/1000)),""))</f>
        <v>0.2725993821340234</v>
      </c>
      <c r="M35" s="13">
        <f>IF(B35="","",IFERROR(MAX(0.0001,$A35*(IF($B$14=0,INDEX(H_Parametri!$A$14:$A$16,$B$11)/1000*IF($AB35=0,INDEX(H_Curve!$B$1:$F$100,4+($B$11-1)*17+3+M$28*2,$Z35),(1-$AB35)*INDEX(H_Curve!$B$1:$F$100,4+($B$11-1)*17+3+M$28*2,$Z35)+$AB35*INDEX(H_Curve!$B$1:$F$100,4+($B$11-1)*17+3+M$28*2,$AA35)),IF($B$14=1,INDEX(H_Parametri!$A$14:$A$16,$B$11+1)/1000*IF($AG35=0,INDEX(H_Curve!$B$1:$F$100,4+($B$11)*17+3+M$28*2,$AE35),(1-$AG35)*INDEX(H_Curve!$B$1:$F$100,4+($B$11)*17+3+M$28*2,$AE35)+$AG35*INDEX(H_Curve!$B$1:$F$100,4+($B$11)*17+3+M$28*2,$AF35)),(1-$B$14)*INDEX(H_Parametri!$A$14:$A$16,$B$11)/1000*IF($AB35=0,INDEX(H_Curve!$B$1:$F$100,4+($B$11-1)*17+3+M$28*2,$Z35),(1-$AB35)*INDEX(H_Curve!$B$1:$F$100,4+($B$11-1)*17+3+M$28*2,$Z35)+$AB35*INDEX(H_Curve!$B$1:$F$100,4+($B$11-1)*17+3+M$28*2,$AA35))+$B$14*INDEX(H_Parametri!$A$14:$A$16,$B$11+1)/1000*IF($AG35=0,INDEX(H_Curve!$B$1:$F$100,4+($B$11)*17+3+M$28*2,$AE35),(1-$AG35)*INDEX(H_Curve!$B$1:$F$100,4+($B$11)*17+3+M$28*2,$AE35)+$AG35*INDEX(H_Curve!$B$1:$F$100,4+($B$11)*17+3+M$28*2,$AF35)))))/($B$4/1000)),""))</f>
        <v>0.22990056256765692</v>
      </c>
      <c r="N35" s="13">
        <f>IF(B35="","",IFERROR(MAX(0.0001,$A35*(IF($B$14=0,INDEX(H_Parametri!$A$14:$A$16,$B$11)/1000*IF($AB35=0,INDEX(H_Curve!$B$1:$F$100,4+($B$11-1)*17+3+N$28*2,$Z35),(1-$AB35)*INDEX(H_Curve!$B$1:$F$100,4+($B$11-1)*17+3+N$28*2,$Z35)+$AB35*INDEX(H_Curve!$B$1:$F$100,4+($B$11-1)*17+3+N$28*2,$AA35)),IF($B$14=1,INDEX(H_Parametri!$A$14:$A$16,$B$11+1)/1000*IF($AG35=0,INDEX(H_Curve!$B$1:$F$100,4+($B$11)*17+3+N$28*2,$AE35),(1-$AG35)*INDEX(H_Curve!$B$1:$F$100,4+($B$11)*17+3+N$28*2,$AE35)+$AG35*INDEX(H_Curve!$B$1:$F$100,4+($B$11)*17+3+N$28*2,$AF35)),(1-$B$14)*INDEX(H_Parametri!$A$14:$A$16,$B$11)/1000*IF($AB35=0,INDEX(H_Curve!$B$1:$F$100,4+($B$11-1)*17+3+N$28*2,$Z35),(1-$AB35)*INDEX(H_Curve!$B$1:$F$100,4+($B$11-1)*17+3+N$28*2,$Z35)+$AB35*INDEX(H_Curve!$B$1:$F$100,4+($B$11-1)*17+3+N$28*2,$AA35))+$B$14*INDEX(H_Parametri!$A$14:$A$16,$B$11+1)/1000*IF($AG35=0,INDEX(H_Curve!$B$1:$F$100,4+($B$11)*17+3+N$28*2,$AE35),(1-$AG35)*INDEX(H_Curve!$B$1:$F$100,4+($B$11)*17+3+N$28*2,$AE35)+$AG35*INDEX(H_Curve!$B$1:$F$100,4+($B$11)*17+3+N$28*2,$AF35)))))/($B$4/1000)),""))</f>
        <v>0.19058149926682136</v>
      </c>
      <c r="O35" s="13" t="str">
        <f>IF(B35="","",IFERROR(MAX(0.0001,$A35*(IF($B$14=0,INDEX(H_Parametri!$A$14:$A$16,$B$11)/1000*IF($AB35=0,INDEX(H_Curve!$B$1:$F$100,4+($B$11-1)*17+3+O$28*2,$Z35),(1-$AB35)*INDEX(H_Curve!$B$1:$F$100,4+($B$11-1)*17+3+O$28*2,$Z35)+$AB35*INDEX(H_Curve!$B$1:$F$100,4+($B$11-1)*17+3+O$28*2,$AA35)),IF($B$14=1,INDEX(H_Parametri!$A$14:$A$16,$B$11+1)/1000*IF($AG35=0,INDEX(H_Curve!$B$1:$F$100,4+($B$11)*17+3+O$28*2,$AE35),(1-$AG35)*INDEX(H_Curve!$B$1:$F$100,4+($B$11)*17+3+O$28*2,$AE35)+$AG35*INDEX(H_Curve!$B$1:$F$100,4+($B$11)*17+3+O$28*2,$AF35)),(1-$B$14)*INDEX(H_Parametri!$A$14:$A$16,$B$11)/1000*IF($AB35=0,INDEX(H_Curve!$B$1:$F$100,4+($B$11-1)*17+3+O$28*2,$Z35),(1-$AB35)*INDEX(H_Curve!$B$1:$F$100,4+($B$11-1)*17+3+O$28*2,$Z35)+$AB35*INDEX(H_Curve!$B$1:$F$100,4+($B$11-1)*17+3+O$28*2,$AA35))+$B$14*INDEX(H_Parametri!$A$14:$A$16,$B$11+1)/1000*IF($AG35=0,INDEX(H_Curve!$B$1:$F$100,4+($B$11)*17+3+O$28*2,$AE35),(1-$AG35)*INDEX(H_Curve!$B$1:$F$100,4+($B$11)*17+3+O$28*2,$AE35)+$AG35*INDEX(H_Curve!$B$1:$F$100,4+($B$11)*17+3+O$28*2,$AF35)))))/($B$4/1000)),""))</f>
        <v/>
      </c>
      <c r="P35" s="13" t="str">
        <f>IF(B35="","",IFERROR(MAX(0.0001,$A35*(IF($B$14=0,INDEX(H_Parametri!$A$14:$A$16,$B$11)/1000*IF($AB35=0,INDEX(H_Curve!$B$1:$F$100,4+($B$11-1)*17+3+P$28*2,$Z35),(1-$AB35)*INDEX(H_Curve!$B$1:$F$100,4+($B$11-1)*17+3+P$28*2,$Z35)+$AB35*INDEX(H_Curve!$B$1:$F$100,4+($B$11-1)*17+3+P$28*2,$AA35)),IF($B$14=1,INDEX(H_Parametri!$A$14:$A$16,$B$11+1)/1000*IF($AG35=0,INDEX(H_Curve!$B$1:$F$100,4+($B$11)*17+3+P$28*2,$AE35),(1-$AG35)*INDEX(H_Curve!$B$1:$F$100,4+($B$11)*17+3+P$28*2,$AE35)+$AG35*INDEX(H_Curve!$B$1:$F$100,4+($B$11)*17+3+P$28*2,$AF35)),(1-$B$14)*INDEX(H_Parametri!$A$14:$A$16,$B$11)/1000*IF($AB35=0,INDEX(H_Curve!$B$1:$F$100,4+($B$11-1)*17+3+P$28*2,$Z35),(1-$AB35)*INDEX(H_Curve!$B$1:$F$100,4+($B$11-1)*17+3+P$28*2,$Z35)+$AB35*INDEX(H_Curve!$B$1:$F$100,4+($B$11-1)*17+3+P$28*2,$AA35))+$B$14*INDEX(H_Parametri!$A$14:$A$16,$B$11+1)/1000*IF($AG35=0,INDEX(H_Curve!$B$1:$F$100,4+($B$11)*17+3+P$28*2,$AE35),(1-$AG35)*INDEX(H_Curve!$B$1:$F$100,4+($B$11)*17+3+P$28*2,$AE35)+$AG35*INDEX(H_Curve!$B$1:$F$100,4+($B$11)*17+3+P$28*2,$AF35)))))/($B$4/1000)),""))</f>
        <v/>
      </c>
      <c r="Q35" s="13" t="str">
        <f>IF(B35="","",IFERROR(MAX(0.0001,$A35*(IF($B$14=0,INDEX(H_Parametri!$A$14:$A$16,$B$11)/1000*IF($AB35=0,INDEX(H_Curve!$B$1:$F$100,4+($B$11-1)*17+3+Q$28*2,$Z35),(1-$AB35)*INDEX(H_Curve!$B$1:$F$100,4+($B$11-1)*17+3+Q$28*2,$Z35)+$AB35*INDEX(H_Curve!$B$1:$F$100,4+($B$11-1)*17+3+Q$28*2,$AA35)),IF($B$14=1,INDEX(H_Parametri!$A$14:$A$16,$B$11+1)/1000*IF($AG35=0,INDEX(H_Curve!$B$1:$F$100,4+($B$11)*17+3+Q$28*2,$AE35),(1-$AG35)*INDEX(H_Curve!$B$1:$F$100,4+($B$11)*17+3+Q$28*2,$AE35)+$AG35*INDEX(H_Curve!$B$1:$F$100,4+($B$11)*17+3+Q$28*2,$AF35)),(1-$B$14)*INDEX(H_Parametri!$A$14:$A$16,$B$11)/1000*IF($AB35=0,INDEX(H_Curve!$B$1:$F$100,4+($B$11-1)*17+3+Q$28*2,$Z35),(1-$AB35)*INDEX(H_Curve!$B$1:$F$100,4+($B$11-1)*17+3+Q$28*2,$Z35)+$AB35*INDEX(H_Curve!$B$1:$F$100,4+($B$11-1)*17+3+Q$28*2,$AA35))+$B$14*INDEX(H_Parametri!$A$14:$A$16,$B$11+1)/1000*IF($AG35=0,INDEX(H_Curve!$B$1:$F$100,4+($B$11)*17+3+Q$28*2,$AE35),(1-$AG35)*INDEX(H_Curve!$B$1:$F$100,4+($B$11)*17+3+Q$28*2,$AE35)+$AG35*INDEX(H_Curve!$B$1:$F$100,4+($B$11)*17+3+Q$28*2,$AF35)))))/($B$4/1000)),""))</f>
        <v/>
      </c>
      <c r="R35" s="18">
        <f t="array" ref="R35">IF(B35="","",SUMPRODUCT(MAX(ISNUMBER(G35:P35)*ISNUMBER(H35:Q35)*(G35:P35&gt;=$B$6)*(H35:Q35&lt;$B$6)*(COLUMN(G35:P35)-COLUMN(G35)+1))))</f>
        <v>6</v>
      </c>
      <c r="S35" s="9">
        <f t="shared" si="4"/>
        <v>3</v>
      </c>
      <c r="T35" s="9">
        <f t="shared" si="5"/>
        <v>3.5</v>
      </c>
      <c r="U35" s="13">
        <f t="shared" si="6"/>
        <v>0.2725993821340234</v>
      </c>
      <c r="V35" s="13">
        <f t="shared" si="7"/>
        <v>0.22990056256765692</v>
      </c>
      <c r="W35" s="18">
        <f t="shared" si="8"/>
        <v>10</v>
      </c>
      <c r="X35" s="18">
        <f>IFERROR(LARGE(INDEX(H_Curve!$B$1:$F$100,4+($B$11-1)*17+1,1):INDEX(H_Curve!$B$1:$F$100,4+($B$11-1)*17+1,5),COUNTIF(INDEX(H_Curve!$B$1:$F$100,4+($B$11-1)*17+1,1):INDEX(H_Curve!$B$1:$F$100,4+($B$11-1)*17+1,5),"&gt;"&amp;$A35)+1),0)</f>
        <v>150</v>
      </c>
      <c r="Y35" s="18">
        <f>IFERROR(SMALL(INDEX(H_Curve!$B$1:$F$100,4+($B$11-1)*17+1,1):INDEX(H_Curve!$B$1:$F$100,4+($B$11-1)*17+1,5),COUNTIF(INDEX(H_Curve!$B$1:$F$100,4+($B$11-1)*17+1,1):INDEX(H_Curve!$B$1:$F$100,4+($B$11-1)*17+1,5),"&lt;"&amp;$A35)+1),1000000000)</f>
        <v>250</v>
      </c>
      <c r="Z35" s="18">
        <f>IFERROR(IF(X35=0,MATCH(Y35,INDEX(H_Curve!$B$1:$F$100,4+($B$11-1)*17+1,1):INDEX(H_Curve!$B$1:$F$100,4+($B$11-1)*17+1,5),0),MATCH(X35,INDEX(H_Curve!$B$1:$F$100,4+($B$11-1)*17+1,1):INDEX(H_Curve!$B$1:$F$100,4+($B$11-1)*17+1,5),0)),"")</f>
        <v>2</v>
      </c>
      <c r="AA35" s="18">
        <f>IFERROR(IF(Y35&gt;=1000000000,MATCH(X35,INDEX(H_Curve!$B$1:$F$100,4+($B$11-1)*17+1,1):INDEX(H_Curve!$B$1:$F$100,4+($B$11-1)*17+1,5),0),MATCH(Y35,INDEX(H_Curve!$B$1:$F$100,4+($B$11-1)*17+1,1):INDEX(H_Curve!$B$1:$F$100,4+($B$11-1)*17+1,5),0)),"")</f>
        <v>3</v>
      </c>
      <c r="AB35" s="13">
        <f t="shared" si="9"/>
        <v>0.6</v>
      </c>
      <c r="AC35" s="18">
        <f>IFERROR(LARGE(INDEX(H_Curve!$B$1:$F$100,4+($B$11)*17+1,1):INDEX(H_Curve!$B$1:$F$100,4+($B$11)*17+1,5),COUNTIF(INDEX(H_Curve!$B$1:$F$100,4+($B$11)*17+1,1):INDEX(H_Curve!$B$1:$F$100,4+($B$11)*17+1,5),"&gt;"&amp;$A35)+1),0)</f>
        <v>150</v>
      </c>
      <c r="AD35" s="18">
        <f>IFERROR(SMALL(INDEX(H_Curve!$B$1:$F$100,4+($B$11)*17+1,1):INDEX(H_Curve!$B$1:$F$100,4+($B$11)*17+1,5),COUNTIF(INDEX(H_Curve!$B$1:$F$100,4+($B$11)*17+1,1):INDEX(H_Curve!$B$1:$F$100,4+($B$11)*17+1,5),"&lt;"&amp;$A35)+1),1000000000)</f>
        <v>250</v>
      </c>
      <c r="AE35" s="18">
        <f>IFERROR(IF(AC35=0,MATCH(AD35,INDEX(H_Curve!$B$1:$F$100,4+($B$11)*17+1,1):INDEX(H_Curve!$B$1:$F$100,4+($B$11)*17+1,5),0),MATCH(AC35,INDEX(H_Curve!$B$1:$F$100,4+($B$11)*17+1,1):INDEX(H_Curve!$B$1:$F$100,4+($B$11)*17+1,5),0)),"")</f>
        <v>2</v>
      </c>
      <c r="AF35" s="18">
        <f>IFERROR(IF(AD35&gt;=1000000000,MATCH(AC35,INDEX(H_Curve!$B$1:$F$100,4+($B$11)*17+1,1):INDEX(H_Curve!$B$1:$F$100,4+($B$11)*17+1,5),0),MATCH(AD35,INDEX(H_Curve!$B$1:$F$100,4+($B$11)*17+1,1):INDEX(H_Curve!$B$1:$F$100,4+($B$11)*17+1,5),0)),"")</f>
        <v>3</v>
      </c>
      <c r="AG35" s="13">
        <f t="shared" si="10"/>
        <v>0.6</v>
      </c>
      <c r="AH35" s="34">
        <f>IFERROR(MAX(0.000001,(IF($B$14=0,INDEX(H_Parametri!$A$14:$A$16,$B$11)/1000*IF($AB35=0,INDEX(H_Curve!$B$1:$F$100,4+($B$11-1)*17+2,$Z35),(1-$AB35)*INDEX(H_Curve!$B$1:$F$100,4+($B$11-1)*17+2,$Z35)+$AB35*INDEX(H_Curve!$B$1:$F$100,4+($B$11-1)*17+2,$AA35)),IF($B$14=1,INDEX(H_Parametri!$A$14:$A$16,$B$11+1)/1000*IF($AG35=0,INDEX(H_Curve!$B$1:$F$100,4+($B$11)*17+2,$AE35),(1-$AG35)*INDEX(H_Curve!$B$1:$F$100,4+($B$11)*17+2,$AE35)+$AG35*INDEX(H_Curve!$B$1:$F$100,4+($B$11)*17+2,$AF35)),(1-$B$14)*INDEX(H_Parametri!$A$14:$A$16,$B$11)/1000*IF($AB35=0,INDEX(H_Curve!$B$1:$F$100,4+($B$11-1)*17+2,$Z35),(1-$AB35)*INDEX(H_Curve!$B$1:$F$100,4+($B$11-1)*17+2,$Z35)+$AB35*INDEX(H_Curve!$B$1:$F$100,4+($B$11-1)*17+2,$AA35))+$B$14*INDEX(H_Parametri!$A$14:$A$16,$B$11+1)/1000*IF($AG35=0,INDEX(H_Curve!$B$1:$F$100,4+($B$11)*17+2,$AE35),(1-$AG35)*INDEX(H_Curve!$B$1:$F$100,4+($B$11)*17+2,$AE35)+$AG35*INDEX(H_Curve!$B$1:$F$100,4+($B$11)*17+2,$AF35)))))/($B$4/1000)),"")</f>
        <v>1.2065277646788072E-2</v>
      </c>
      <c r="AJ35" s="18">
        <f t="shared" si="11"/>
        <v>0</v>
      </c>
    </row>
    <row r="36" spans="1:36" x14ac:dyDescent="0.25">
      <c r="A36" s="12">
        <v>250</v>
      </c>
      <c r="B36" s="23">
        <f t="shared" si="0"/>
        <v>3.02185954930443</v>
      </c>
      <c r="C36" s="13">
        <f t="shared" si="1"/>
        <v>8.2730516068341059E-2</v>
      </c>
      <c r="D36" s="23">
        <f t="shared" si="2"/>
        <v>4.0019895139277564</v>
      </c>
      <c r="E36" s="23" t="str">
        <f t="shared" si="3"/>
        <v/>
      </c>
      <c r="F36" s="5" t="str">
        <f>IF(B36="","",IF(OR($B$10&lt;2,$B$4&lt;INDEX(H_Parametri!$A$14:$A$16,1),$B$4&gt;INDEX(H_Parametri!$A$14:$A$16,H_Parametri!$B$10)),"L fuori campo: estrapolazione",IF(OR(A36&lt;$B$15*0.99,A36&gt;$B$16*1.01),"Q fuori dal campo dei dati (estrapolazione)",IF(D36="&gt; x max","Il getto raggiunge la parete (lancio &gt; x max)",IF(D36="n.d.","Dati CFD non coprono tutta la distanza (curva incompleta)",IF(NOT(ISNUMBER(D36)),"vₜ non raggiunta / &lt; 0,5 m",IF(IFERROR(C36&gt;INDEX(G36:Q36,ROUND(H_Parametri!$B$9*2,0))/B36,FALSE()),"vₜ nel campo vicino (x &lt; "&amp;H_Parametri!$B$9&amp;" m): lancio poco significativo",IF(D36&gt;$B$17,"Oltre x max: influenzato dalla parete","OK"))))))))</f>
        <v>OK</v>
      </c>
      <c r="G36" s="13">
        <f>IF(B36="","",IFERROR(MAX(0.0001,$A36*(IF($B$14=0,INDEX(H_Parametri!$A$14:$A$16,$B$11)/1000*IF($AB36=0,INDEX(H_Curve!$B$1:$F$100,4+($B$11-1)*17+3+G$28*2,$Z36),(1-$AB36)*INDEX(H_Curve!$B$1:$F$100,4+($B$11-1)*17+3+G$28*2,$Z36)+$AB36*INDEX(H_Curve!$B$1:$F$100,4+($B$11-1)*17+3+G$28*2,$AA36)),IF($B$14=1,INDEX(H_Parametri!$A$14:$A$16,$B$11+1)/1000*IF($AG36=0,INDEX(H_Curve!$B$1:$F$100,4+($B$11)*17+3+G$28*2,$AE36),(1-$AG36)*INDEX(H_Curve!$B$1:$F$100,4+($B$11)*17+3+G$28*2,$AE36)+$AG36*INDEX(H_Curve!$B$1:$F$100,4+($B$11)*17+3+G$28*2,$AF36)),(1-$B$14)*INDEX(H_Parametri!$A$14:$A$16,$B$11)/1000*IF($AB36=0,INDEX(H_Curve!$B$1:$F$100,4+($B$11-1)*17+3+G$28*2,$Z36),(1-$AB36)*INDEX(H_Curve!$B$1:$F$100,4+($B$11-1)*17+3+G$28*2,$Z36)+$AB36*INDEX(H_Curve!$B$1:$F$100,4+($B$11-1)*17+3+G$28*2,$AA36))+$B$14*INDEX(H_Parametri!$A$14:$A$16,$B$11+1)/1000*IF($AG36=0,INDEX(H_Curve!$B$1:$F$100,4+($B$11)*17+3+G$28*2,$AE36),(1-$AG36)*INDEX(H_Curve!$B$1:$F$100,4+($B$11)*17+3+G$28*2,$AE36)+$AG36*INDEX(H_Curve!$B$1:$F$100,4+($B$11)*17+3+G$28*2,$AF36)))))/($B$4/1000)),""))</f>
        <v>0.49829713207408677</v>
      </c>
      <c r="H36" s="13">
        <f>IF(B36="","",IFERROR(MAX(0.0001,$A36*(IF($B$14=0,INDEX(H_Parametri!$A$14:$A$16,$B$11)/1000*IF($AB36=0,INDEX(H_Curve!$B$1:$F$100,4+($B$11-1)*17+3+H$28*2,$Z36),(1-$AB36)*INDEX(H_Curve!$B$1:$F$100,4+($B$11-1)*17+3+H$28*2,$Z36)+$AB36*INDEX(H_Curve!$B$1:$F$100,4+($B$11-1)*17+3+H$28*2,$AA36)),IF($B$14=1,INDEX(H_Parametri!$A$14:$A$16,$B$11+1)/1000*IF($AG36=0,INDEX(H_Curve!$B$1:$F$100,4+($B$11)*17+3+H$28*2,$AE36),(1-$AG36)*INDEX(H_Curve!$B$1:$F$100,4+($B$11)*17+3+H$28*2,$AE36)+$AG36*INDEX(H_Curve!$B$1:$F$100,4+($B$11)*17+3+H$28*2,$AF36)),(1-$B$14)*INDEX(H_Parametri!$A$14:$A$16,$B$11)/1000*IF($AB36=0,INDEX(H_Curve!$B$1:$F$100,4+($B$11-1)*17+3+H$28*2,$Z36),(1-$AB36)*INDEX(H_Curve!$B$1:$F$100,4+($B$11-1)*17+3+H$28*2,$Z36)+$AB36*INDEX(H_Curve!$B$1:$F$100,4+($B$11-1)*17+3+H$28*2,$AA36))+$B$14*INDEX(H_Parametri!$A$14:$A$16,$B$11+1)/1000*IF($AG36=0,INDEX(H_Curve!$B$1:$F$100,4+($B$11)*17+3+H$28*2,$AE36),(1-$AG36)*INDEX(H_Curve!$B$1:$F$100,4+($B$11)*17+3+H$28*2,$AE36)+$AG36*INDEX(H_Curve!$B$1:$F$100,4+($B$11)*17+3+H$28*2,$AF36)))))/($B$4/1000)),""))</f>
        <v>0.42391150344332629</v>
      </c>
      <c r="I36" s="13">
        <f>IF(B36="","",IFERROR(MAX(0.0001,$A36*(IF($B$14=0,INDEX(H_Parametri!$A$14:$A$16,$B$11)/1000*IF($AB36=0,INDEX(H_Curve!$B$1:$F$100,4+($B$11-1)*17+3+I$28*2,$Z36),(1-$AB36)*INDEX(H_Curve!$B$1:$F$100,4+($B$11-1)*17+3+I$28*2,$Z36)+$AB36*INDEX(H_Curve!$B$1:$F$100,4+($B$11-1)*17+3+I$28*2,$AA36)),IF($B$14=1,INDEX(H_Parametri!$A$14:$A$16,$B$11+1)/1000*IF($AG36=0,INDEX(H_Curve!$B$1:$F$100,4+($B$11)*17+3+I$28*2,$AE36),(1-$AG36)*INDEX(H_Curve!$B$1:$F$100,4+($B$11)*17+3+I$28*2,$AE36)+$AG36*INDEX(H_Curve!$B$1:$F$100,4+($B$11)*17+3+I$28*2,$AF36)),(1-$B$14)*INDEX(H_Parametri!$A$14:$A$16,$B$11)/1000*IF($AB36=0,INDEX(H_Curve!$B$1:$F$100,4+($B$11-1)*17+3+I$28*2,$Z36),(1-$AB36)*INDEX(H_Curve!$B$1:$F$100,4+($B$11-1)*17+3+I$28*2,$Z36)+$AB36*INDEX(H_Curve!$B$1:$F$100,4+($B$11-1)*17+3+I$28*2,$AA36))+$B$14*INDEX(H_Parametri!$A$14:$A$16,$B$11+1)/1000*IF($AG36=0,INDEX(H_Curve!$B$1:$F$100,4+($B$11)*17+3+I$28*2,$AE36),(1-$AG36)*INDEX(H_Curve!$B$1:$F$100,4+($B$11)*17+3+I$28*2,$AE36)+$AG36*INDEX(H_Curve!$B$1:$F$100,4+($B$11)*17+3+I$28*2,$AF36)))))/($B$4/1000)),""))</f>
        <v>0.43448884269242072</v>
      </c>
      <c r="J36" s="13">
        <f>IF(B36="","",IFERROR(MAX(0.0001,$A36*(IF($B$14=0,INDEX(H_Parametri!$A$14:$A$16,$B$11)/1000*IF($AB36=0,INDEX(H_Curve!$B$1:$F$100,4+($B$11-1)*17+3+J$28*2,$Z36),(1-$AB36)*INDEX(H_Curve!$B$1:$F$100,4+($B$11-1)*17+3+J$28*2,$Z36)+$AB36*INDEX(H_Curve!$B$1:$F$100,4+($B$11-1)*17+3+J$28*2,$AA36)),IF($B$14=1,INDEX(H_Parametri!$A$14:$A$16,$B$11+1)/1000*IF($AG36=0,INDEX(H_Curve!$B$1:$F$100,4+($B$11)*17+3+J$28*2,$AE36),(1-$AG36)*INDEX(H_Curve!$B$1:$F$100,4+($B$11)*17+3+J$28*2,$AE36)+$AG36*INDEX(H_Curve!$B$1:$F$100,4+($B$11)*17+3+J$28*2,$AF36)),(1-$B$14)*INDEX(H_Parametri!$A$14:$A$16,$B$11)/1000*IF($AB36=0,INDEX(H_Curve!$B$1:$F$100,4+($B$11-1)*17+3+J$28*2,$Z36),(1-$AB36)*INDEX(H_Curve!$B$1:$F$100,4+($B$11-1)*17+3+J$28*2,$Z36)+$AB36*INDEX(H_Curve!$B$1:$F$100,4+($B$11-1)*17+3+J$28*2,$AA36))+$B$14*INDEX(H_Parametri!$A$14:$A$16,$B$11+1)/1000*IF($AG36=0,INDEX(H_Curve!$B$1:$F$100,4+($B$11)*17+3+J$28*2,$AE36),(1-$AG36)*INDEX(H_Curve!$B$1:$F$100,4+($B$11)*17+3+J$28*2,$AE36)+$AG36*INDEX(H_Curve!$B$1:$F$100,4+($B$11)*17+3+J$28*2,$AF36)))))/($B$4/1000)),""))</f>
        <v>0.43158513711361834</v>
      </c>
      <c r="K36" s="13">
        <f>IF(B36="","",IFERROR(MAX(0.0001,$A36*(IF($B$14=0,INDEX(H_Parametri!$A$14:$A$16,$B$11)/1000*IF($AB36=0,INDEX(H_Curve!$B$1:$F$100,4+($B$11-1)*17+3+K$28*2,$Z36),(1-$AB36)*INDEX(H_Curve!$B$1:$F$100,4+($B$11-1)*17+3+K$28*2,$Z36)+$AB36*INDEX(H_Curve!$B$1:$F$100,4+($B$11-1)*17+3+K$28*2,$AA36)),IF($B$14=1,INDEX(H_Parametri!$A$14:$A$16,$B$11+1)/1000*IF($AG36=0,INDEX(H_Curve!$B$1:$F$100,4+($B$11)*17+3+K$28*2,$AE36),(1-$AG36)*INDEX(H_Curve!$B$1:$F$100,4+($B$11)*17+3+K$28*2,$AE36)+$AG36*INDEX(H_Curve!$B$1:$F$100,4+($B$11)*17+3+K$28*2,$AF36)),(1-$B$14)*INDEX(H_Parametri!$A$14:$A$16,$B$11)/1000*IF($AB36=0,INDEX(H_Curve!$B$1:$F$100,4+($B$11-1)*17+3+K$28*2,$Z36),(1-$AB36)*INDEX(H_Curve!$B$1:$F$100,4+($B$11-1)*17+3+K$28*2,$Z36)+$AB36*INDEX(H_Curve!$B$1:$F$100,4+($B$11-1)*17+3+K$28*2,$AA36))+$B$14*INDEX(H_Parametri!$A$14:$A$16,$B$11+1)/1000*IF($AG36=0,INDEX(H_Curve!$B$1:$F$100,4+($B$11)*17+3+K$28*2,$AE36),(1-$AG36)*INDEX(H_Curve!$B$1:$F$100,4+($B$11)*17+3+K$28*2,$AE36)+$AG36*INDEX(H_Curve!$B$1:$F$100,4+($B$11)*17+3+K$28*2,$AF36)))))/($B$4/1000)),""))</f>
        <v>0.38597477708036981</v>
      </c>
      <c r="L36" s="13">
        <f>IF(B36="","",IFERROR(MAX(0.0001,$A36*(IF($B$14=0,INDEX(H_Parametri!$A$14:$A$16,$B$11)/1000*IF($AB36=0,INDEX(H_Curve!$B$1:$F$100,4+($B$11-1)*17+3+L$28*2,$Z36),(1-$AB36)*INDEX(H_Curve!$B$1:$F$100,4+($B$11-1)*17+3+L$28*2,$Z36)+$AB36*INDEX(H_Curve!$B$1:$F$100,4+($B$11-1)*17+3+L$28*2,$AA36)),IF($B$14=1,INDEX(H_Parametri!$A$14:$A$16,$B$11+1)/1000*IF($AG36=0,INDEX(H_Curve!$B$1:$F$100,4+($B$11)*17+3+L$28*2,$AE36),(1-$AG36)*INDEX(H_Curve!$B$1:$F$100,4+($B$11)*17+3+L$28*2,$AE36)+$AG36*INDEX(H_Curve!$B$1:$F$100,4+($B$11)*17+3+L$28*2,$AF36)),(1-$B$14)*INDEX(H_Parametri!$A$14:$A$16,$B$11)/1000*IF($AB36=0,INDEX(H_Curve!$B$1:$F$100,4+($B$11-1)*17+3+L$28*2,$Z36),(1-$AB36)*INDEX(H_Curve!$B$1:$F$100,4+($B$11-1)*17+3+L$28*2,$Z36)+$AB36*INDEX(H_Curve!$B$1:$F$100,4+($B$11-1)*17+3+L$28*2,$AA36))+$B$14*INDEX(H_Parametri!$A$14:$A$16,$B$11+1)/1000*IF($AG36=0,INDEX(H_Curve!$B$1:$F$100,4+($B$11)*17+3+L$28*2,$AE36),(1-$AG36)*INDEX(H_Curve!$B$1:$F$100,4+($B$11)*17+3+L$28*2,$AE36)+$AG36*INDEX(H_Curve!$B$1:$F$100,4+($B$11)*17+3+L$28*2,$AF36)))))/($B$4/1000)),""))</f>
        <v>0.3316127200361057</v>
      </c>
      <c r="M36" s="13">
        <f>IF(B36="","",IFERROR(MAX(0.0001,$A36*(IF($B$14=0,INDEX(H_Parametri!$A$14:$A$16,$B$11)/1000*IF($AB36=0,INDEX(H_Curve!$B$1:$F$100,4+($B$11-1)*17+3+M$28*2,$Z36),(1-$AB36)*INDEX(H_Curve!$B$1:$F$100,4+($B$11-1)*17+3+M$28*2,$Z36)+$AB36*INDEX(H_Curve!$B$1:$F$100,4+($B$11-1)*17+3+M$28*2,$AA36)),IF($B$14=1,INDEX(H_Parametri!$A$14:$A$16,$B$11+1)/1000*IF($AG36=0,INDEX(H_Curve!$B$1:$F$100,4+($B$11)*17+3+M$28*2,$AE36),(1-$AG36)*INDEX(H_Curve!$B$1:$F$100,4+($B$11)*17+3+M$28*2,$AE36)+$AG36*INDEX(H_Curve!$B$1:$F$100,4+($B$11)*17+3+M$28*2,$AF36)),(1-$B$14)*INDEX(H_Parametri!$A$14:$A$16,$B$11)/1000*IF($AB36=0,INDEX(H_Curve!$B$1:$F$100,4+($B$11-1)*17+3+M$28*2,$Z36),(1-$AB36)*INDEX(H_Curve!$B$1:$F$100,4+($B$11-1)*17+3+M$28*2,$Z36)+$AB36*INDEX(H_Curve!$B$1:$F$100,4+($B$11-1)*17+3+M$28*2,$AA36))+$B$14*INDEX(H_Parametri!$A$14:$A$16,$B$11+1)/1000*IF($AG36=0,INDEX(H_Curve!$B$1:$F$100,4+($B$11)*17+3+M$28*2,$AE36),(1-$AG36)*INDEX(H_Curve!$B$1:$F$100,4+($B$11)*17+3+M$28*2,$AE36)+$AG36*INDEX(H_Curve!$B$1:$F$100,4+($B$11)*17+3+M$28*2,$AF36)))))/($B$4/1000)),""))</f>
        <v>0.28936158130157341</v>
      </c>
      <c r="N36" s="13">
        <f>IF(B36="","",IFERROR(MAX(0.0001,$A36*(IF($B$14=0,INDEX(H_Parametri!$A$14:$A$16,$B$11)/1000*IF($AB36=0,INDEX(H_Curve!$B$1:$F$100,4+($B$11-1)*17+3+N$28*2,$Z36),(1-$AB36)*INDEX(H_Curve!$B$1:$F$100,4+($B$11-1)*17+3+N$28*2,$Z36)+$AB36*INDEX(H_Curve!$B$1:$F$100,4+($B$11-1)*17+3+N$28*2,$AA36)),IF($B$14=1,INDEX(H_Parametri!$A$14:$A$16,$B$11+1)/1000*IF($AG36=0,INDEX(H_Curve!$B$1:$F$100,4+($B$11)*17+3+N$28*2,$AE36),(1-$AG36)*INDEX(H_Curve!$B$1:$F$100,4+($B$11)*17+3+N$28*2,$AE36)+$AG36*INDEX(H_Curve!$B$1:$F$100,4+($B$11)*17+3+N$28*2,$AF36)),(1-$B$14)*INDEX(H_Parametri!$A$14:$A$16,$B$11)/1000*IF($AB36=0,INDEX(H_Curve!$B$1:$F$100,4+($B$11-1)*17+3+N$28*2,$Z36),(1-$AB36)*INDEX(H_Curve!$B$1:$F$100,4+($B$11-1)*17+3+N$28*2,$Z36)+$AB36*INDEX(H_Curve!$B$1:$F$100,4+($B$11-1)*17+3+N$28*2,$AA36))+$B$14*INDEX(H_Parametri!$A$14:$A$16,$B$11+1)/1000*IF($AG36=0,INDEX(H_Curve!$B$1:$F$100,4+($B$11)*17+3+N$28*2,$AE36),(1-$AG36)*INDEX(H_Curve!$B$1:$F$100,4+($B$11)*17+3+N$28*2,$AE36)+$AG36*INDEX(H_Curve!$B$1:$F$100,4+($B$11)*17+3+N$28*2,$AF36)))))/($B$4/1000)),""))</f>
        <v>0.25036451232588836</v>
      </c>
      <c r="O36" s="13">
        <f>IF(B36="","",IFERROR(MAX(0.0001,$A36*(IF($B$14=0,INDEX(H_Parametri!$A$14:$A$16,$B$11)/1000*IF($AB36=0,INDEX(H_Curve!$B$1:$F$100,4+($B$11-1)*17+3+O$28*2,$Z36),(1-$AB36)*INDEX(H_Curve!$B$1:$F$100,4+($B$11-1)*17+3+O$28*2,$Z36)+$AB36*INDEX(H_Curve!$B$1:$F$100,4+($B$11-1)*17+3+O$28*2,$AA36)),IF($B$14=1,INDEX(H_Parametri!$A$14:$A$16,$B$11+1)/1000*IF($AG36=0,INDEX(H_Curve!$B$1:$F$100,4+($B$11)*17+3+O$28*2,$AE36),(1-$AG36)*INDEX(H_Curve!$B$1:$F$100,4+($B$11)*17+3+O$28*2,$AE36)+$AG36*INDEX(H_Curve!$B$1:$F$100,4+($B$11)*17+3+O$28*2,$AF36)),(1-$B$14)*INDEX(H_Parametri!$A$14:$A$16,$B$11)/1000*IF($AB36=0,INDEX(H_Curve!$B$1:$F$100,4+($B$11-1)*17+3+O$28*2,$Z36),(1-$AB36)*INDEX(H_Curve!$B$1:$F$100,4+($B$11-1)*17+3+O$28*2,$Z36)+$AB36*INDEX(H_Curve!$B$1:$F$100,4+($B$11-1)*17+3+O$28*2,$AA36))+$B$14*INDEX(H_Parametri!$A$14:$A$16,$B$11+1)/1000*IF($AG36=0,INDEX(H_Curve!$B$1:$F$100,4+($B$11)*17+3+O$28*2,$AE36),(1-$AG36)*INDEX(H_Curve!$B$1:$F$100,4+($B$11)*17+3+O$28*2,$AE36)+$AG36*INDEX(H_Curve!$B$1:$F$100,4+($B$11)*17+3+O$28*2,$AF36)))))/($B$4/1000)),""))</f>
        <v>0.17729346111838598</v>
      </c>
      <c r="P36" s="13" t="str">
        <f>IF(B36="","",IFERROR(MAX(0.0001,$A36*(IF($B$14=0,INDEX(H_Parametri!$A$14:$A$16,$B$11)/1000*IF($AB36=0,INDEX(H_Curve!$B$1:$F$100,4+($B$11-1)*17+3+P$28*2,$Z36),(1-$AB36)*INDEX(H_Curve!$B$1:$F$100,4+($B$11-1)*17+3+P$28*2,$Z36)+$AB36*INDEX(H_Curve!$B$1:$F$100,4+($B$11-1)*17+3+P$28*2,$AA36)),IF($B$14=1,INDEX(H_Parametri!$A$14:$A$16,$B$11+1)/1000*IF($AG36=0,INDEX(H_Curve!$B$1:$F$100,4+($B$11)*17+3+P$28*2,$AE36),(1-$AG36)*INDEX(H_Curve!$B$1:$F$100,4+($B$11)*17+3+P$28*2,$AE36)+$AG36*INDEX(H_Curve!$B$1:$F$100,4+($B$11)*17+3+P$28*2,$AF36)),(1-$B$14)*INDEX(H_Parametri!$A$14:$A$16,$B$11)/1000*IF($AB36=0,INDEX(H_Curve!$B$1:$F$100,4+($B$11-1)*17+3+P$28*2,$Z36),(1-$AB36)*INDEX(H_Curve!$B$1:$F$100,4+($B$11-1)*17+3+P$28*2,$Z36)+$AB36*INDEX(H_Curve!$B$1:$F$100,4+($B$11-1)*17+3+P$28*2,$AA36))+$B$14*INDEX(H_Parametri!$A$14:$A$16,$B$11+1)/1000*IF($AG36=0,INDEX(H_Curve!$B$1:$F$100,4+($B$11)*17+3+P$28*2,$AE36),(1-$AG36)*INDEX(H_Curve!$B$1:$F$100,4+($B$11)*17+3+P$28*2,$AE36)+$AG36*INDEX(H_Curve!$B$1:$F$100,4+($B$11)*17+3+P$28*2,$AF36)))))/($B$4/1000)),""))</f>
        <v/>
      </c>
      <c r="Q36" s="13" t="str">
        <f>IF(B36="","",IFERROR(MAX(0.0001,$A36*(IF($B$14=0,INDEX(H_Parametri!$A$14:$A$16,$B$11)/1000*IF($AB36=0,INDEX(H_Curve!$B$1:$F$100,4+($B$11-1)*17+3+Q$28*2,$Z36),(1-$AB36)*INDEX(H_Curve!$B$1:$F$100,4+($B$11-1)*17+3+Q$28*2,$Z36)+$AB36*INDEX(H_Curve!$B$1:$F$100,4+($B$11-1)*17+3+Q$28*2,$AA36)),IF($B$14=1,INDEX(H_Parametri!$A$14:$A$16,$B$11+1)/1000*IF($AG36=0,INDEX(H_Curve!$B$1:$F$100,4+($B$11)*17+3+Q$28*2,$AE36),(1-$AG36)*INDEX(H_Curve!$B$1:$F$100,4+($B$11)*17+3+Q$28*2,$AE36)+$AG36*INDEX(H_Curve!$B$1:$F$100,4+($B$11)*17+3+Q$28*2,$AF36)),(1-$B$14)*INDEX(H_Parametri!$A$14:$A$16,$B$11)/1000*IF($AB36=0,INDEX(H_Curve!$B$1:$F$100,4+($B$11-1)*17+3+Q$28*2,$Z36),(1-$AB36)*INDEX(H_Curve!$B$1:$F$100,4+($B$11-1)*17+3+Q$28*2,$Z36)+$AB36*INDEX(H_Curve!$B$1:$F$100,4+($B$11-1)*17+3+Q$28*2,$AA36))+$B$14*INDEX(H_Parametri!$A$14:$A$16,$B$11+1)/1000*IF($AG36=0,INDEX(H_Curve!$B$1:$F$100,4+($B$11)*17+3+Q$28*2,$AE36),(1-$AG36)*INDEX(H_Curve!$B$1:$F$100,4+($B$11)*17+3+Q$28*2,$AE36)+$AG36*INDEX(H_Curve!$B$1:$F$100,4+($B$11)*17+3+Q$28*2,$AF36)))))/($B$4/1000)),""))</f>
        <v/>
      </c>
      <c r="R36" s="18">
        <f t="array" ref="R36">IF(B36="","",SUMPRODUCT(MAX(ISNUMBER(G36:P36)*ISNUMBER(H36:Q36)*(G36:P36&gt;=$B$6)*(H36:Q36&lt;$B$6)*(COLUMN(G36:P36)-COLUMN(G36)+1))))</f>
        <v>8</v>
      </c>
      <c r="S36" s="9">
        <f t="shared" si="4"/>
        <v>4</v>
      </c>
      <c r="T36" s="9">
        <f t="shared" si="5"/>
        <v>4.5</v>
      </c>
      <c r="U36" s="13">
        <f t="shared" si="6"/>
        <v>0.25036451232588836</v>
      </c>
      <c r="V36" s="13">
        <f t="shared" si="7"/>
        <v>0.17729346111838598</v>
      </c>
      <c r="W36" s="18">
        <f t="shared" si="8"/>
        <v>10</v>
      </c>
      <c r="X36" s="18">
        <f>IFERROR(LARGE(INDEX(H_Curve!$B$1:$F$100,4+($B$11-1)*17+1,1):INDEX(H_Curve!$B$1:$F$100,4+($B$11-1)*17+1,5),COUNTIF(INDEX(H_Curve!$B$1:$F$100,4+($B$11-1)*17+1,1):INDEX(H_Curve!$B$1:$F$100,4+($B$11-1)*17+1,5),"&gt;"&amp;$A36)+1),0)</f>
        <v>250</v>
      </c>
      <c r="Y36" s="18">
        <f>IFERROR(SMALL(INDEX(H_Curve!$B$1:$F$100,4+($B$11-1)*17+1,1):INDEX(H_Curve!$B$1:$F$100,4+($B$11-1)*17+1,5),COUNTIF(INDEX(H_Curve!$B$1:$F$100,4+($B$11-1)*17+1,1):INDEX(H_Curve!$B$1:$F$100,4+($B$11-1)*17+1,5),"&lt;"&amp;$A36)+1),1000000000)</f>
        <v>250</v>
      </c>
      <c r="Z36" s="18">
        <f>IFERROR(IF(X36=0,MATCH(Y36,INDEX(H_Curve!$B$1:$F$100,4+($B$11-1)*17+1,1):INDEX(H_Curve!$B$1:$F$100,4+($B$11-1)*17+1,5),0),MATCH(X36,INDEX(H_Curve!$B$1:$F$100,4+($B$11-1)*17+1,1):INDEX(H_Curve!$B$1:$F$100,4+($B$11-1)*17+1,5),0)),"")</f>
        <v>3</v>
      </c>
      <c r="AA36" s="18">
        <f>IFERROR(IF(Y36&gt;=1000000000,MATCH(X36,INDEX(H_Curve!$B$1:$F$100,4+($B$11-1)*17+1,1):INDEX(H_Curve!$B$1:$F$100,4+($B$11-1)*17+1,5),0),MATCH(Y36,INDEX(H_Curve!$B$1:$F$100,4+($B$11-1)*17+1,1):INDEX(H_Curve!$B$1:$F$100,4+($B$11-1)*17+1,5),0)),"")</f>
        <v>3</v>
      </c>
      <c r="AB36" s="13">
        <f t="shared" si="9"/>
        <v>0</v>
      </c>
      <c r="AC36" s="18">
        <f>IFERROR(LARGE(INDEX(H_Curve!$B$1:$F$100,4+($B$11)*17+1,1):INDEX(H_Curve!$B$1:$F$100,4+($B$11)*17+1,5),COUNTIF(INDEX(H_Curve!$B$1:$F$100,4+($B$11)*17+1,1):INDEX(H_Curve!$B$1:$F$100,4+($B$11)*17+1,5),"&gt;"&amp;$A36)+1),0)</f>
        <v>250</v>
      </c>
      <c r="AD36" s="18">
        <f>IFERROR(SMALL(INDEX(H_Curve!$B$1:$F$100,4+($B$11)*17+1,1):INDEX(H_Curve!$B$1:$F$100,4+($B$11)*17+1,5),COUNTIF(INDEX(H_Curve!$B$1:$F$100,4+($B$11)*17+1,1):INDEX(H_Curve!$B$1:$F$100,4+($B$11)*17+1,5),"&lt;"&amp;$A36)+1),1000000000)</f>
        <v>250</v>
      </c>
      <c r="AE36" s="18">
        <f>IFERROR(IF(AC36=0,MATCH(AD36,INDEX(H_Curve!$B$1:$F$100,4+($B$11)*17+1,1):INDEX(H_Curve!$B$1:$F$100,4+($B$11)*17+1,5),0),MATCH(AC36,INDEX(H_Curve!$B$1:$F$100,4+($B$11)*17+1,1):INDEX(H_Curve!$B$1:$F$100,4+($B$11)*17+1,5),0)),"")</f>
        <v>3</v>
      </c>
      <c r="AF36" s="18">
        <f>IFERROR(IF(AD36&gt;=1000000000,MATCH(AC36,INDEX(H_Curve!$B$1:$F$100,4+($B$11)*17+1,1):INDEX(H_Curve!$B$1:$F$100,4+($B$11)*17+1,5),0),MATCH(AD36,INDEX(H_Curve!$B$1:$F$100,4+($B$11)*17+1,1):INDEX(H_Curve!$B$1:$F$100,4+($B$11)*17+1,5),0)),"")</f>
        <v>3</v>
      </c>
      <c r="AG36" s="13">
        <f t="shared" si="10"/>
        <v>0</v>
      </c>
      <c r="AH36" s="34">
        <f>IFERROR(MAX(0.000001,(IF($B$14=0,INDEX(H_Parametri!$A$14:$A$16,$B$11)/1000*IF($AB36=0,INDEX(H_Curve!$B$1:$F$100,4+($B$11-1)*17+2,$Z36),(1-$AB36)*INDEX(H_Curve!$B$1:$F$100,4+($B$11-1)*17+2,$Z36)+$AB36*INDEX(H_Curve!$B$1:$F$100,4+($B$11-1)*17+2,$AA36)),IF($B$14=1,INDEX(H_Parametri!$A$14:$A$16,$B$11+1)/1000*IF($AG36=0,INDEX(H_Curve!$B$1:$F$100,4+($B$11)*17+2,$AE36),(1-$AG36)*INDEX(H_Curve!$B$1:$F$100,4+($B$11)*17+2,$AE36)+$AG36*INDEX(H_Curve!$B$1:$F$100,4+($B$11)*17+2,$AF36)),(1-$B$14)*INDEX(H_Parametri!$A$14:$A$16,$B$11)/1000*IF($AB36=0,INDEX(H_Curve!$B$1:$F$100,4+($B$11-1)*17+2,$Z36),(1-$AB36)*INDEX(H_Curve!$B$1:$F$100,4+($B$11-1)*17+2,$Z36)+$AB36*INDEX(H_Curve!$B$1:$F$100,4+($B$11-1)*17+2,$AA36))+$B$14*INDEX(H_Parametri!$A$14:$A$16,$B$11+1)/1000*IF($AG36=0,INDEX(H_Curve!$B$1:$F$100,4+($B$11)*17+2,$AE36),(1-$AG36)*INDEX(H_Curve!$B$1:$F$100,4+($B$11)*17+2,$AE36)+$AG36*INDEX(H_Curve!$B$1:$F$100,4+($B$11)*17+2,$AF36)))))/($B$4/1000)),"")</f>
        <v>1.208743819721772E-2</v>
      </c>
      <c r="AJ36" s="18">
        <f t="shared" si="11"/>
        <v>0</v>
      </c>
    </row>
    <row r="37" spans="1:36" x14ac:dyDescent="0.25">
      <c r="A37" s="12">
        <v>300</v>
      </c>
      <c r="B37" s="23">
        <f t="shared" si="0"/>
        <v>3.66377053559907</v>
      </c>
      <c r="C37" s="13">
        <f t="shared" si="1"/>
        <v>6.8235714428857383E-2</v>
      </c>
      <c r="D37" s="23">
        <f t="shared" si="2"/>
        <v>4.7850847144003312</v>
      </c>
      <c r="E37" s="23">
        <f t="shared" si="3"/>
        <v>0.21762115553433045</v>
      </c>
      <c r="F37" s="5" t="str">
        <f>IF(B37="","",IF(OR($B$10&lt;2,$B$4&lt;INDEX(H_Parametri!$A$14:$A$16,1),$B$4&gt;INDEX(H_Parametri!$A$14:$A$16,H_Parametri!$B$10)),"L fuori campo: estrapolazione",IF(OR(A37&lt;$B$15*0.99,A37&gt;$B$16*1.01),"Q fuori dal campo dei dati (estrapolazione)",IF(D37="&gt; x max","Il getto raggiunge la parete (lancio &gt; x max)",IF(D37="n.d.","Dati CFD non coprono tutta la distanza (curva incompleta)",IF(NOT(ISNUMBER(D37)),"vₜ non raggiunta / &lt; 0,5 m",IF(IFERROR(C37&gt;INDEX(G37:Q37,ROUND(H_Parametri!$B$9*2,0))/B37,FALSE()),"vₜ nel campo vicino (x &lt; "&amp;H_Parametri!$B$9&amp;" m): lancio poco significativo",IF(D37&gt;$B$17,"Oltre x max: influenzato dalla parete","OK"))))))))</f>
        <v>OK</v>
      </c>
      <c r="G37" s="13">
        <f>IF(B37="","",IFERROR(MAX(0.0001,$A37*(IF($B$14=0,INDEX(H_Parametri!$A$14:$A$16,$B$11)/1000*IF($AB37=0,INDEX(H_Curve!$B$1:$F$100,4+($B$11-1)*17+3+G$28*2,$Z37),(1-$AB37)*INDEX(H_Curve!$B$1:$F$100,4+($B$11-1)*17+3+G$28*2,$Z37)+$AB37*INDEX(H_Curve!$B$1:$F$100,4+($B$11-1)*17+3+G$28*2,$AA37)),IF($B$14=1,INDEX(H_Parametri!$A$14:$A$16,$B$11+1)/1000*IF($AG37=0,INDEX(H_Curve!$B$1:$F$100,4+($B$11)*17+3+G$28*2,$AE37),(1-$AG37)*INDEX(H_Curve!$B$1:$F$100,4+($B$11)*17+3+G$28*2,$AE37)+$AG37*INDEX(H_Curve!$B$1:$F$100,4+($B$11)*17+3+G$28*2,$AF37)),(1-$B$14)*INDEX(H_Parametri!$A$14:$A$16,$B$11)/1000*IF($AB37=0,INDEX(H_Curve!$B$1:$F$100,4+($B$11-1)*17+3+G$28*2,$Z37),(1-$AB37)*INDEX(H_Curve!$B$1:$F$100,4+($B$11-1)*17+3+G$28*2,$Z37)+$AB37*INDEX(H_Curve!$B$1:$F$100,4+($B$11-1)*17+3+G$28*2,$AA37))+$B$14*INDEX(H_Parametri!$A$14:$A$16,$B$11+1)/1000*IF($AG37=0,INDEX(H_Curve!$B$1:$F$100,4+($B$11)*17+3+G$28*2,$AE37),(1-$AG37)*INDEX(H_Curve!$B$1:$F$100,4+($B$11)*17+3+G$28*2,$AE37)+$AG37*INDEX(H_Curve!$B$1:$F$100,4+($B$11)*17+3+G$28*2,$AF37)))))/($B$4/1000)),""))</f>
        <v>0.63776889860072472</v>
      </c>
      <c r="H37" s="13">
        <f>IF(B37="","",IFERROR(MAX(0.0001,$A37*(IF($B$14=0,INDEX(H_Parametri!$A$14:$A$16,$B$11)/1000*IF($AB37=0,INDEX(H_Curve!$B$1:$F$100,4+($B$11-1)*17+3+H$28*2,$Z37),(1-$AB37)*INDEX(H_Curve!$B$1:$F$100,4+($B$11-1)*17+3+H$28*2,$Z37)+$AB37*INDEX(H_Curve!$B$1:$F$100,4+($B$11-1)*17+3+H$28*2,$AA37)),IF($B$14=1,INDEX(H_Parametri!$A$14:$A$16,$B$11+1)/1000*IF($AG37=0,INDEX(H_Curve!$B$1:$F$100,4+($B$11)*17+3+H$28*2,$AE37),(1-$AG37)*INDEX(H_Curve!$B$1:$F$100,4+($B$11)*17+3+H$28*2,$AE37)+$AG37*INDEX(H_Curve!$B$1:$F$100,4+($B$11)*17+3+H$28*2,$AF37)),(1-$B$14)*INDEX(H_Parametri!$A$14:$A$16,$B$11)/1000*IF($AB37=0,INDEX(H_Curve!$B$1:$F$100,4+($B$11-1)*17+3+H$28*2,$Z37),(1-$AB37)*INDEX(H_Curve!$B$1:$F$100,4+($B$11-1)*17+3+H$28*2,$Z37)+$AB37*INDEX(H_Curve!$B$1:$F$100,4+($B$11-1)*17+3+H$28*2,$AA37))+$B$14*INDEX(H_Parametri!$A$14:$A$16,$B$11+1)/1000*IF($AG37=0,INDEX(H_Curve!$B$1:$F$100,4+($B$11)*17+3+H$28*2,$AE37),(1-$AG37)*INDEX(H_Curve!$B$1:$F$100,4+($B$11)*17+3+H$28*2,$AE37)+$AG37*INDEX(H_Curve!$B$1:$F$100,4+($B$11)*17+3+H$28*2,$AF37)))))/($B$4/1000)),""))</f>
        <v>0.54246831802622519</v>
      </c>
      <c r="I37" s="13">
        <f>IF(B37="","",IFERROR(MAX(0.0001,$A37*(IF($B$14=0,INDEX(H_Parametri!$A$14:$A$16,$B$11)/1000*IF($AB37=0,INDEX(H_Curve!$B$1:$F$100,4+($B$11-1)*17+3+I$28*2,$Z37),(1-$AB37)*INDEX(H_Curve!$B$1:$F$100,4+($B$11-1)*17+3+I$28*2,$Z37)+$AB37*INDEX(H_Curve!$B$1:$F$100,4+($B$11-1)*17+3+I$28*2,$AA37)),IF($B$14=1,INDEX(H_Parametri!$A$14:$A$16,$B$11+1)/1000*IF($AG37=0,INDEX(H_Curve!$B$1:$F$100,4+($B$11)*17+3+I$28*2,$AE37),(1-$AG37)*INDEX(H_Curve!$B$1:$F$100,4+($B$11)*17+3+I$28*2,$AE37)+$AG37*INDEX(H_Curve!$B$1:$F$100,4+($B$11)*17+3+I$28*2,$AF37)),(1-$B$14)*INDEX(H_Parametri!$A$14:$A$16,$B$11)/1000*IF($AB37=0,INDEX(H_Curve!$B$1:$F$100,4+($B$11-1)*17+3+I$28*2,$Z37),(1-$AB37)*INDEX(H_Curve!$B$1:$F$100,4+($B$11-1)*17+3+I$28*2,$Z37)+$AB37*INDEX(H_Curve!$B$1:$F$100,4+($B$11-1)*17+3+I$28*2,$AA37))+$B$14*INDEX(H_Parametri!$A$14:$A$16,$B$11+1)/1000*IF($AG37=0,INDEX(H_Curve!$B$1:$F$100,4+($B$11)*17+3+I$28*2,$AE37),(1-$AG37)*INDEX(H_Curve!$B$1:$F$100,4+($B$11)*17+3+I$28*2,$AE37)+$AG37*INDEX(H_Curve!$B$1:$F$100,4+($B$11)*17+3+I$28*2,$AF37)))))/($B$4/1000)),""))</f>
        <v>0.55001768156926489</v>
      </c>
      <c r="J37" s="13">
        <f>IF(B37="","",IFERROR(MAX(0.0001,$A37*(IF($B$14=0,INDEX(H_Parametri!$A$14:$A$16,$B$11)/1000*IF($AB37=0,INDEX(H_Curve!$B$1:$F$100,4+($B$11-1)*17+3+J$28*2,$Z37),(1-$AB37)*INDEX(H_Curve!$B$1:$F$100,4+($B$11-1)*17+3+J$28*2,$Z37)+$AB37*INDEX(H_Curve!$B$1:$F$100,4+($B$11-1)*17+3+J$28*2,$AA37)),IF($B$14=1,INDEX(H_Parametri!$A$14:$A$16,$B$11+1)/1000*IF($AG37=0,INDEX(H_Curve!$B$1:$F$100,4+($B$11)*17+3+J$28*2,$AE37),(1-$AG37)*INDEX(H_Curve!$B$1:$F$100,4+($B$11)*17+3+J$28*2,$AE37)+$AG37*INDEX(H_Curve!$B$1:$F$100,4+($B$11)*17+3+J$28*2,$AF37)),(1-$B$14)*INDEX(H_Parametri!$A$14:$A$16,$B$11)/1000*IF($AB37=0,INDEX(H_Curve!$B$1:$F$100,4+($B$11-1)*17+3+J$28*2,$Z37),(1-$AB37)*INDEX(H_Curve!$B$1:$F$100,4+($B$11-1)*17+3+J$28*2,$Z37)+$AB37*INDEX(H_Curve!$B$1:$F$100,4+($B$11-1)*17+3+J$28*2,$AA37))+$B$14*INDEX(H_Parametri!$A$14:$A$16,$B$11+1)/1000*IF($AG37=0,INDEX(H_Curve!$B$1:$F$100,4+($B$11)*17+3+J$28*2,$AE37),(1-$AG37)*INDEX(H_Curve!$B$1:$F$100,4+($B$11)*17+3+J$28*2,$AE37)+$AG37*INDEX(H_Curve!$B$1:$F$100,4+($B$11)*17+3+J$28*2,$AF37)))))/($B$4/1000)),""))</f>
        <v>0.55979521288716538</v>
      </c>
      <c r="K37" s="13">
        <f>IF(B37="","",IFERROR(MAX(0.0001,$A37*(IF($B$14=0,INDEX(H_Parametri!$A$14:$A$16,$B$11)/1000*IF($AB37=0,INDEX(H_Curve!$B$1:$F$100,4+($B$11-1)*17+3+K$28*2,$Z37),(1-$AB37)*INDEX(H_Curve!$B$1:$F$100,4+($B$11-1)*17+3+K$28*2,$Z37)+$AB37*INDEX(H_Curve!$B$1:$F$100,4+($B$11-1)*17+3+K$28*2,$AA37)),IF($B$14=1,INDEX(H_Parametri!$A$14:$A$16,$B$11+1)/1000*IF($AG37=0,INDEX(H_Curve!$B$1:$F$100,4+($B$11)*17+3+K$28*2,$AE37),(1-$AG37)*INDEX(H_Curve!$B$1:$F$100,4+($B$11)*17+3+K$28*2,$AE37)+$AG37*INDEX(H_Curve!$B$1:$F$100,4+($B$11)*17+3+K$28*2,$AF37)),(1-$B$14)*INDEX(H_Parametri!$A$14:$A$16,$B$11)/1000*IF($AB37=0,INDEX(H_Curve!$B$1:$F$100,4+($B$11-1)*17+3+K$28*2,$Z37),(1-$AB37)*INDEX(H_Curve!$B$1:$F$100,4+($B$11-1)*17+3+K$28*2,$Z37)+$AB37*INDEX(H_Curve!$B$1:$F$100,4+($B$11-1)*17+3+K$28*2,$AA37))+$B$14*INDEX(H_Parametri!$A$14:$A$16,$B$11+1)/1000*IF($AG37=0,INDEX(H_Curve!$B$1:$F$100,4+($B$11)*17+3+K$28*2,$AE37),(1-$AG37)*INDEX(H_Curve!$B$1:$F$100,4+($B$11)*17+3+K$28*2,$AE37)+$AG37*INDEX(H_Curve!$B$1:$F$100,4+($B$11)*17+3+K$28*2,$AF37)))))/($B$4/1000)),""))</f>
        <v>0.54511864141584343</v>
      </c>
      <c r="L37" s="13">
        <f>IF(B37="","",IFERROR(MAX(0.0001,$A37*(IF($B$14=0,INDEX(H_Parametri!$A$14:$A$16,$B$11)/1000*IF($AB37=0,INDEX(H_Curve!$B$1:$F$100,4+($B$11-1)*17+3+L$28*2,$Z37),(1-$AB37)*INDEX(H_Curve!$B$1:$F$100,4+($B$11-1)*17+3+L$28*2,$Z37)+$AB37*INDEX(H_Curve!$B$1:$F$100,4+($B$11-1)*17+3+L$28*2,$AA37)),IF($B$14=1,INDEX(H_Parametri!$A$14:$A$16,$B$11+1)/1000*IF($AG37=0,INDEX(H_Curve!$B$1:$F$100,4+($B$11)*17+3+L$28*2,$AE37),(1-$AG37)*INDEX(H_Curve!$B$1:$F$100,4+($B$11)*17+3+L$28*2,$AE37)+$AG37*INDEX(H_Curve!$B$1:$F$100,4+($B$11)*17+3+L$28*2,$AF37)),(1-$B$14)*INDEX(H_Parametri!$A$14:$A$16,$B$11)/1000*IF($AB37=0,INDEX(H_Curve!$B$1:$F$100,4+($B$11-1)*17+3+L$28*2,$Z37),(1-$AB37)*INDEX(H_Curve!$B$1:$F$100,4+($B$11-1)*17+3+L$28*2,$Z37)+$AB37*INDEX(H_Curve!$B$1:$F$100,4+($B$11-1)*17+3+L$28*2,$AA37))+$B$14*INDEX(H_Parametri!$A$14:$A$16,$B$11+1)/1000*IF($AG37=0,INDEX(H_Curve!$B$1:$F$100,4+($B$11)*17+3+L$28*2,$AE37),(1-$AG37)*INDEX(H_Curve!$B$1:$F$100,4+($B$11)*17+3+L$28*2,$AE37)+$AG37*INDEX(H_Curve!$B$1:$F$100,4+($B$11)*17+3+L$28*2,$AF37)))))/($B$4/1000)),""))</f>
        <v>0.49979103049931678</v>
      </c>
      <c r="M37" s="13">
        <f>IF(B37="","",IFERROR(MAX(0.0001,$A37*(IF($B$14=0,INDEX(H_Parametri!$A$14:$A$16,$B$11)/1000*IF($AB37=0,INDEX(H_Curve!$B$1:$F$100,4+($B$11-1)*17+3+M$28*2,$Z37),(1-$AB37)*INDEX(H_Curve!$B$1:$F$100,4+($B$11-1)*17+3+M$28*2,$Z37)+$AB37*INDEX(H_Curve!$B$1:$F$100,4+($B$11-1)*17+3+M$28*2,$AA37)),IF($B$14=1,INDEX(H_Parametri!$A$14:$A$16,$B$11+1)/1000*IF($AG37=0,INDEX(H_Curve!$B$1:$F$100,4+($B$11)*17+3+M$28*2,$AE37),(1-$AG37)*INDEX(H_Curve!$B$1:$F$100,4+($B$11)*17+3+M$28*2,$AE37)+$AG37*INDEX(H_Curve!$B$1:$F$100,4+($B$11)*17+3+M$28*2,$AF37)),(1-$B$14)*INDEX(H_Parametri!$A$14:$A$16,$B$11)/1000*IF($AB37=0,INDEX(H_Curve!$B$1:$F$100,4+($B$11-1)*17+3+M$28*2,$Z37),(1-$AB37)*INDEX(H_Curve!$B$1:$F$100,4+($B$11-1)*17+3+M$28*2,$Z37)+$AB37*INDEX(H_Curve!$B$1:$F$100,4+($B$11-1)*17+3+M$28*2,$AA37))+$B$14*INDEX(H_Parametri!$A$14:$A$16,$B$11+1)/1000*IF($AG37=0,INDEX(H_Curve!$B$1:$F$100,4+($B$11)*17+3+M$28*2,$AE37),(1-$AG37)*INDEX(H_Curve!$B$1:$F$100,4+($B$11)*17+3+M$28*2,$AE37)+$AG37*INDEX(H_Curve!$B$1:$F$100,4+($B$11)*17+3+M$28*2,$AF37)))))/($B$4/1000)),""))</f>
        <v>0.42350512730390982</v>
      </c>
      <c r="N37" s="13">
        <f>IF(B37="","",IFERROR(MAX(0.0001,$A37*(IF($B$14=0,INDEX(H_Parametri!$A$14:$A$16,$B$11)/1000*IF($AB37=0,INDEX(H_Curve!$B$1:$F$100,4+($B$11-1)*17+3+N$28*2,$Z37),(1-$AB37)*INDEX(H_Curve!$B$1:$F$100,4+($B$11-1)*17+3+N$28*2,$Z37)+$AB37*INDEX(H_Curve!$B$1:$F$100,4+($B$11-1)*17+3+N$28*2,$AA37)),IF($B$14=1,INDEX(H_Parametri!$A$14:$A$16,$B$11+1)/1000*IF($AG37=0,INDEX(H_Curve!$B$1:$F$100,4+($B$11)*17+3+N$28*2,$AE37),(1-$AG37)*INDEX(H_Curve!$B$1:$F$100,4+($B$11)*17+3+N$28*2,$AE37)+$AG37*INDEX(H_Curve!$B$1:$F$100,4+($B$11)*17+3+N$28*2,$AF37)),(1-$B$14)*INDEX(H_Parametri!$A$14:$A$16,$B$11)/1000*IF($AB37=0,INDEX(H_Curve!$B$1:$F$100,4+($B$11-1)*17+3+N$28*2,$Z37),(1-$AB37)*INDEX(H_Curve!$B$1:$F$100,4+($B$11-1)*17+3+N$28*2,$Z37)+$AB37*INDEX(H_Curve!$B$1:$F$100,4+($B$11-1)*17+3+N$28*2,$AA37))+$B$14*INDEX(H_Parametri!$A$14:$A$16,$B$11+1)/1000*IF($AG37=0,INDEX(H_Curve!$B$1:$F$100,4+($B$11)*17+3+N$28*2,$AE37),(1-$AG37)*INDEX(H_Curve!$B$1:$F$100,4+($B$11)*17+3+N$28*2,$AE37)+$AG37*INDEX(H_Curve!$B$1:$F$100,4+($B$11)*17+3+N$28*2,$AF37)))))/($B$4/1000)),""))</f>
        <v>0.36964064874594865</v>
      </c>
      <c r="O37" s="13">
        <f>IF(B37="","",IFERROR(MAX(0.0001,$A37*(IF($B$14=0,INDEX(H_Parametri!$A$14:$A$16,$B$11)/1000*IF($AB37=0,INDEX(H_Curve!$B$1:$F$100,4+($B$11-1)*17+3+O$28*2,$Z37),(1-$AB37)*INDEX(H_Curve!$B$1:$F$100,4+($B$11-1)*17+3+O$28*2,$Z37)+$AB37*INDEX(H_Curve!$B$1:$F$100,4+($B$11-1)*17+3+O$28*2,$AA37)),IF($B$14=1,INDEX(H_Parametri!$A$14:$A$16,$B$11+1)/1000*IF($AG37=0,INDEX(H_Curve!$B$1:$F$100,4+($B$11)*17+3+O$28*2,$AE37),(1-$AG37)*INDEX(H_Curve!$B$1:$F$100,4+($B$11)*17+3+O$28*2,$AE37)+$AG37*INDEX(H_Curve!$B$1:$F$100,4+($B$11)*17+3+O$28*2,$AF37)),(1-$B$14)*INDEX(H_Parametri!$A$14:$A$16,$B$11)/1000*IF($AB37=0,INDEX(H_Curve!$B$1:$F$100,4+($B$11-1)*17+3+O$28*2,$Z37),(1-$AB37)*INDEX(H_Curve!$B$1:$F$100,4+($B$11-1)*17+3+O$28*2,$Z37)+$AB37*INDEX(H_Curve!$B$1:$F$100,4+($B$11-1)*17+3+O$28*2,$AA37))+$B$14*INDEX(H_Parametri!$A$14:$A$16,$B$11+1)/1000*IF($AG37=0,INDEX(H_Curve!$B$1:$F$100,4+($B$11)*17+3+O$28*2,$AE37),(1-$AG37)*INDEX(H_Curve!$B$1:$F$100,4+($B$11)*17+3+O$28*2,$AE37)+$AG37*INDEX(H_Curve!$B$1:$F$100,4+($B$11)*17+3+O$28*2,$AF37)))))/($B$4/1000)),""))</f>
        <v>0.30350278735752489</v>
      </c>
      <c r="P37" s="13">
        <f>IF(B37="","",IFERROR(MAX(0.0001,$A37*(IF($B$14=0,INDEX(H_Parametri!$A$14:$A$16,$B$11)/1000*IF($AB37=0,INDEX(H_Curve!$B$1:$F$100,4+($B$11-1)*17+3+P$28*2,$Z37),(1-$AB37)*INDEX(H_Curve!$B$1:$F$100,4+($B$11-1)*17+3+P$28*2,$Z37)+$AB37*INDEX(H_Curve!$B$1:$F$100,4+($B$11-1)*17+3+P$28*2,$AA37)),IF($B$14=1,INDEX(H_Parametri!$A$14:$A$16,$B$11+1)/1000*IF($AG37=0,INDEX(H_Curve!$B$1:$F$100,4+($B$11)*17+3+P$28*2,$AE37),(1-$AG37)*INDEX(H_Curve!$B$1:$F$100,4+($B$11)*17+3+P$28*2,$AE37)+$AG37*INDEX(H_Curve!$B$1:$F$100,4+($B$11)*17+3+P$28*2,$AF37)),(1-$B$14)*INDEX(H_Parametri!$A$14:$A$16,$B$11)/1000*IF($AB37=0,INDEX(H_Curve!$B$1:$F$100,4+($B$11-1)*17+3+P$28*2,$Z37),(1-$AB37)*INDEX(H_Curve!$B$1:$F$100,4+($B$11-1)*17+3+P$28*2,$Z37)+$AB37*INDEX(H_Curve!$B$1:$F$100,4+($B$11-1)*17+3+P$28*2,$AA37))+$B$14*INDEX(H_Parametri!$A$14:$A$16,$B$11+1)/1000*IF($AG37=0,INDEX(H_Curve!$B$1:$F$100,4+($B$11)*17+3+P$28*2,$AE37),(1-$AG37)*INDEX(H_Curve!$B$1:$F$100,4+($B$11)*17+3+P$28*2,$AE37)+$AG37*INDEX(H_Curve!$B$1:$F$100,4+($B$11)*17+3+P$28*2,$AF37)))))/($B$4/1000)),""))</f>
        <v>0.21762115553433045</v>
      </c>
      <c r="Q37" s="13">
        <f>IF(B37="","",IFERROR(MAX(0.0001,$A37*(IF($B$14=0,INDEX(H_Parametri!$A$14:$A$16,$B$11)/1000*IF($AB37=0,INDEX(H_Curve!$B$1:$F$100,4+($B$11-1)*17+3+Q$28*2,$Z37),(1-$AB37)*INDEX(H_Curve!$B$1:$F$100,4+($B$11-1)*17+3+Q$28*2,$Z37)+$AB37*INDEX(H_Curve!$B$1:$F$100,4+($B$11-1)*17+3+Q$28*2,$AA37)),IF($B$14=1,INDEX(H_Parametri!$A$14:$A$16,$B$11+1)/1000*IF($AG37=0,INDEX(H_Curve!$B$1:$F$100,4+($B$11)*17+3+Q$28*2,$AE37),(1-$AG37)*INDEX(H_Curve!$B$1:$F$100,4+($B$11)*17+3+Q$28*2,$AE37)+$AG37*INDEX(H_Curve!$B$1:$F$100,4+($B$11)*17+3+Q$28*2,$AF37)),(1-$B$14)*INDEX(H_Parametri!$A$14:$A$16,$B$11)/1000*IF($AB37=0,INDEX(H_Curve!$B$1:$F$100,4+($B$11-1)*17+3+Q$28*2,$Z37),(1-$AB37)*INDEX(H_Curve!$B$1:$F$100,4+($B$11-1)*17+3+Q$28*2,$Z37)+$AB37*INDEX(H_Curve!$B$1:$F$100,4+($B$11-1)*17+3+Q$28*2,$AA37))+$B$14*INDEX(H_Parametri!$A$14:$A$16,$B$11+1)/1000*IF($AG37=0,INDEX(H_Curve!$B$1:$F$100,4+($B$11)*17+3+Q$28*2,$AE37),(1-$AG37)*INDEX(H_Curve!$B$1:$F$100,4+($B$11)*17+3+Q$28*2,$AE37)+$AG37*INDEX(H_Curve!$B$1:$F$100,4+($B$11)*17+3+Q$28*2,$AF37)))))/($B$4/1000)),""))</f>
        <v>9.6855243350876585E-2</v>
      </c>
      <c r="R37" s="18">
        <f t="array" ref="R37">IF(B37="","",SUMPRODUCT(MAX(ISNUMBER(G37:P37)*ISNUMBER(H37:Q37)*(G37:P37&gt;=$B$6)*(H37:Q37&lt;$B$6)*(COLUMN(G37:P37)-COLUMN(G37)+1))))</f>
        <v>9</v>
      </c>
      <c r="S37" s="9">
        <f t="shared" si="4"/>
        <v>4.5</v>
      </c>
      <c r="T37" s="9">
        <f t="shared" si="5"/>
        <v>5</v>
      </c>
      <c r="U37" s="13">
        <f t="shared" si="6"/>
        <v>0.30350278735752489</v>
      </c>
      <c r="V37" s="13">
        <f t="shared" si="7"/>
        <v>0.21762115553433045</v>
      </c>
      <c r="W37" s="18">
        <f t="shared" si="8"/>
        <v>10</v>
      </c>
      <c r="X37" s="18">
        <f>IFERROR(LARGE(INDEX(H_Curve!$B$1:$F$100,4+($B$11-1)*17+1,1):INDEX(H_Curve!$B$1:$F$100,4+($B$11-1)*17+1,5),COUNTIF(INDEX(H_Curve!$B$1:$F$100,4+($B$11-1)*17+1,1):INDEX(H_Curve!$B$1:$F$100,4+($B$11-1)*17+1,5),"&gt;"&amp;$A37)+1),0)</f>
        <v>300</v>
      </c>
      <c r="Y37" s="18">
        <f>IFERROR(SMALL(INDEX(H_Curve!$B$1:$F$100,4+($B$11-1)*17+1,1):INDEX(H_Curve!$B$1:$F$100,4+($B$11-1)*17+1,5),COUNTIF(INDEX(H_Curve!$B$1:$F$100,4+($B$11-1)*17+1,1):INDEX(H_Curve!$B$1:$F$100,4+($B$11-1)*17+1,5),"&lt;"&amp;$A37)+1),1000000000)</f>
        <v>300</v>
      </c>
      <c r="Z37" s="18">
        <f>IFERROR(IF(X37=0,MATCH(Y37,INDEX(H_Curve!$B$1:$F$100,4+($B$11-1)*17+1,1):INDEX(H_Curve!$B$1:$F$100,4+($B$11-1)*17+1,5),0),MATCH(X37,INDEX(H_Curve!$B$1:$F$100,4+($B$11-1)*17+1,1):INDEX(H_Curve!$B$1:$F$100,4+($B$11-1)*17+1,5),0)),"")</f>
        <v>4</v>
      </c>
      <c r="AA37" s="18">
        <f>IFERROR(IF(Y37&gt;=1000000000,MATCH(X37,INDEX(H_Curve!$B$1:$F$100,4+($B$11-1)*17+1,1):INDEX(H_Curve!$B$1:$F$100,4+($B$11-1)*17+1,5),0),MATCH(Y37,INDEX(H_Curve!$B$1:$F$100,4+($B$11-1)*17+1,1):INDEX(H_Curve!$B$1:$F$100,4+($B$11-1)*17+1,5),0)),"")</f>
        <v>4</v>
      </c>
      <c r="AB37" s="13">
        <f t="shared" si="9"/>
        <v>0</v>
      </c>
      <c r="AC37" s="18">
        <f>IFERROR(LARGE(INDEX(H_Curve!$B$1:$F$100,4+($B$11)*17+1,1):INDEX(H_Curve!$B$1:$F$100,4+($B$11)*17+1,5),COUNTIF(INDEX(H_Curve!$B$1:$F$100,4+($B$11)*17+1,1):INDEX(H_Curve!$B$1:$F$100,4+($B$11)*17+1,5),"&gt;"&amp;$A37)+1),0)</f>
        <v>300</v>
      </c>
      <c r="AD37" s="18">
        <f>IFERROR(SMALL(INDEX(H_Curve!$B$1:$F$100,4+($B$11)*17+1,1):INDEX(H_Curve!$B$1:$F$100,4+($B$11)*17+1,5),COUNTIF(INDEX(H_Curve!$B$1:$F$100,4+($B$11)*17+1,1):INDEX(H_Curve!$B$1:$F$100,4+($B$11)*17+1,5),"&lt;"&amp;$A37)+1),1000000000)</f>
        <v>300</v>
      </c>
      <c r="AE37" s="18">
        <f>IFERROR(IF(AC37=0,MATCH(AD37,INDEX(H_Curve!$B$1:$F$100,4+($B$11)*17+1,1):INDEX(H_Curve!$B$1:$F$100,4+($B$11)*17+1,5),0),MATCH(AC37,INDEX(H_Curve!$B$1:$F$100,4+($B$11)*17+1,1):INDEX(H_Curve!$B$1:$F$100,4+($B$11)*17+1,5),0)),"")</f>
        <v>4</v>
      </c>
      <c r="AF37" s="18">
        <f>IFERROR(IF(AD37&gt;=1000000000,MATCH(AC37,INDEX(H_Curve!$B$1:$F$100,4+($B$11)*17+1,1):INDEX(H_Curve!$B$1:$F$100,4+($B$11)*17+1,5),0),MATCH(AD37,INDEX(H_Curve!$B$1:$F$100,4+($B$11)*17+1,1):INDEX(H_Curve!$B$1:$F$100,4+($B$11)*17+1,5),0)),"")</f>
        <v>4</v>
      </c>
      <c r="AG37" s="13">
        <f t="shared" si="10"/>
        <v>0</v>
      </c>
      <c r="AH37" s="34">
        <f>IFERROR(MAX(0.000001,(IF($B$14=0,INDEX(H_Parametri!$A$14:$A$16,$B$11)/1000*IF($AB37=0,INDEX(H_Curve!$B$1:$F$100,4+($B$11-1)*17+2,$Z37),(1-$AB37)*INDEX(H_Curve!$B$1:$F$100,4+($B$11-1)*17+2,$Z37)+$AB37*INDEX(H_Curve!$B$1:$F$100,4+($B$11-1)*17+2,$AA37)),IF($B$14=1,INDEX(H_Parametri!$A$14:$A$16,$B$11+1)/1000*IF($AG37=0,INDEX(H_Curve!$B$1:$F$100,4+($B$11)*17+2,$AE37),(1-$AG37)*INDEX(H_Curve!$B$1:$F$100,4+($B$11)*17+2,$AE37)+$AG37*INDEX(H_Curve!$B$1:$F$100,4+($B$11)*17+2,$AF37)),(1-$B$14)*INDEX(H_Parametri!$A$14:$A$16,$B$11)/1000*IF($AB37=0,INDEX(H_Curve!$B$1:$F$100,4+($B$11-1)*17+2,$Z37),(1-$AB37)*INDEX(H_Curve!$B$1:$F$100,4+($B$11-1)*17+2,$Z37)+$AB37*INDEX(H_Curve!$B$1:$F$100,4+($B$11-1)*17+2,$AA37))+$B$14*INDEX(H_Parametri!$A$14:$A$16,$B$11+1)/1000*IF($AG37=0,INDEX(H_Curve!$B$1:$F$100,4+($B$11)*17+2,$AE37),(1-$AG37)*INDEX(H_Curve!$B$1:$F$100,4+($B$11)*17+2,$AE37)+$AG37*INDEX(H_Curve!$B$1:$F$100,4+($B$11)*17+2,$AF37)))))/($B$4/1000)),"")</f>
        <v>1.22125684519969E-2</v>
      </c>
      <c r="AJ37" s="18">
        <f t="shared" si="11"/>
        <v>0</v>
      </c>
    </row>
    <row r="39" spans="1:36" x14ac:dyDescent="0.25">
      <c r="A39" s="3" t="s">
        <v>142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G$28&gt;H_Parametri!$B$7</xm:f>
            <x14:dxf>
              <fill>
                <patternFill>
                  <bgColor rgb="FFD9D9D9"/>
                </patternFill>
              </fill>
            </x14:dxf>
          </x14:cfRule>
          <xm:sqref>G29:Q37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1:AM19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8.7109375" defaultRowHeight="15" x14ac:dyDescent="0.25"/>
  <cols>
    <col min="1" max="1" width="30" customWidth="1"/>
    <col min="2" max="10" width="13" customWidth="1"/>
    <col min="11" max="11" width="14" customWidth="1"/>
    <col min="12" max="12" width="54" customWidth="1"/>
    <col min="13" max="39" width="8" customWidth="1"/>
  </cols>
  <sheetData>
    <row r="1" spans="1:39" ht="18" x14ac:dyDescent="0.25">
      <c r="A1" s="2" t="s">
        <v>143</v>
      </c>
    </row>
    <row r="2" spans="1:39" x14ac:dyDescent="0.25">
      <c r="A2" s="3" t="s">
        <v>144</v>
      </c>
    </row>
    <row r="4" spans="1:39" x14ac:dyDescent="0.25">
      <c r="A4" s="16" t="s">
        <v>48</v>
      </c>
      <c r="B4" s="30">
        <f>H_Catalogo!B5</f>
        <v>450</v>
      </c>
    </row>
    <row r="5" spans="1:39" x14ac:dyDescent="0.25">
      <c r="A5" s="16" t="s">
        <v>49</v>
      </c>
      <c r="B5" s="17">
        <f>H_Catalogo!B6</f>
        <v>0.25</v>
      </c>
    </row>
    <row r="6" spans="1:39" x14ac:dyDescent="0.25">
      <c r="A6" s="16" t="s">
        <v>118</v>
      </c>
      <c r="B6" s="33">
        <f>H_Catalogo!B7</f>
        <v>5</v>
      </c>
    </row>
    <row r="7" spans="1:39" x14ac:dyDescent="0.25">
      <c r="A7" s="16" t="s">
        <v>122</v>
      </c>
      <c r="B7" s="33">
        <f>H_Parametri!B7</f>
        <v>5</v>
      </c>
    </row>
    <row r="9" spans="1:39" ht="25.5" x14ac:dyDescent="0.25">
      <c r="A9" s="4" t="s">
        <v>90</v>
      </c>
      <c r="B9" s="4" t="s">
        <v>91</v>
      </c>
      <c r="C9" s="4" t="s">
        <v>92</v>
      </c>
      <c r="D9" s="4" t="s">
        <v>138</v>
      </c>
      <c r="E9" s="4" t="s">
        <v>60</v>
      </c>
      <c r="F9" s="4" t="s">
        <v>145</v>
      </c>
      <c r="G9" s="4" t="s">
        <v>61</v>
      </c>
      <c r="H9" s="4" t="s">
        <v>31</v>
      </c>
      <c r="I9" s="4" t="s">
        <v>95</v>
      </c>
      <c r="J9" s="4" t="s">
        <v>126</v>
      </c>
      <c r="K9" s="4" t="s">
        <v>146</v>
      </c>
      <c r="L9" s="4" t="s">
        <v>58</v>
      </c>
      <c r="M9" s="26">
        <v>0.5</v>
      </c>
      <c r="N9" s="26">
        <v>1</v>
      </c>
      <c r="O9" s="26">
        <v>1.5</v>
      </c>
      <c r="P9" s="26">
        <v>2</v>
      </c>
      <c r="Q9" s="26">
        <v>2.5</v>
      </c>
      <c r="R9" s="26">
        <v>3</v>
      </c>
      <c r="S9" s="26">
        <v>3.5</v>
      </c>
      <c r="T9" s="26">
        <v>4</v>
      </c>
      <c r="U9" s="26">
        <v>4.5</v>
      </c>
      <c r="V9" s="26">
        <v>5</v>
      </c>
      <c r="W9" s="26">
        <v>5.5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127</v>
      </c>
      <c r="AD9" s="4" t="s">
        <v>128</v>
      </c>
      <c r="AE9" s="4" t="s">
        <v>129</v>
      </c>
      <c r="AF9" s="4" t="s">
        <v>130</v>
      </c>
      <c r="AG9" s="4" t="s">
        <v>131</v>
      </c>
      <c r="AH9" s="4" t="s">
        <v>132</v>
      </c>
      <c r="AI9" s="4" t="s">
        <v>133</v>
      </c>
      <c r="AJ9" s="4" t="s">
        <v>134</v>
      </c>
      <c r="AK9" s="4" t="s">
        <v>135</v>
      </c>
      <c r="AL9" s="4" t="s">
        <v>136</v>
      </c>
      <c r="AM9" s="4" t="s">
        <v>137</v>
      </c>
    </row>
    <row r="10" spans="1:39" x14ac:dyDescent="0.25">
      <c r="A10" s="12">
        <v>500</v>
      </c>
      <c r="B10" s="18">
        <f>IFERROR(MAX(1,MIN(MATCH(A10,H_Parametri!$A$14:$A$16,1),H_Parametri!$B$10-1)),1)</f>
        <v>1</v>
      </c>
      <c r="C10" s="13">
        <f>(A10-INDEX(H_Parametri!$A$14:$A$16,B10))/(INDEX(H_Parametri!$A$14:$A$16,B10+1)-INDEX(H_Parametri!$A$14:$A$16,B10))</f>
        <v>0</v>
      </c>
      <c r="D10" s="34">
        <f>IFERROR(MAX(0.000001,(IF($C10=0,INDEX(H_Parametri!$A$14:$A$16,$B10)/1000*IF($AH10=0,INDEX(H_Curve!$B$1:$F$100,4+($B10-1)*17+2,$AF10),(1-$AH10)*INDEX(H_Curve!$B$1:$F$100,4+($B10-1)*17+2,$AF10)+$AH10*INDEX(H_Curve!$B$1:$F$100,4+($B10-1)*17+2,$AG10)),IF($C10=1,INDEX(H_Parametri!$A$14:$A$16,$B10+1)/1000*IF($AM10=0,INDEX(H_Curve!$B$1:$F$100,4+($B10)*17+2,$AK10),(1-$AM10)*INDEX(H_Curve!$B$1:$F$100,4+($B10)*17+2,$AK10)+$AM10*INDEX(H_Curve!$B$1:$F$100,4+($B10)*17+2,$AL10)),(1-$C10)*INDEX(H_Parametri!$A$14:$A$16,$B10)/1000*IF($AH10=0,INDEX(H_Curve!$B$1:$F$100,4+($B10-1)*17+2,$AF10),(1-$AH10)*INDEX(H_Curve!$B$1:$F$100,4+($B10-1)*17+2,$AF10)+$AH10*INDEX(H_Curve!$B$1:$F$100,4+($B10-1)*17+2,$AG10))+$C10*INDEX(H_Parametri!$A$14:$A$16,$B10+1)/1000*IF($AM10=0,INDEX(H_Curve!$B$1:$F$100,4+($B10)*17+2,$AK10),(1-$AM10)*INDEX(H_Curve!$B$1:$F$100,4+($B10)*17+2,$AK10)+$AM10*INDEX(H_Curve!$B$1:$F$100,4+($B10)*17+2,$AL10)))))/(A10/1000)),"")</f>
        <v>3.8777614581029476E-2</v>
      </c>
      <c r="E10" s="23">
        <f t="shared" ref="E10:E17" si="0">IF(AND(ISNUMBER(D10),N($B$4)&gt;0),$B$4*D10,"")</f>
        <v>17.449926561463265</v>
      </c>
      <c r="F10" s="14">
        <f t="shared" ref="F10:F17" si="1">IFERROR($B$4/3600/E10,"")</f>
        <v>7.1633539292968876E-3</v>
      </c>
      <c r="G10" s="13">
        <f t="shared" ref="G10:G17" si="2">IF(ISNUMBER(E10),$B$5/E10,"")</f>
        <v>1.4326707858593775E-2</v>
      </c>
      <c r="H10" s="13">
        <f>IFERROR(INDEX(M10:W10,ROUND(H_Parametri!$B$9*2,0))/E10,"")</f>
        <v>0.17576653425785851</v>
      </c>
      <c r="I10" s="24" t="str">
        <f t="shared" ref="I10:I17" si="3">IF(E10="","",IF(Y10="",IF(ISNUMBER(M10),IF(M10&lt;$B$5,"&lt; 0,5",IF(COUNTIFS(M$9:W$9,"&lt;="&amp;$B$7,M10:W10,"&gt;=0")=COUNTIF(M$9:W$9,"&lt;="&amp;$B$7),"&gt; x max","n.d.")),"n.d."),EXP(LN(Y10)+(LN($B$5)-LN(AA10))*(LN(Z10)-LN(Y10))/(LN(AB10)-LN(AA10)))))</f>
        <v>&gt; x max</v>
      </c>
      <c r="J10" s="23">
        <f t="shared" ref="J10:J17" si="4">IF(E10="","",IF(AC10="","",IFERROR(IF(INDEX(M$9:W$9,AC10)=$B$6,INDEX(M10:W10,AC10),EXP(LN(INDEX(M10:W10,AC10))+(LN($B$6)-LN(INDEX(M$9:W$9,AC10)))*(LN(INDEX(M10:W10,AC10+1))-LN(INDEX(M10:W10,AC10)))/(LN(INDEX(M$9:W$9,AC10+1))-LN(INDEX(M$9:W$9,AC10))))),"")))</f>
        <v>1.522920123627677</v>
      </c>
      <c r="K10" s="23">
        <f t="shared" ref="K10:K17" si="5">IF(ISNUMBER(J10),J10/$B$5,"")</f>
        <v>6.0916804945107081</v>
      </c>
      <c r="L10" s="5" t="str">
        <f>IF(E10="","",IF(OR(H_Parametri!$B$10&lt;2,A10&lt;INDEX(H_Parametri!$A$14:$A$16,1),A10&gt;INDEX(H_Parametri!$A$14:$A$16,H_Parametri!$B$10)),"L fuori campo: estrapolazione",IF(OR($B$4&lt;((1-C10)*INDEX(H_Parametri!$E$14:$E$16,B10)+C10*INDEX(H_Parametri!$E$14:$E$16,B10+1))*0.99,$B$4&gt;((1-C10)*INDEX(H_Parametri!$F$14:$F$16,B10)+C10*INDEX(H_Parametri!$F$14:$F$16,B10+1))*1.01),"Q fuori dal campo dei dati (estrapolazione)",IF(I10="&gt; x max","Il getto raggiunge la parete (lancio &gt; x max)",IF(I10="n.d.","Dati CFD non coprono tutta la distanza (curva incompleta)",IF(NOT(ISNUMBER(I10)),"vₜ non raggiunta / &lt; 0,5 m",IF(IFERROR(G10&gt;H10,FALSE()),"vₜ nel campo vicino (x &lt; "&amp;H_Parametri!$B$9&amp;" m): lancio poco significativo",IF(I10&gt;$B$7,"Oltre x max: influenzato dalla parete","OK"))))))))</f>
        <v>Q fuori dal campo dei dati (estrapolazione)</v>
      </c>
      <c r="M10" s="13">
        <f>IF(E10="","",IFERROR(MAX(0.0001,$B$4*(IF($C10=0,INDEX(H_Parametri!$A$14:$A$16,$B10)/1000*IF($AH10=0,INDEX(H_Curve!$B$1:$F$100,4+($B10-1)*17+3+M$9*2,$AF10),(1-$AH10)*INDEX(H_Curve!$B$1:$F$100,4+($B10-1)*17+3+M$9*2,$AF10)+$AH10*INDEX(H_Curve!$B$1:$F$100,4+($B10-1)*17+3+M$9*2,$AG10)),IF($C10=1,INDEX(H_Parametri!$A$14:$A$16,$B10+1)/1000*IF($AM10=0,INDEX(H_Curve!$B$1:$F$100,4+($B10)*17+3+M$9*2,$AK10),(1-$AM10)*INDEX(H_Curve!$B$1:$F$100,4+($B10)*17+3+M$9*2,$AK10)+$AM10*INDEX(H_Curve!$B$1:$F$100,4+($B10)*17+3+M$9*2,$AL10)),(1-$C10)*INDEX(H_Parametri!$A$14:$A$16,$B10)/1000*IF($AH10=0,INDEX(H_Curve!$B$1:$F$100,4+($B10-1)*17+3+M$9*2,$AF10),(1-$AH10)*INDEX(H_Curve!$B$1:$F$100,4+($B10-1)*17+3+M$9*2,$AF10)+$AH10*INDEX(H_Curve!$B$1:$F$100,4+($B10-1)*17+3+M$9*2,$AG10))+$C10*INDEX(H_Parametri!$A$14:$A$16,$B10+1)/1000*IF($AM10=0,INDEX(H_Curve!$B$1:$F$100,4+($B10)*17+3+M$9*2,$AK10),(1-$AM10)*INDEX(H_Curve!$B$1:$F$100,4+($B10)*17+3+M$9*2,$AK10)+$AM10*INDEX(H_Curve!$B$1:$F$100,4+($B10)*17+3+M$9*2,$AL10)))))/($A10/1000)),""))</f>
        <v>3.5454547727108507</v>
      </c>
      <c r="N10" s="13">
        <f>IF(E10="","",IFERROR(MAX(0.0001,$B$4*(IF($C10=0,INDEX(H_Parametri!$A$14:$A$16,$B10)/1000*IF($AH10=0,INDEX(H_Curve!$B$1:$F$100,4+($B10-1)*17+3+N$9*2,$AF10),(1-$AH10)*INDEX(H_Curve!$B$1:$F$100,4+($B10-1)*17+3+N$9*2,$AF10)+$AH10*INDEX(H_Curve!$B$1:$F$100,4+($B10-1)*17+3+N$9*2,$AG10)),IF($C10=1,INDEX(H_Parametri!$A$14:$A$16,$B10+1)/1000*IF($AM10=0,INDEX(H_Curve!$B$1:$F$100,4+($B10)*17+3+N$9*2,$AK10),(1-$AM10)*INDEX(H_Curve!$B$1:$F$100,4+($B10)*17+3+N$9*2,$AK10)+$AM10*INDEX(H_Curve!$B$1:$F$100,4+($B10)*17+3+N$9*2,$AL10)),(1-$C10)*INDEX(H_Parametri!$A$14:$A$16,$B10)/1000*IF($AH10=0,INDEX(H_Curve!$B$1:$F$100,4+($B10-1)*17+3+N$9*2,$AF10),(1-$AH10)*INDEX(H_Curve!$B$1:$F$100,4+($B10-1)*17+3+N$9*2,$AF10)+$AH10*INDEX(H_Curve!$B$1:$F$100,4+($B10-1)*17+3+N$9*2,$AG10))+$C10*INDEX(H_Parametri!$A$14:$A$16,$B10+1)/1000*IF($AM10=0,INDEX(H_Curve!$B$1:$F$100,4+($B10)*17+3+N$9*2,$AK10),(1-$AM10)*INDEX(H_Curve!$B$1:$F$100,4+($B10)*17+3+N$9*2,$AK10)+$AM10*INDEX(H_Curve!$B$1:$F$100,4+($B10)*17+3+N$9*2,$AL10)))))/($A10/1000)),""))</f>
        <v>3.0671131147625483</v>
      </c>
      <c r="O10" s="13">
        <f>IF(E10="","",IFERROR(MAX(0.0001,$B$4*(IF($C10=0,INDEX(H_Parametri!$A$14:$A$16,$B10)/1000*IF($AH10=0,INDEX(H_Curve!$B$1:$F$100,4+($B10-1)*17+3+O$9*2,$AF10),(1-$AH10)*INDEX(H_Curve!$B$1:$F$100,4+($B10-1)*17+3+O$9*2,$AF10)+$AH10*INDEX(H_Curve!$B$1:$F$100,4+($B10-1)*17+3+O$9*2,$AG10)),IF($C10=1,INDEX(H_Parametri!$A$14:$A$16,$B10+1)/1000*IF($AM10=0,INDEX(H_Curve!$B$1:$F$100,4+($B10)*17+3+O$9*2,$AK10),(1-$AM10)*INDEX(H_Curve!$B$1:$F$100,4+($B10)*17+3+O$9*2,$AK10)+$AM10*INDEX(H_Curve!$B$1:$F$100,4+($B10)*17+3+O$9*2,$AL10)),(1-$C10)*INDEX(H_Parametri!$A$14:$A$16,$B10)/1000*IF($AH10=0,INDEX(H_Curve!$B$1:$F$100,4+($B10-1)*17+3+O$9*2,$AF10),(1-$AH10)*INDEX(H_Curve!$B$1:$F$100,4+($B10-1)*17+3+O$9*2,$AF10)+$AH10*INDEX(H_Curve!$B$1:$F$100,4+($B10-1)*17+3+O$9*2,$AG10))+$C10*INDEX(H_Parametri!$A$14:$A$16,$B10+1)/1000*IF($AM10=0,INDEX(H_Curve!$B$1:$F$100,4+($B10)*17+3+O$9*2,$AK10),(1-$AM10)*INDEX(H_Curve!$B$1:$F$100,4+($B10)*17+3+O$9*2,$AK10)+$AM10*INDEX(H_Curve!$B$1:$F$100,4+($B10)*17+3+O$9*2,$AL10)))))/($A10/1000)),""))</f>
        <v>2.7193588865234606</v>
      </c>
      <c r="P10" s="13">
        <f>IF(E10="","",IFERROR(MAX(0.0001,$B$4*(IF($C10=0,INDEX(H_Parametri!$A$14:$A$16,$B10)/1000*IF($AH10=0,INDEX(H_Curve!$B$1:$F$100,4+($B10-1)*17+3+P$9*2,$AF10),(1-$AH10)*INDEX(H_Curve!$B$1:$F$100,4+($B10-1)*17+3+P$9*2,$AF10)+$AH10*INDEX(H_Curve!$B$1:$F$100,4+($B10-1)*17+3+P$9*2,$AG10)),IF($C10=1,INDEX(H_Parametri!$A$14:$A$16,$B10+1)/1000*IF($AM10=0,INDEX(H_Curve!$B$1:$F$100,4+($B10)*17+3+P$9*2,$AK10),(1-$AM10)*INDEX(H_Curve!$B$1:$F$100,4+($B10)*17+3+P$9*2,$AK10)+$AM10*INDEX(H_Curve!$B$1:$F$100,4+($B10)*17+3+P$9*2,$AL10)),(1-$C10)*INDEX(H_Parametri!$A$14:$A$16,$B10)/1000*IF($AH10=0,INDEX(H_Curve!$B$1:$F$100,4+($B10-1)*17+3+P$9*2,$AF10),(1-$AH10)*INDEX(H_Curve!$B$1:$F$100,4+($B10-1)*17+3+P$9*2,$AF10)+$AH10*INDEX(H_Curve!$B$1:$F$100,4+($B10-1)*17+3+P$9*2,$AG10))+$C10*INDEX(H_Parametri!$A$14:$A$16,$B10+1)/1000*IF($AM10=0,INDEX(H_Curve!$B$1:$F$100,4+($B10)*17+3+P$9*2,$AK10),(1-$AM10)*INDEX(H_Curve!$B$1:$F$100,4+($B10)*17+3+P$9*2,$AK10)+$AM10*INDEX(H_Curve!$B$1:$F$100,4+($B10)*17+3+P$9*2,$AL10)))))/($A10/1000)),""))</f>
        <v>2.444517703734634</v>
      </c>
      <c r="Q10" s="13">
        <f>IF(E10="","",IFERROR(MAX(0.0001,$B$4*(IF($C10=0,INDEX(H_Parametri!$A$14:$A$16,$B10)/1000*IF($AH10=0,INDEX(H_Curve!$B$1:$F$100,4+($B10-1)*17+3+Q$9*2,$AF10),(1-$AH10)*INDEX(H_Curve!$B$1:$F$100,4+($B10-1)*17+3+Q$9*2,$AF10)+$AH10*INDEX(H_Curve!$B$1:$F$100,4+($B10-1)*17+3+Q$9*2,$AG10)),IF($C10=1,INDEX(H_Parametri!$A$14:$A$16,$B10+1)/1000*IF($AM10=0,INDEX(H_Curve!$B$1:$F$100,4+($B10)*17+3+Q$9*2,$AK10),(1-$AM10)*INDEX(H_Curve!$B$1:$F$100,4+($B10)*17+3+Q$9*2,$AK10)+$AM10*INDEX(H_Curve!$B$1:$F$100,4+($B10)*17+3+Q$9*2,$AL10)),(1-$C10)*INDEX(H_Parametri!$A$14:$A$16,$B10)/1000*IF($AH10=0,INDEX(H_Curve!$B$1:$F$100,4+($B10-1)*17+3+Q$9*2,$AF10),(1-$AH10)*INDEX(H_Curve!$B$1:$F$100,4+($B10-1)*17+3+Q$9*2,$AF10)+$AH10*INDEX(H_Curve!$B$1:$F$100,4+($B10-1)*17+3+Q$9*2,$AG10))+$C10*INDEX(H_Parametri!$A$14:$A$16,$B10+1)/1000*IF($AM10=0,INDEX(H_Curve!$B$1:$F$100,4+($B10)*17+3+Q$9*2,$AK10),(1-$AM10)*INDEX(H_Curve!$B$1:$F$100,4+($B10)*17+3+Q$9*2,$AK10)+$AM10*INDEX(H_Curve!$B$1:$F$100,4+($B10)*17+3+Q$9*2,$AL10)))))/($A10/1000)),""))</f>
        <v>2.2309331996518136</v>
      </c>
      <c r="R10" s="13">
        <f>IF(E10="","",IFERROR(MAX(0.0001,$B$4*(IF($C10=0,INDEX(H_Parametri!$A$14:$A$16,$B10)/1000*IF($AH10=0,INDEX(H_Curve!$B$1:$F$100,4+($B10-1)*17+3+R$9*2,$AF10),(1-$AH10)*INDEX(H_Curve!$B$1:$F$100,4+($B10-1)*17+3+R$9*2,$AF10)+$AH10*INDEX(H_Curve!$B$1:$F$100,4+($B10-1)*17+3+R$9*2,$AG10)),IF($C10=1,INDEX(H_Parametri!$A$14:$A$16,$B10+1)/1000*IF($AM10=0,INDEX(H_Curve!$B$1:$F$100,4+($B10)*17+3+R$9*2,$AK10),(1-$AM10)*INDEX(H_Curve!$B$1:$F$100,4+($B10)*17+3+R$9*2,$AK10)+$AM10*INDEX(H_Curve!$B$1:$F$100,4+($B10)*17+3+R$9*2,$AL10)),(1-$C10)*INDEX(H_Parametri!$A$14:$A$16,$B10)/1000*IF($AH10=0,INDEX(H_Curve!$B$1:$F$100,4+($B10-1)*17+3+R$9*2,$AF10),(1-$AH10)*INDEX(H_Curve!$B$1:$F$100,4+($B10-1)*17+3+R$9*2,$AF10)+$AH10*INDEX(H_Curve!$B$1:$F$100,4+($B10-1)*17+3+R$9*2,$AG10))+$C10*INDEX(H_Parametri!$A$14:$A$16,$B10+1)/1000*IF($AM10=0,INDEX(H_Curve!$B$1:$F$100,4+($B10)*17+3+R$9*2,$AK10),(1-$AM10)*INDEX(H_Curve!$B$1:$F$100,4+($B10)*17+3+R$9*2,$AK10)+$AM10*INDEX(H_Curve!$B$1:$F$100,4+($B10)*17+3+R$9*2,$AL10)))))/($A10/1000)),""))</f>
        <v>2.0486195924594162</v>
      </c>
      <c r="S10" s="13">
        <f>IF(E10="","",IFERROR(MAX(0.0001,$B$4*(IF($C10=0,INDEX(H_Parametri!$A$14:$A$16,$B10)/1000*IF($AH10=0,INDEX(H_Curve!$B$1:$F$100,4+($B10-1)*17+3+S$9*2,$AF10),(1-$AH10)*INDEX(H_Curve!$B$1:$F$100,4+($B10-1)*17+3+S$9*2,$AF10)+$AH10*INDEX(H_Curve!$B$1:$F$100,4+($B10-1)*17+3+S$9*2,$AG10)),IF($C10=1,INDEX(H_Parametri!$A$14:$A$16,$B10+1)/1000*IF($AM10=0,INDEX(H_Curve!$B$1:$F$100,4+($B10)*17+3+S$9*2,$AK10),(1-$AM10)*INDEX(H_Curve!$B$1:$F$100,4+($B10)*17+3+S$9*2,$AK10)+$AM10*INDEX(H_Curve!$B$1:$F$100,4+($B10)*17+3+S$9*2,$AL10)),(1-$C10)*INDEX(H_Parametri!$A$14:$A$16,$B10)/1000*IF($AH10=0,INDEX(H_Curve!$B$1:$F$100,4+($B10-1)*17+3+S$9*2,$AF10),(1-$AH10)*INDEX(H_Curve!$B$1:$F$100,4+($B10-1)*17+3+S$9*2,$AF10)+$AH10*INDEX(H_Curve!$B$1:$F$100,4+($B10-1)*17+3+S$9*2,$AG10))+$C10*INDEX(H_Parametri!$A$14:$A$16,$B10+1)/1000*IF($AM10=0,INDEX(H_Curve!$B$1:$F$100,4+($B10)*17+3+S$9*2,$AK10),(1-$AM10)*INDEX(H_Curve!$B$1:$F$100,4+($B10)*17+3+S$9*2,$AK10)+$AM10*INDEX(H_Curve!$B$1:$F$100,4+($B10)*17+3+S$9*2,$AL10)))))/($A10/1000)),""))</f>
        <v>1.8980320104714861</v>
      </c>
      <c r="T10" s="13">
        <f>IF(E10="","",IFERROR(MAX(0.0001,$B$4*(IF($C10=0,INDEX(H_Parametri!$A$14:$A$16,$B10)/1000*IF($AH10=0,INDEX(H_Curve!$B$1:$F$100,4+($B10-1)*17+3+T$9*2,$AF10),(1-$AH10)*INDEX(H_Curve!$B$1:$F$100,4+($B10-1)*17+3+T$9*2,$AF10)+$AH10*INDEX(H_Curve!$B$1:$F$100,4+($B10-1)*17+3+T$9*2,$AG10)),IF($C10=1,INDEX(H_Parametri!$A$14:$A$16,$B10+1)/1000*IF($AM10=0,INDEX(H_Curve!$B$1:$F$100,4+($B10)*17+3+T$9*2,$AK10),(1-$AM10)*INDEX(H_Curve!$B$1:$F$100,4+($B10)*17+3+T$9*2,$AK10)+$AM10*INDEX(H_Curve!$B$1:$F$100,4+($B10)*17+3+T$9*2,$AL10)),(1-$C10)*INDEX(H_Parametri!$A$14:$A$16,$B10)/1000*IF($AH10=0,INDEX(H_Curve!$B$1:$F$100,4+($B10-1)*17+3+T$9*2,$AF10),(1-$AH10)*INDEX(H_Curve!$B$1:$F$100,4+($B10-1)*17+3+T$9*2,$AF10)+$AH10*INDEX(H_Curve!$B$1:$F$100,4+($B10-1)*17+3+T$9*2,$AG10))+$C10*INDEX(H_Parametri!$A$14:$A$16,$B10+1)/1000*IF($AM10=0,INDEX(H_Curve!$B$1:$F$100,4+($B10)*17+3+T$9*2,$AK10),(1-$AM10)*INDEX(H_Curve!$B$1:$F$100,4+($B10)*17+3+T$9*2,$AK10)+$AM10*INDEX(H_Curve!$B$1:$F$100,4+($B10)*17+3+T$9*2,$AL10)))))/($A10/1000)),""))</f>
        <v>1.774210702737997</v>
      </c>
      <c r="U10" s="13">
        <f>IF(E10="","",IFERROR(MAX(0.0001,$B$4*(IF($C10=0,INDEX(H_Parametri!$A$14:$A$16,$B10)/1000*IF($AH10=0,INDEX(H_Curve!$B$1:$F$100,4+($B10-1)*17+3+U$9*2,$AF10),(1-$AH10)*INDEX(H_Curve!$B$1:$F$100,4+($B10-1)*17+3+U$9*2,$AF10)+$AH10*INDEX(H_Curve!$B$1:$F$100,4+($B10-1)*17+3+U$9*2,$AG10)),IF($C10=1,INDEX(H_Parametri!$A$14:$A$16,$B10+1)/1000*IF($AM10=0,INDEX(H_Curve!$B$1:$F$100,4+($B10)*17+3+U$9*2,$AK10),(1-$AM10)*INDEX(H_Curve!$B$1:$F$100,4+($B10)*17+3+U$9*2,$AK10)+$AM10*INDEX(H_Curve!$B$1:$F$100,4+($B10)*17+3+U$9*2,$AL10)),(1-$C10)*INDEX(H_Parametri!$A$14:$A$16,$B10)/1000*IF($AH10=0,INDEX(H_Curve!$B$1:$F$100,4+($B10-1)*17+3+U$9*2,$AF10),(1-$AH10)*INDEX(H_Curve!$B$1:$F$100,4+($B10-1)*17+3+U$9*2,$AF10)+$AH10*INDEX(H_Curve!$B$1:$F$100,4+($B10-1)*17+3+U$9*2,$AG10))+$C10*INDEX(H_Parametri!$A$14:$A$16,$B10+1)/1000*IF($AM10=0,INDEX(H_Curve!$B$1:$F$100,4+($B10)*17+3+U$9*2,$AK10),(1-$AM10)*INDEX(H_Curve!$B$1:$F$100,4+($B10)*17+3+U$9*2,$AK10)+$AM10*INDEX(H_Curve!$B$1:$F$100,4+($B10)*17+3+U$9*2,$AL10)))))/($A10/1000)),""))</f>
        <v>1.6367973025962044</v>
      </c>
      <c r="V10" s="13">
        <f>IF(E10="","",IFERROR(MAX(0.0001,$B$4*(IF($C10=0,INDEX(H_Parametri!$A$14:$A$16,$B10)/1000*IF($AH10=0,INDEX(H_Curve!$B$1:$F$100,4+($B10-1)*17+3+V$9*2,$AF10),(1-$AH10)*INDEX(H_Curve!$B$1:$F$100,4+($B10-1)*17+3+V$9*2,$AF10)+$AH10*INDEX(H_Curve!$B$1:$F$100,4+($B10-1)*17+3+V$9*2,$AG10)),IF($C10=1,INDEX(H_Parametri!$A$14:$A$16,$B10+1)/1000*IF($AM10=0,INDEX(H_Curve!$B$1:$F$100,4+($B10)*17+3+V$9*2,$AK10),(1-$AM10)*INDEX(H_Curve!$B$1:$F$100,4+($B10)*17+3+V$9*2,$AK10)+$AM10*INDEX(H_Curve!$B$1:$F$100,4+($B10)*17+3+V$9*2,$AL10)),(1-$C10)*INDEX(H_Parametri!$A$14:$A$16,$B10)/1000*IF($AH10=0,INDEX(H_Curve!$B$1:$F$100,4+($B10-1)*17+3+V$9*2,$AF10),(1-$AH10)*INDEX(H_Curve!$B$1:$F$100,4+($B10-1)*17+3+V$9*2,$AF10)+$AH10*INDEX(H_Curve!$B$1:$F$100,4+($B10-1)*17+3+V$9*2,$AG10))+$C10*INDEX(H_Parametri!$A$14:$A$16,$B10+1)/1000*IF($AM10=0,INDEX(H_Curve!$B$1:$F$100,4+($B10)*17+3+V$9*2,$AK10),(1-$AM10)*INDEX(H_Curve!$B$1:$F$100,4+($B10)*17+3+V$9*2,$AK10)+$AM10*INDEX(H_Curve!$B$1:$F$100,4+($B10)*17+3+V$9*2,$AL10)))))/($A10/1000)),""))</f>
        <v>1.522920123627677</v>
      </c>
      <c r="W10" s="13">
        <f>IF(E10="","",IFERROR(MAX(0.0001,$B$4*(IF($C10=0,INDEX(H_Parametri!$A$14:$A$16,$B10)/1000*IF($AH10=0,INDEX(H_Curve!$B$1:$F$100,4+($B10-1)*17+3+W$9*2,$AF10),(1-$AH10)*INDEX(H_Curve!$B$1:$F$100,4+($B10-1)*17+3+W$9*2,$AF10)+$AH10*INDEX(H_Curve!$B$1:$F$100,4+($B10-1)*17+3+W$9*2,$AG10)),IF($C10=1,INDEX(H_Parametri!$A$14:$A$16,$B10+1)/1000*IF($AM10=0,INDEX(H_Curve!$B$1:$F$100,4+($B10)*17+3+W$9*2,$AK10),(1-$AM10)*INDEX(H_Curve!$B$1:$F$100,4+($B10)*17+3+W$9*2,$AK10)+$AM10*INDEX(H_Curve!$B$1:$F$100,4+($B10)*17+3+W$9*2,$AL10)),(1-$C10)*INDEX(H_Parametri!$A$14:$A$16,$B10)/1000*IF($AH10=0,INDEX(H_Curve!$B$1:$F$100,4+($B10-1)*17+3+W$9*2,$AF10),(1-$AH10)*INDEX(H_Curve!$B$1:$F$100,4+($B10-1)*17+3+W$9*2,$AF10)+$AH10*INDEX(H_Curve!$B$1:$F$100,4+($B10-1)*17+3+W$9*2,$AG10))+$C10*INDEX(H_Parametri!$A$14:$A$16,$B10+1)/1000*IF($AM10=0,INDEX(H_Curve!$B$1:$F$100,4+($B10)*17+3+W$9*2,$AK10),(1-$AM10)*INDEX(H_Curve!$B$1:$F$100,4+($B10)*17+3+W$9*2,$AK10)+$AM10*INDEX(H_Curve!$B$1:$F$100,4+($B10)*17+3+W$9*2,$AL10)))))/($A10/1000)),""))</f>
        <v>1.1905123914703646</v>
      </c>
      <c r="X10" s="18">
        <f t="array" ref="X10">IF(E10="","",SUMPRODUCT(MAX(ISNUMBER(M10:V10)*ISNUMBER(N10:W10)*(M10:V10&gt;=$B$5)*(N10:W10&lt;$B$5)*(COLUMN(M10:V10)-COLUMN(M10)+1))))</f>
        <v>0</v>
      </c>
      <c r="Y10" s="9" t="str">
        <f t="shared" ref="Y10:Y17" si="6">IF(OR(X10="",X10=0),"",INDEX(M$9:W$9,X10))</f>
        <v/>
      </c>
      <c r="Z10" s="9" t="str">
        <f t="shared" ref="Z10:Z17" si="7">IF(Y10="","",INDEX(M$9:W$9,X10+1))</f>
        <v/>
      </c>
      <c r="AA10" s="13" t="str">
        <f t="shared" ref="AA10:AA17" si="8">IF(Y10="","",INDEX(M10:W10,X10))</f>
        <v/>
      </c>
      <c r="AB10" s="13" t="str">
        <f t="shared" ref="AB10:AB17" si="9">IF(Y10="","",INDEX(M10:W10,X10+1))</f>
        <v/>
      </c>
      <c r="AC10" s="18">
        <f t="shared" ref="AC10:AC17" si="10">IF(E10="","",IFERROR(MATCH($B$6,M$9:W$9,1),""))</f>
        <v>10</v>
      </c>
      <c r="AD10" s="18">
        <f>IFERROR(LARGE(INDEX(H_Curve!$B$1:$F$100,4+($B10-1)*17+1,1):INDEX(H_Curve!$B$1:$F$100,4+($B10-1)*17+1,5),COUNTIF(INDEX(H_Curve!$B$1:$F$100,4+($B10-1)*17+1,1):INDEX(H_Curve!$B$1:$F$100,4+($B10-1)*17+1,5),"&gt;"&amp;$B$4)+1),0)</f>
        <v>210</v>
      </c>
      <c r="AE10" s="18">
        <f>IFERROR(SMALL(INDEX(H_Curve!$B$1:$F$100,4+($B10-1)*17+1,1):INDEX(H_Curve!$B$1:$F$100,4+($B10-1)*17+1,5),COUNTIF(INDEX(H_Curve!$B$1:$F$100,4+($B10-1)*17+1,1):INDEX(H_Curve!$B$1:$F$100,4+($B10-1)*17+1,5),"&lt;"&amp;$B$4)+1),1000000000)</f>
        <v>1000000000</v>
      </c>
      <c r="AF10" s="18">
        <f>IFERROR(IF(AD10=0,MATCH(AE10,INDEX(H_Curve!$B$1:$F$100,4+($B10-1)*17+1,1):INDEX(H_Curve!$B$1:$F$100,4+($B10-1)*17+1,5),0),MATCH(AD10,INDEX(H_Curve!$B$1:$F$100,4+($B10-1)*17+1,1):INDEX(H_Curve!$B$1:$F$100,4+($B10-1)*17+1,5),0)),"")</f>
        <v>4</v>
      </c>
      <c r="AG10" s="18">
        <f>IFERROR(IF(AE10&gt;=1000000000,MATCH(AD10,INDEX(H_Curve!$B$1:$F$100,4+($B10-1)*17+1,1):INDEX(H_Curve!$B$1:$F$100,4+($B10-1)*17+1,5),0),MATCH(AE10,INDEX(H_Curve!$B$1:$F$100,4+($B10-1)*17+1,1):INDEX(H_Curve!$B$1:$F$100,4+($B10-1)*17+1,5),0)),"")</f>
        <v>4</v>
      </c>
      <c r="AH10" s="13">
        <f t="shared" ref="AH10:AH17" si="11">IF(OR(AD10=0,AE10&gt;=1000000000),0,IF(AE10&gt;AD10,($B$4-AD10)/(AE10-AD10),0))</f>
        <v>0</v>
      </c>
      <c r="AI10" s="18">
        <f>IFERROR(LARGE(INDEX(H_Curve!$B$1:$F$100,4+($B10)*17+1,1):INDEX(H_Curve!$B$1:$F$100,4+($B10)*17+1,5),COUNTIF(INDEX(H_Curve!$B$1:$F$100,4+($B10)*17+1,1):INDEX(H_Curve!$B$1:$F$100,4+($B10)*17+1,5),"&gt;"&amp;$B$4)+1),0)</f>
        <v>300</v>
      </c>
      <c r="AJ10" s="18">
        <f>IFERROR(SMALL(INDEX(H_Curve!$B$1:$F$100,4+($B10)*17+1,1):INDEX(H_Curve!$B$1:$F$100,4+($B10)*17+1,5),COUNTIF(INDEX(H_Curve!$B$1:$F$100,4+($B10)*17+1,1):INDEX(H_Curve!$B$1:$F$100,4+($B10)*17+1,5),"&lt;"&amp;$B$4)+1),1000000000)</f>
        <v>1000000000</v>
      </c>
      <c r="AK10" s="18">
        <f>IFERROR(IF(AI10=0,MATCH(AJ10,INDEX(H_Curve!$B$1:$F$100,4+($B10)*17+1,1):INDEX(H_Curve!$B$1:$F$100,4+($B10)*17+1,5),0),MATCH(AI10,INDEX(H_Curve!$B$1:$F$100,4+($B10)*17+1,1):INDEX(H_Curve!$B$1:$F$100,4+($B10)*17+1,5),0)),"")</f>
        <v>4</v>
      </c>
      <c r="AL10" s="18">
        <f>IFERROR(IF(AJ10&gt;=1000000000,MATCH(AI10,INDEX(H_Curve!$B$1:$F$100,4+($B10)*17+1,1):INDEX(H_Curve!$B$1:$F$100,4+($B10)*17+1,5),0),MATCH(AJ10,INDEX(H_Curve!$B$1:$F$100,4+($B10)*17+1,1):INDEX(H_Curve!$B$1:$F$100,4+($B10)*17+1,5),0)),"")</f>
        <v>4</v>
      </c>
      <c r="AM10" s="13">
        <f t="shared" ref="AM10:AM17" si="12">IF(OR(AI10=0,AJ10&gt;=1000000000),0,IF(AJ10&gt;AI10,($B$4-AI10)/(AJ10-AI10),0))</f>
        <v>0</v>
      </c>
    </row>
    <row r="11" spans="1:39" x14ac:dyDescent="0.25">
      <c r="A11" s="12">
        <v>600</v>
      </c>
      <c r="B11" s="18">
        <f>IFERROR(MAX(1,MIN(MATCH(A11,H_Parametri!$A$14:$A$16,1),H_Parametri!$B$10-1)),1)</f>
        <v>1</v>
      </c>
      <c r="C11" s="13">
        <f>(A11-INDEX(H_Parametri!$A$14:$A$16,B11))/(INDEX(H_Parametri!$A$14:$A$16,B11+1)-INDEX(H_Parametri!$A$14:$A$16,B11))</f>
        <v>0.2</v>
      </c>
      <c r="D11" s="34">
        <f>IFERROR(MAX(0.000001,(IF($C11=0,INDEX(H_Parametri!$A$14:$A$16,$B11)/1000*IF($AH11=0,INDEX(H_Curve!$B$1:$F$100,4+($B11-1)*17+2,$AF11),(1-$AH11)*INDEX(H_Curve!$B$1:$F$100,4+($B11-1)*17+2,$AF11)+$AH11*INDEX(H_Curve!$B$1:$F$100,4+($B11-1)*17+2,$AG11)),IF($C11=1,INDEX(H_Parametri!$A$14:$A$16,$B11+1)/1000*IF($AM11=0,INDEX(H_Curve!$B$1:$F$100,4+($B11)*17+2,$AK11),(1-$AM11)*INDEX(H_Curve!$B$1:$F$100,4+($B11)*17+2,$AK11)+$AM11*INDEX(H_Curve!$B$1:$F$100,4+($B11)*17+2,$AL11)),(1-$C11)*INDEX(H_Parametri!$A$14:$A$16,$B11)/1000*IF($AH11=0,INDEX(H_Curve!$B$1:$F$100,4+($B11-1)*17+2,$AF11),(1-$AH11)*INDEX(H_Curve!$B$1:$F$100,4+($B11-1)*17+2,$AF11)+$AH11*INDEX(H_Curve!$B$1:$F$100,4+($B11-1)*17+2,$AG11))+$C11*INDEX(H_Parametri!$A$14:$A$16,$B11+1)/1000*IF($AM11=0,INDEX(H_Curve!$B$1:$F$100,4+($B11)*17+2,$AK11),(1-$AM11)*INDEX(H_Curve!$B$1:$F$100,4+($B11)*17+2,$AK11)+$AM11*INDEX(H_Curve!$B$1:$F$100,4+($B11)*17+2,$AL11)))))/(A11/1000)),"")</f>
        <v>3.1388203228103172E-2</v>
      </c>
      <c r="E11" s="23">
        <f t="shared" si="0"/>
        <v>14.124691452646427</v>
      </c>
      <c r="F11" s="14">
        <f t="shared" si="1"/>
        <v>8.8497508366159588E-3</v>
      </c>
      <c r="G11" s="13">
        <f t="shared" si="2"/>
        <v>1.7699501673231918E-2</v>
      </c>
      <c r="H11" s="13">
        <f>IFERROR(INDEX(M11:W11,ROUND(H_Parametri!$B$9*2,0))/E11,"")</f>
        <v>0.17638775469664289</v>
      </c>
      <c r="I11" s="24" t="str">
        <f t="shared" si="3"/>
        <v>&gt; x max</v>
      </c>
      <c r="J11" s="23">
        <f t="shared" si="4"/>
        <v>1.243621168014923</v>
      </c>
      <c r="K11" s="23">
        <f t="shared" si="5"/>
        <v>4.9744846720596918</v>
      </c>
      <c r="L11" s="5" t="str">
        <f>IF(E11="","",IF(OR(H_Parametri!$B$10&lt;2,A11&lt;INDEX(H_Parametri!$A$14:$A$16,1),A11&gt;INDEX(H_Parametri!$A$14:$A$16,H_Parametri!$B$10)),"L fuori campo: estrapolazione",IF(OR($B$4&lt;((1-C11)*INDEX(H_Parametri!$E$14:$E$16,B11)+C11*INDEX(H_Parametri!$E$14:$E$16,B11+1))*0.99,$B$4&gt;((1-C11)*INDEX(H_Parametri!$F$14:$F$16,B11)+C11*INDEX(H_Parametri!$F$14:$F$16,B11+1))*1.01),"Q fuori dal campo dei dati (estrapolazione)",IF(I11="&gt; x max","Il getto raggiunge la parete (lancio &gt; x max)",IF(I11="n.d.","Dati CFD non coprono tutta la distanza (curva incompleta)",IF(NOT(ISNUMBER(I11)),"vₜ non raggiunta / &lt; 0,5 m",IF(IFERROR(G11&gt;H11,FALSE()),"vₜ nel campo vicino (x &lt; "&amp;H_Parametri!$B$9&amp;" m): lancio poco significativo",IF(I11&gt;$B$7,"Oltre x max: influenzato dalla parete","OK"))))))))</f>
        <v>Q fuori dal campo dei dati (estrapolazione)</v>
      </c>
      <c r="M11" s="13">
        <f>IF(E11="","",IFERROR(MAX(0.0001,$B$4*(IF($C11=0,INDEX(H_Parametri!$A$14:$A$16,$B11)/1000*IF($AH11=0,INDEX(H_Curve!$B$1:$F$100,4+($B11-1)*17+3+M$9*2,$AF11),(1-$AH11)*INDEX(H_Curve!$B$1:$F$100,4+($B11-1)*17+3+M$9*2,$AF11)+$AH11*INDEX(H_Curve!$B$1:$F$100,4+($B11-1)*17+3+M$9*2,$AG11)),IF($C11=1,INDEX(H_Parametri!$A$14:$A$16,$B11+1)/1000*IF($AM11=0,INDEX(H_Curve!$B$1:$F$100,4+($B11)*17+3+M$9*2,$AK11),(1-$AM11)*INDEX(H_Curve!$B$1:$F$100,4+($B11)*17+3+M$9*2,$AK11)+$AM11*INDEX(H_Curve!$B$1:$F$100,4+($B11)*17+3+M$9*2,$AL11)),(1-$C11)*INDEX(H_Parametri!$A$14:$A$16,$B11)/1000*IF($AH11=0,INDEX(H_Curve!$B$1:$F$100,4+($B11-1)*17+3+M$9*2,$AF11),(1-$AH11)*INDEX(H_Curve!$B$1:$F$100,4+($B11-1)*17+3+M$9*2,$AF11)+$AH11*INDEX(H_Curve!$B$1:$F$100,4+($B11-1)*17+3+M$9*2,$AG11))+$C11*INDEX(H_Parametri!$A$14:$A$16,$B11+1)/1000*IF($AM11=0,INDEX(H_Curve!$B$1:$F$100,4+($B11)*17+3+M$9*2,$AK11),(1-$AM11)*INDEX(H_Curve!$B$1:$F$100,4+($B11)*17+3+M$9*2,$AK11)+$AM11*INDEX(H_Curve!$B$1:$F$100,4+($B11)*17+3+M$9*2,$AL11)))))/($A11/1000)),""))</f>
        <v>2.7377993143353043</v>
      </c>
      <c r="N11" s="13">
        <f>IF(E11="","",IFERROR(MAX(0.0001,$B$4*(IF($C11=0,INDEX(H_Parametri!$A$14:$A$16,$B11)/1000*IF($AH11=0,INDEX(H_Curve!$B$1:$F$100,4+($B11-1)*17+3+N$9*2,$AF11),(1-$AH11)*INDEX(H_Curve!$B$1:$F$100,4+($B11-1)*17+3+N$9*2,$AF11)+$AH11*INDEX(H_Curve!$B$1:$F$100,4+($B11-1)*17+3+N$9*2,$AG11)),IF($C11=1,INDEX(H_Parametri!$A$14:$A$16,$B11+1)/1000*IF($AM11=0,INDEX(H_Curve!$B$1:$F$100,4+($B11)*17+3+N$9*2,$AK11),(1-$AM11)*INDEX(H_Curve!$B$1:$F$100,4+($B11)*17+3+N$9*2,$AK11)+$AM11*INDEX(H_Curve!$B$1:$F$100,4+($B11)*17+3+N$9*2,$AL11)),(1-$C11)*INDEX(H_Parametri!$A$14:$A$16,$B11)/1000*IF($AH11=0,INDEX(H_Curve!$B$1:$F$100,4+($B11-1)*17+3+N$9*2,$AF11),(1-$AH11)*INDEX(H_Curve!$B$1:$F$100,4+($B11-1)*17+3+N$9*2,$AF11)+$AH11*INDEX(H_Curve!$B$1:$F$100,4+($B11-1)*17+3+N$9*2,$AG11))+$C11*INDEX(H_Parametri!$A$14:$A$16,$B11+1)/1000*IF($AM11=0,INDEX(H_Curve!$B$1:$F$100,4+($B11)*17+3+N$9*2,$AK11),(1-$AM11)*INDEX(H_Curve!$B$1:$F$100,4+($B11)*17+3+N$9*2,$AK11)+$AM11*INDEX(H_Curve!$B$1:$F$100,4+($B11)*17+3+N$9*2,$AL11)))))/($A11/1000)),""))</f>
        <v>2.4914226111151665</v>
      </c>
      <c r="O11" s="13">
        <f>IF(E11="","",IFERROR(MAX(0.0001,$B$4*(IF($C11=0,INDEX(H_Parametri!$A$14:$A$16,$B11)/1000*IF($AH11=0,INDEX(H_Curve!$B$1:$F$100,4+($B11-1)*17+3+O$9*2,$AF11),(1-$AH11)*INDEX(H_Curve!$B$1:$F$100,4+($B11-1)*17+3+O$9*2,$AF11)+$AH11*INDEX(H_Curve!$B$1:$F$100,4+($B11-1)*17+3+O$9*2,$AG11)),IF($C11=1,INDEX(H_Parametri!$A$14:$A$16,$B11+1)/1000*IF($AM11=0,INDEX(H_Curve!$B$1:$F$100,4+($B11)*17+3+O$9*2,$AK11),(1-$AM11)*INDEX(H_Curve!$B$1:$F$100,4+($B11)*17+3+O$9*2,$AK11)+$AM11*INDEX(H_Curve!$B$1:$F$100,4+($B11)*17+3+O$9*2,$AL11)),(1-$C11)*INDEX(H_Parametri!$A$14:$A$16,$B11)/1000*IF($AH11=0,INDEX(H_Curve!$B$1:$F$100,4+($B11-1)*17+3+O$9*2,$AF11),(1-$AH11)*INDEX(H_Curve!$B$1:$F$100,4+($B11-1)*17+3+O$9*2,$AF11)+$AH11*INDEX(H_Curve!$B$1:$F$100,4+($B11-1)*17+3+O$9*2,$AG11))+$C11*INDEX(H_Parametri!$A$14:$A$16,$B11+1)/1000*IF($AM11=0,INDEX(H_Curve!$B$1:$F$100,4+($B11)*17+3+O$9*2,$AK11),(1-$AM11)*INDEX(H_Curve!$B$1:$F$100,4+($B11)*17+3+O$9*2,$AK11)+$AM11*INDEX(H_Curve!$B$1:$F$100,4+($B11)*17+3+O$9*2,$AL11)))))/($A11/1000)),""))</f>
        <v>2.2546122880337824</v>
      </c>
      <c r="P11" s="13">
        <f>IF(E11="","",IFERROR(MAX(0.0001,$B$4*(IF($C11=0,INDEX(H_Parametri!$A$14:$A$16,$B11)/1000*IF($AH11=0,INDEX(H_Curve!$B$1:$F$100,4+($B11-1)*17+3+P$9*2,$AF11),(1-$AH11)*INDEX(H_Curve!$B$1:$F$100,4+($B11-1)*17+3+P$9*2,$AF11)+$AH11*INDEX(H_Curve!$B$1:$F$100,4+($B11-1)*17+3+P$9*2,$AG11)),IF($C11=1,INDEX(H_Parametri!$A$14:$A$16,$B11+1)/1000*IF($AM11=0,INDEX(H_Curve!$B$1:$F$100,4+($B11)*17+3+P$9*2,$AK11),(1-$AM11)*INDEX(H_Curve!$B$1:$F$100,4+($B11)*17+3+P$9*2,$AK11)+$AM11*INDEX(H_Curve!$B$1:$F$100,4+($B11)*17+3+P$9*2,$AL11)),(1-$C11)*INDEX(H_Parametri!$A$14:$A$16,$B11)/1000*IF($AH11=0,INDEX(H_Curve!$B$1:$F$100,4+($B11-1)*17+3+P$9*2,$AF11),(1-$AH11)*INDEX(H_Curve!$B$1:$F$100,4+($B11-1)*17+3+P$9*2,$AF11)+$AH11*INDEX(H_Curve!$B$1:$F$100,4+($B11-1)*17+3+P$9*2,$AG11))+$C11*INDEX(H_Parametri!$A$14:$A$16,$B11+1)/1000*IF($AM11=0,INDEX(H_Curve!$B$1:$F$100,4+($B11)*17+3+P$9*2,$AK11),(1-$AM11)*INDEX(H_Curve!$B$1:$F$100,4+($B11)*17+3+P$9*2,$AK11)+$AM11*INDEX(H_Curve!$B$1:$F$100,4+($B11)*17+3+P$9*2,$AL11)))))/($A11/1000)),""))</f>
        <v>2.0325533762708878</v>
      </c>
      <c r="Q11" s="13">
        <f>IF(E11="","",IFERROR(MAX(0.0001,$B$4*(IF($C11=0,INDEX(H_Parametri!$A$14:$A$16,$B11)/1000*IF($AH11=0,INDEX(H_Curve!$B$1:$F$100,4+($B11-1)*17+3+Q$9*2,$AF11),(1-$AH11)*INDEX(H_Curve!$B$1:$F$100,4+($B11-1)*17+3+Q$9*2,$AF11)+$AH11*INDEX(H_Curve!$B$1:$F$100,4+($B11-1)*17+3+Q$9*2,$AG11)),IF($C11=1,INDEX(H_Parametri!$A$14:$A$16,$B11+1)/1000*IF($AM11=0,INDEX(H_Curve!$B$1:$F$100,4+($B11)*17+3+Q$9*2,$AK11),(1-$AM11)*INDEX(H_Curve!$B$1:$F$100,4+($B11)*17+3+Q$9*2,$AK11)+$AM11*INDEX(H_Curve!$B$1:$F$100,4+($B11)*17+3+Q$9*2,$AL11)),(1-$C11)*INDEX(H_Parametri!$A$14:$A$16,$B11)/1000*IF($AH11=0,INDEX(H_Curve!$B$1:$F$100,4+($B11-1)*17+3+Q$9*2,$AF11),(1-$AH11)*INDEX(H_Curve!$B$1:$F$100,4+($B11-1)*17+3+Q$9*2,$AF11)+$AH11*INDEX(H_Curve!$B$1:$F$100,4+($B11-1)*17+3+Q$9*2,$AG11))+$C11*INDEX(H_Parametri!$A$14:$A$16,$B11+1)/1000*IF($AM11=0,INDEX(H_Curve!$B$1:$F$100,4+($B11)*17+3+Q$9*2,$AK11),(1-$AM11)*INDEX(H_Curve!$B$1:$F$100,4+($B11)*17+3+Q$9*2,$AK11)+$AM11*INDEX(H_Curve!$B$1:$F$100,4+($B11)*17+3+Q$9*2,$AL11)))))/($A11/1000)),""))</f>
        <v>1.8497133186890655</v>
      </c>
      <c r="R11" s="13">
        <f>IF(E11="","",IFERROR(MAX(0.0001,$B$4*(IF($C11=0,INDEX(H_Parametri!$A$14:$A$16,$B11)/1000*IF($AH11=0,INDEX(H_Curve!$B$1:$F$100,4+($B11-1)*17+3+R$9*2,$AF11),(1-$AH11)*INDEX(H_Curve!$B$1:$F$100,4+($B11-1)*17+3+R$9*2,$AF11)+$AH11*INDEX(H_Curve!$B$1:$F$100,4+($B11-1)*17+3+R$9*2,$AG11)),IF($C11=1,INDEX(H_Parametri!$A$14:$A$16,$B11+1)/1000*IF($AM11=0,INDEX(H_Curve!$B$1:$F$100,4+($B11)*17+3+R$9*2,$AK11),(1-$AM11)*INDEX(H_Curve!$B$1:$F$100,4+($B11)*17+3+R$9*2,$AK11)+$AM11*INDEX(H_Curve!$B$1:$F$100,4+($B11)*17+3+R$9*2,$AL11)),(1-$C11)*INDEX(H_Parametri!$A$14:$A$16,$B11)/1000*IF($AH11=0,INDEX(H_Curve!$B$1:$F$100,4+($B11-1)*17+3+R$9*2,$AF11),(1-$AH11)*INDEX(H_Curve!$B$1:$F$100,4+($B11-1)*17+3+R$9*2,$AF11)+$AH11*INDEX(H_Curve!$B$1:$F$100,4+($B11-1)*17+3+R$9*2,$AG11))+$C11*INDEX(H_Parametri!$A$14:$A$16,$B11+1)/1000*IF($AM11=0,INDEX(H_Curve!$B$1:$F$100,4+($B11)*17+3+R$9*2,$AK11),(1-$AM11)*INDEX(H_Curve!$B$1:$F$100,4+($B11)*17+3+R$9*2,$AK11)+$AM11*INDEX(H_Curve!$B$1:$F$100,4+($B11)*17+3+R$9*2,$AL11)))))/($A11/1000)),""))</f>
        <v>1.6915302421251692</v>
      </c>
      <c r="S11" s="13">
        <f>IF(E11="","",IFERROR(MAX(0.0001,$B$4*(IF($C11=0,INDEX(H_Parametri!$A$14:$A$16,$B11)/1000*IF($AH11=0,INDEX(H_Curve!$B$1:$F$100,4+($B11-1)*17+3+S$9*2,$AF11),(1-$AH11)*INDEX(H_Curve!$B$1:$F$100,4+($B11-1)*17+3+S$9*2,$AF11)+$AH11*INDEX(H_Curve!$B$1:$F$100,4+($B11-1)*17+3+S$9*2,$AG11)),IF($C11=1,INDEX(H_Parametri!$A$14:$A$16,$B11+1)/1000*IF($AM11=0,INDEX(H_Curve!$B$1:$F$100,4+($B11)*17+3+S$9*2,$AK11),(1-$AM11)*INDEX(H_Curve!$B$1:$F$100,4+($B11)*17+3+S$9*2,$AK11)+$AM11*INDEX(H_Curve!$B$1:$F$100,4+($B11)*17+3+S$9*2,$AL11)),(1-$C11)*INDEX(H_Parametri!$A$14:$A$16,$B11)/1000*IF($AH11=0,INDEX(H_Curve!$B$1:$F$100,4+($B11-1)*17+3+S$9*2,$AF11),(1-$AH11)*INDEX(H_Curve!$B$1:$F$100,4+($B11-1)*17+3+S$9*2,$AF11)+$AH11*INDEX(H_Curve!$B$1:$F$100,4+($B11-1)*17+3+S$9*2,$AG11))+$C11*INDEX(H_Parametri!$A$14:$A$16,$B11+1)/1000*IF($AM11=0,INDEX(H_Curve!$B$1:$F$100,4+($B11)*17+3+S$9*2,$AK11),(1-$AM11)*INDEX(H_Curve!$B$1:$F$100,4+($B11)*17+3+S$9*2,$AK11)+$AM11*INDEX(H_Curve!$B$1:$F$100,4+($B11)*17+3+S$9*2,$AL11)))))/($A11/1000)),""))</f>
        <v>1.5604863121069743</v>
      </c>
      <c r="T11" s="13">
        <f>IF(E11="","",IFERROR(MAX(0.0001,$B$4*(IF($C11=0,INDEX(H_Parametri!$A$14:$A$16,$B11)/1000*IF($AH11=0,INDEX(H_Curve!$B$1:$F$100,4+($B11-1)*17+3+T$9*2,$AF11),(1-$AH11)*INDEX(H_Curve!$B$1:$F$100,4+($B11-1)*17+3+T$9*2,$AF11)+$AH11*INDEX(H_Curve!$B$1:$F$100,4+($B11-1)*17+3+T$9*2,$AG11)),IF($C11=1,INDEX(H_Parametri!$A$14:$A$16,$B11+1)/1000*IF($AM11=0,INDEX(H_Curve!$B$1:$F$100,4+($B11)*17+3+T$9*2,$AK11),(1-$AM11)*INDEX(H_Curve!$B$1:$F$100,4+($B11)*17+3+T$9*2,$AK11)+$AM11*INDEX(H_Curve!$B$1:$F$100,4+($B11)*17+3+T$9*2,$AL11)),(1-$C11)*INDEX(H_Parametri!$A$14:$A$16,$B11)/1000*IF($AH11=0,INDEX(H_Curve!$B$1:$F$100,4+($B11-1)*17+3+T$9*2,$AF11),(1-$AH11)*INDEX(H_Curve!$B$1:$F$100,4+($B11-1)*17+3+T$9*2,$AF11)+$AH11*INDEX(H_Curve!$B$1:$F$100,4+($B11-1)*17+3+T$9*2,$AG11))+$C11*INDEX(H_Parametri!$A$14:$A$16,$B11+1)/1000*IF($AM11=0,INDEX(H_Curve!$B$1:$F$100,4+($B11)*17+3+T$9*2,$AK11),(1-$AM11)*INDEX(H_Curve!$B$1:$F$100,4+($B11)*17+3+T$9*2,$AK11)+$AM11*INDEX(H_Curve!$B$1:$F$100,4+($B11)*17+3+T$9*2,$AL11)))))/($A11/1000)),""))</f>
        <v>1.4565647267873758</v>
      </c>
      <c r="U11" s="13">
        <f>IF(E11="","",IFERROR(MAX(0.0001,$B$4*(IF($C11=0,INDEX(H_Parametri!$A$14:$A$16,$B11)/1000*IF($AH11=0,INDEX(H_Curve!$B$1:$F$100,4+($B11-1)*17+3+U$9*2,$AF11),(1-$AH11)*INDEX(H_Curve!$B$1:$F$100,4+($B11-1)*17+3+U$9*2,$AF11)+$AH11*INDEX(H_Curve!$B$1:$F$100,4+($B11-1)*17+3+U$9*2,$AG11)),IF($C11=1,INDEX(H_Parametri!$A$14:$A$16,$B11+1)/1000*IF($AM11=0,INDEX(H_Curve!$B$1:$F$100,4+($B11)*17+3+U$9*2,$AK11),(1-$AM11)*INDEX(H_Curve!$B$1:$F$100,4+($B11)*17+3+U$9*2,$AK11)+$AM11*INDEX(H_Curve!$B$1:$F$100,4+($B11)*17+3+U$9*2,$AL11)),(1-$C11)*INDEX(H_Parametri!$A$14:$A$16,$B11)/1000*IF($AH11=0,INDEX(H_Curve!$B$1:$F$100,4+($B11-1)*17+3+U$9*2,$AF11),(1-$AH11)*INDEX(H_Curve!$B$1:$F$100,4+($B11-1)*17+3+U$9*2,$AF11)+$AH11*INDEX(H_Curve!$B$1:$F$100,4+($B11-1)*17+3+U$9*2,$AG11))+$C11*INDEX(H_Parametri!$A$14:$A$16,$B11+1)/1000*IF($AM11=0,INDEX(H_Curve!$B$1:$F$100,4+($B11)*17+3+U$9*2,$AK11),(1-$AM11)*INDEX(H_Curve!$B$1:$F$100,4+($B11)*17+3+U$9*2,$AK11)+$AM11*INDEX(H_Curve!$B$1:$F$100,4+($B11)*17+3+U$9*2,$AL11)))))/($A11/1000)),""))</f>
        <v>1.3496174520245467</v>
      </c>
      <c r="V11" s="13">
        <f>IF(E11="","",IFERROR(MAX(0.0001,$B$4*(IF($C11=0,INDEX(H_Parametri!$A$14:$A$16,$B11)/1000*IF($AH11=0,INDEX(H_Curve!$B$1:$F$100,4+($B11-1)*17+3+V$9*2,$AF11),(1-$AH11)*INDEX(H_Curve!$B$1:$F$100,4+($B11-1)*17+3+V$9*2,$AF11)+$AH11*INDEX(H_Curve!$B$1:$F$100,4+($B11-1)*17+3+V$9*2,$AG11)),IF($C11=1,INDEX(H_Parametri!$A$14:$A$16,$B11+1)/1000*IF($AM11=0,INDEX(H_Curve!$B$1:$F$100,4+($B11)*17+3+V$9*2,$AK11),(1-$AM11)*INDEX(H_Curve!$B$1:$F$100,4+($B11)*17+3+V$9*2,$AK11)+$AM11*INDEX(H_Curve!$B$1:$F$100,4+($B11)*17+3+V$9*2,$AL11)),(1-$C11)*INDEX(H_Parametri!$A$14:$A$16,$B11)/1000*IF($AH11=0,INDEX(H_Curve!$B$1:$F$100,4+($B11-1)*17+3+V$9*2,$AF11),(1-$AH11)*INDEX(H_Curve!$B$1:$F$100,4+($B11-1)*17+3+V$9*2,$AF11)+$AH11*INDEX(H_Curve!$B$1:$F$100,4+($B11-1)*17+3+V$9*2,$AG11))+$C11*INDEX(H_Parametri!$A$14:$A$16,$B11+1)/1000*IF($AM11=0,INDEX(H_Curve!$B$1:$F$100,4+($B11)*17+3+V$9*2,$AK11),(1-$AM11)*INDEX(H_Curve!$B$1:$F$100,4+($B11)*17+3+V$9*2,$AK11)+$AM11*INDEX(H_Curve!$B$1:$F$100,4+($B11)*17+3+V$9*2,$AL11)))))/($A11/1000)),""))</f>
        <v>1.243621168014923</v>
      </c>
      <c r="W11" s="13">
        <f>IF(E11="","",IFERROR(MAX(0.0001,$B$4*(IF($C11=0,INDEX(H_Parametri!$A$14:$A$16,$B11)/1000*IF($AH11=0,INDEX(H_Curve!$B$1:$F$100,4+($B11-1)*17+3+W$9*2,$AF11),(1-$AH11)*INDEX(H_Curve!$B$1:$F$100,4+($B11-1)*17+3+W$9*2,$AF11)+$AH11*INDEX(H_Curve!$B$1:$F$100,4+($B11-1)*17+3+W$9*2,$AG11)),IF($C11=1,INDEX(H_Parametri!$A$14:$A$16,$B11+1)/1000*IF($AM11=0,INDEX(H_Curve!$B$1:$F$100,4+($B11)*17+3+W$9*2,$AK11),(1-$AM11)*INDEX(H_Curve!$B$1:$F$100,4+($B11)*17+3+W$9*2,$AK11)+$AM11*INDEX(H_Curve!$B$1:$F$100,4+($B11)*17+3+W$9*2,$AL11)),(1-$C11)*INDEX(H_Parametri!$A$14:$A$16,$B11)/1000*IF($AH11=0,INDEX(H_Curve!$B$1:$F$100,4+($B11-1)*17+3+W$9*2,$AF11),(1-$AH11)*INDEX(H_Curve!$B$1:$F$100,4+($B11-1)*17+3+W$9*2,$AF11)+$AH11*INDEX(H_Curve!$B$1:$F$100,4+($B11-1)*17+3+W$9*2,$AG11))+$C11*INDEX(H_Parametri!$A$14:$A$16,$B11+1)/1000*IF($AM11=0,INDEX(H_Curve!$B$1:$F$100,4+($B11)*17+3+W$9*2,$AK11),(1-$AM11)*INDEX(H_Curve!$B$1:$F$100,4+($B11)*17+3+W$9*2,$AK11)+$AM11*INDEX(H_Curve!$B$1:$F$100,4+($B11)*17+3+W$9*2,$AL11)))))/($A11/1000)),""))</f>
        <v>0.96120660471465558</v>
      </c>
      <c r="X11" s="18">
        <f t="array" ref="X11">IF(E11="","",SUMPRODUCT(MAX(ISNUMBER(M11:V11)*ISNUMBER(N11:W11)*(M11:V11&gt;=$B$5)*(N11:W11&lt;$B$5)*(COLUMN(M11:V11)-COLUMN(M11)+1))))</f>
        <v>0</v>
      </c>
      <c r="Y11" s="9" t="str">
        <f t="shared" si="6"/>
        <v/>
      </c>
      <c r="Z11" s="9" t="str">
        <f t="shared" si="7"/>
        <v/>
      </c>
      <c r="AA11" s="13" t="str">
        <f t="shared" si="8"/>
        <v/>
      </c>
      <c r="AB11" s="13" t="str">
        <f t="shared" si="9"/>
        <v/>
      </c>
      <c r="AC11" s="18">
        <f t="shared" si="10"/>
        <v>10</v>
      </c>
      <c r="AD11" s="18">
        <f>IFERROR(LARGE(INDEX(H_Curve!$B$1:$F$100,4+($B11-1)*17+1,1):INDEX(H_Curve!$B$1:$F$100,4+($B11-1)*17+1,5),COUNTIF(INDEX(H_Curve!$B$1:$F$100,4+($B11-1)*17+1,1):INDEX(H_Curve!$B$1:$F$100,4+($B11-1)*17+1,5),"&gt;"&amp;$B$4)+1),0)</f>
        <v>210</v>
      </c>
      <c r="AE11" s="18">
        <f>IFERROR(SMALL(INDEX(H_Curve!$B$1:$F$100,4+($B11-1)*17+1,1):INDEX(H_Curve!$B$1:$F$100,4+($B11-1)*17+1,5),COUNTIF(INDEX(H_Curve!$B$1:$F$100,4+($B11-1)*17+1,1):INDEX(H_Curve!$B$1:$F$100,4+($B11-1)*17+1,5),"&lt;"&amp;$B$4)+1),1000000000)</f>
        <v>1000000000</v>
      </c>
      <c r="AF11" s="18">
        <f>IFERROR(IF(AD11=0,MATCH(AE11,INDEX(H_Curve!$B$1:$F$100,4+($B11-1)*17+1,1):INDEX(H_Curve!$B$1:$F$100,4+($B11-1)*17+1,5),0),MATCH(AD11,INDEX(H_Curve!$B$1:$F$100,4+($B11-1)*17+1,1):INDEX(H_Curve!$B$1:$F$100,4+($B11-1)*17+1,5),0)),"")</f>
        <v>4</v>
      </c>
      <c r="AG11" s="18">
        <f>IFERROR(IF(AE11&gt;=1000000000,MATCH(AD11,INDEX(H_Curve!$B$1:$F$100,4+($B11-1)*17+1,1):INDEX(H_Curve!$B$1:$F$100,4+($B11-1)*17+1,5),0),MATCH(AE11,INDEX(H_Curve!$B$1:$F$100,4+($B11-1)*17+1,1):INDEX(H_Curve!$B$1:$F$100,4+($B11-1)*17+1,5),0)),"")</f>
        <v>4</v>
      </c>
      <c r="AH11" s="13">
        <f t="shared" si="11"/>
        <v>0</v>
      </c>
      <c r="AI11" s="18">
        <f>IFERROR(LARGE(INDEX(H_Curve!$B$1:$F$100,4+($B11)*17+1,1):INDEX(H_Curve!$B$1:$F$100,4+($B11)*17+1,5),COUNTIF(INDEX(H_Curve!$B$1:$F$100,4+($B11)*17+1,1):INDEX(H_Curve!$B$1:$F$100,4+($B11)*17+1,5),"&gt;"&amp;$B$4)+1),0)</f>
        <v>300</v>
      </c>
      <c r="AJ11" s="18">
        <f>IFERROR(SMALL(INDEX(H_Curve!$B$1:$F$100,4+($B11)*17+1,1):INDEX(H_Curve!$B$1:$F$100,4+($B11)*17+1,5),COUNTIF(INDEX(H_Curve!$B$1:$F$100,4+($B11)*17+1,1):INDEX(H_Curve!$B$1:$F$100,4+($B11)*17+1,5),"&lt;"&amp;$B$4)+1),1000000000)</f>
        <v>1000000000</v>
      </c>
      <c r="AK11" s="18">
        <f>IFERROR(IF(AI11=0,MATCH(AJ11,INDEX(H_Curve!$B$1:$F$100,4+($B11)*17+1,1):INDEX(H_Curve!$B$1:$F$100,4+($B11)*17+1,5),0),MATCH(AI11,INDEX(H_Curve!$B$1:$F$100,4+($B11)*17+1,1):INDEX(H_Curve!$B$1:$F$100,4+($B11)*17+1,5),0)),"")</f>
        <v>4</v>
      </c>
      <c r="AL11" s="18">
        <f>IFERROR(IF(AJ11&gt;=1000000000,MATCH(AI11,INDEX(H_Curve!$B$1:$F$100,4+($B11)*17+1,1):INDEX(H_Curve!$B$1:$F$100,4+($B11)*17+1,5),0),MATCH(AJ11,INDEX(H_Curve!$B$1:$F$100,4+($B11)*17+1,1):INDEX(H_Curve!$B$1:$F$100,4+($B11)*17+1,5),0)),"")</f>
        <v>4</v>
      </c>
      <c r="AM11" s="13">
        <f t="shared" si="12"/>
        <v>0</v>
      </c>
    </row>
    <row r="12" spans="1:39" x14ac:dyDescent="0.25">
      <c r="A12" s="12">
        <v>700</v>
      </c>
      <c r="B12" s="18">
        <f>IFERROR(MAX(1,MIN(MATCH(A12,H_Parametri!$A$14:$A$16,1),H_Parametri!$B$10-1)),1)</f>
        <v>1</v>
      </c>
      <c r="C12" s="13">
        <f>(A12-INDEX(H_Parametri!$A$14:$A$16,B12))/(INDEX(H_Parametri!$A$14:$A$16,B12+1)-INDEX(H_Parametri!$A$14:$A$16,B12))</f>
        <v>0.4</v>
      </c>
      <c r="D12" s="34">
        <f>IFERROR(MAX(0.000001,(IF($C12=0,INDEX(H_Parametri!$A$14:$A$16,$B12)/1000*IF($AH12=0,INDEX(H_Curve!$B$1:$F$100,4+($B12-1)*17+2,$AF12),(1-$AH12)*INDEX(H_Curve!$B$1:$F$100,4+($B12-1)*17+2,$AF12)+$AH12*INDEX(H_Curve!$B$1:$F$100,4+($B12-1)*17+2,$AG12)),IF($C12=1,INDEX(H_Parametri!$A$14:$A$16,$B12+1)/1000*IF($AM12=0,INDEX(H_Curve!$B$1:$F$100,4+($B12)*17+2,$AK12),(1-$AM12)*INDEX(H_Curve!$B$1:$F$100,4+($B12)*17+2,$AK12)+$AM12*INDEX(H_Curve!$B$1:$F$100,4+($B12)*17+2,$AL12)),(1-$C12)*INDEX(H_Parametri!$A$14:$A$16,$B12)/1000*IF($AH12=0,INDEX(H_Curve!$B$1:$F$100,4+($B12-1)*17+2,$AF12),(1-$AH12)*INDEX(H_Curve!$B$1:$F$100,4+($B12-1)*17+2,$AF12)+$AH12*INDEX(H_Curve!$B$1:$F$100,4+($B12-1)*17+2,$AG12))+$C12*INDEX(H_Parametri!$A$14:$A$16,$B12+1)/1000*IF($AM12=0,INDEX(H_Curve!$B$1:$F$100,4+($B12)*17+2,$AK12),(1-$AM12)*INDEX(H_Curve!$B$1:$F$100,4+($B12)*17+2,$AK12)+$AM12*INDEX(H_Curve!$B$1:$F$100,4+($B12)*17+2,$AL12)))))/(A12/1000)),"")</f>
        <v>2.6110052261727242E-2</v>
      </c>
      <c r="E12" s="23">
        <f t="shared" si="0"/>
        <v>11.749523517777259</v>
      </c>
      <c r="F12" s="14">
        <f t="shared" si="1"/>
        <v>1.06387292906706E-2</v>
      </c>
      <c r="G12" s="13">
        <f t="shared" si="2"/>
        <v>2.12774585813412E-2</v>
      </c>
      <c r="H12" s="13">
        <f>IFERROR(INDEX(M12:W12,ROUND(H_Parametri!$B$9*2,0))/E12,"")</f>
        <v>0.17704676324639779</v>
      </c>
      <c r="I12" s="24" t="str">
        <f t="shared" si="3"/>
        <v>&gt; x max</v>
      </c>
      <c r="J12" s="23">
        <f t="shared" si="4"/>
        <v>1.0441219140058124</v>
      </c>
      <c r="K12" s="23">
        <f t="shared" si="5"/>
        <v>4.1764876560232498</v>
      </c>
      <c r="L12" s="5" t="str">
        <f>IF(E12="","",IF(OR(H_Parametri!$B$10&lt;2,A12&lt;INDEX(H_Parametri!$A$14:$A$16,1),A12&gt;INDEX(H_Parametri!$A$14:$A$16,H_Parametri!$B$10)),"L fuori campo: estrapolazione",IF(OR($B$4&lt;((1-C12)*INDEX(H_Parametri!$E$14:$E$16,B12)+C12*INDEX(H_Parametri!$E$14:$E$16,B12+1))*0.99,$B$4&gt;((1-C12)*INDEX(H_Parametri!$F$14:$F$16,B12)+C12*INDEX(H_Parametri!$F$14:$F$16,B12+1))*1.01),"Q fuori dal campo dei dati (estrapolazione)",IF(I12="&gt; x max","Il getto raggiunge la parete (lancio &gt; x max)",IF(I12="n.d.","Dati CFD non coprono tutta la distanza (curva incompleta)",IF(NOT(ISNUMBER(I12)),"vₜ non raggiunta / &lt; 0,5 m",IF(IFERROR(G12&gt;H12,FALSE()),"vₜ nel campo vicino (x &lt; "&amp;H_Parametri!$B$9&amp;" m): lancio poco significativo",IF(I12&gt;$B$7,"Oltre x max: influenzato dalla parete","OK"))))))))</f>
        <v>Q fuori dal campo dei dati (estrapolazione)</v>
      </c>
      <c r="M12" s="13">
        <f>IF(E12="","",IFERROR(MAX(0.0001,$B$4*(IF($C12=0,INDEX(H_Parametri!$A$14:$A$16,$B12)/1000*IF($AH12=0,INDEX(H_Curve!$B$1:$F$100,4+($B12-1)*17+3+M$9*2,$AF12),(1-$AH12)*INDEX(H_Curve!$B$1:$F$100,4+($B12-1)*17+3+M$9*2,$AF12)+$AH12*INDEX(H_Curve!$B$1:$F$100,4+($B12-1)*17+3+M$9*2,$AG12)),IF($C12=1,INDEX(H_Parametri!$A$14:$A$16,$B12+1)/1000*IF($AM12=0,INDEX(H_Curve!$B$1:$F$100,4+($B12)*17+3+M$9*2,$AK12),(1-$AM12)*INDEX(H_Curve!$B$1:$F$100,4+($B12)*17+3+M$9*2,$AK12)+$AM12*INDEX(H_Curve!$B$1:$F$100,4+($B12)*17+3+M$9*2,$AL12)),(1-$C12)*INDEX(H_Parametri!$A$14:$A$16,$B12)/1000*IF($AH12=0,INDEX(H_Curve!$B$1:$F$100,4+($B12-1)*17+3+M$9*2,$AF12),(1-$AH12)*INDEX(H_Curve!$B$1:$F$100,4+($B12-1)*17+3+M$9*2,$AF12)+$AH12*INDEX(H_Curve!$B$1:$F$100,4+($B12-1)*17+3+M$9*2,$AG12))+$C12*INDEX(H_Parametri!$A$14:$A$16,$B12+1)/1000*IF($AM12=0,INDEX(H_Curve!$B$1:$F$100,4+($B12)*17+3+M$9*2,$AK12),(1-$AM12)*INDEX(H_Curve!$B$1:$F$100,4+($B12)*17+3+M$9*2,$AK12)+$AM12*INDEX(H_Curve!$B$1:$F$100,4+($B12)*17+3+M$9*2,$AL12)))))/($A12/1000)),""))</f>
        <v>2.1609025583527708</v>
      </c>
      <c r="N12" s="13">
        <f>IF(E12="","",IFERROR(MAX(0.0001,$B$4*(IF($C12=0,INDEX(H_Parametri!$A$14:$A$16,$B12)/1000*IF($AH12=0,INDEX(H_Curve!$B$1:$F$100,4+($B12-1)*17+3+N$9*2,$AF12),(1-$AH12)*INDEX(H_Curve!$B$1:$F$100,4+($B12-1)*17+3+N$9*2,$AF12)+$AH12*INDEX(H_Curve!$B$1:$F$100,4+($B12-1)*17+3+N$9*2,$AG12)),IF($C12=1,INDEX(H_Parametri!$A$14:$A$16,$B12+1)/1000*IF($AM12=0,INDEX(H_Curve!$B$1:$F$100,4+($B12)*17+3+N$9*2,$AK12),(1-$AM12)*INDEX(H_Curve!$B$1:$F$100,4+($B12)*17+3+N$9*2,$AK12)+$AM12*INDEX(H_Curve!$B$1:$F$100,4+($B12)*17+3+N$9*2,$AL12)),(1-$C12)*INDEX(H_Parametri!$A$14:$A$16,$B12)/1000*IF($AH12=0,INDEX(H_Curve!$B$1:$F$100,4+($B12-1)*17+3+N$9*2,$AF12),(1-$AH12)*INDEX(H_Curve!$B$1:$F$100,4+($B12-1)*17+3+N$9*2,$AF12)+$AH12*INDEX(H_Curve!$B$1:$F$100,4+($B12-1)*17+3+N$9*2,$AG12))+$C12*INDEX(H_Parametri!$A$14:$A$16,$B12+1)/1000*IF($AM12=0,INDEX(H_Curve!$B$1:$F$100,4+($B12)*17+3+N$9*2,$AK12),(1-$AM12)*INDEX(H_Curve!$B$1:$F$100,4+($B12)*17+3+N$9*2,$AK12)+$AM12*INDEX(H_Curve!$B$1:$F$100,4+($B12)*17+3+N$9*2,$AL12)))))/($A12/1000)),""))</f>
        <v>2.0802151085098934</v>
      </c>
      <c r="O12" s="13">
        <f>IF(E12="","",IFERROR(MAX(0.0001,$B$4*(IF($C12=0,INDEX(H_Parametri!$A$14:$A$16,$B12)/1000*IF($AH12=0,INDEX(H_Curve!$B$1:$F$100,4+($B12-1)*17+3+O$9*2,$AF12),(1-$AH12)*INDEX(H_Curve!$B$1:$F$100,4+($B12-1)*17+3+O$9*2,$AF12)+$AH12*INDEX(H_Curve!$B$1:$F$100,4+($B12-1)*17+3+O$9*2,$AG12)),IF($C12=1,INDEX(H_Parametri!$A$14:$A$16,$B12+1)/1000*IF($AM12=0,INDEX(H_Curve!$B$1:$F$100,4+($B12)*17+3+O$9*2,$AK12),(1-$AM12)*INDEX(H_Curve!$B$1:$F$100,4+($B12)*17+3+O$9*2,$AK12)+$AM12*INDEX(H_Curve!$B$1:$F$100,4+($B12)*17+3+O$9*2,$AL12)),(1-$C12)*INDEX(H_Parametri!$A$14:$A$16,$B12)/1000*IF($AH12=0,INDEX(H_Curve!$B$1:$F$100,4+($B12-1)*17+3+O$9*2,$AF12),(1-$AH12)*INDEX(H_Curve!$B$1:$F$100,4+($B12-1)*17+3+O$9*2,$AF12)+$AH12*INDEX(H_Curve!$B$1:$F$100,4+($B12-1)*17+3+O$9*2,$AG12))+$C12*INDEX(H_Parametri!$A$14:$A$16,$B12+1)/1000*IF($AM12=0,INDEX(H_Curve!$B$1:$F$100,4+($B12)*17+3+O$9*2,$AK12),(1-$AM12)*INDEX(H_Curve!$B$1:$F$100,4+($B12)*17+3+O$9*2,$AK12)+$AM12*INDEX(H_Curve!$B$1:$F$100,4+($B12)*17+3+O$9*2,$AL12)))))/($A12/1000)),""))</f>
        <v>1.9226504319697262</v>
      </c>
      <c r="P12" s="13">
        <f>IF(E12="","",IFERROR(MAX(0.0001,$B$4*(IF($C12=0,INDEX(H_Parametri!$A$14:$A$16,$B12)/1000*IF($AH12=0,INDEX(H_Curve!$B$1:$F$100,4+($B12-1)*17+3+P$9*2,$AF12),(1-$AH12)*INDEX(H_Curve!$B$1:$F$100,4+($B12-1)*17+3+P$9*2,$AF12)+$AH12*INDEX(H_Curve!$B$1:$F$100,4+($B12-1)*17+3+P$9*2,$AG12)),IF($C12=1,INDEX(H_Parametri!$A$14:$A$16,$B12+1)/1000*IF($AM12=0,INDEX(H_Curve!$B$1:$F$100,4+($B12)*17+3+P$9*2,$AK12),(1-$AM12)*INDEX(H_Curve!$B$1:$F$100,4+($B12)*17+3+P$9*2,$AK12)+$AM12*INDEX(H_Curve!$B$1:$F$100,4+($B12)*17+3+P$9*2,$AL12)),(1-$C12)*INDEX(H_Parametri!$A$14:$A$16,$B12)/1000*IF($AH12=0,INDEX(H_Curve!$B$1:$F$100,4+($B12-1)*17+3+P$9*2,$AF12),(1-$AH12)*INDEX(H_Curve!$B$1:$F$100,4+($B12-1)*17+3+P$9*2,$AF12)+$AH12*INDEX(H_Curve!$B$1:$F$100,4+($B12-1)*17+3+P$9*2,$AG12))+$C12*INDEX(H_Parametri!$A$14:$A$16,$B12+1)/1000*IF($AM12=0,INDEX(H_Curve!$B$1:$F$100,4+($B12)*17+3+P$9*2,$AK12),(1-$AM12)*INDEX(H_Curve!$B$1:$F$100,4+($B12)*17+3+P$9*2,$AK12)+$AM12*INDEX(H_Curve!$B$1:$F$100,4+($B12)*17+3+P$9*2,$AL12)))))/($A12/1000)),""))</f>
        <v>1.7382931423682113</v>
      </c>
      <c r="Q12" s="13">
        <f>IF(E12="","",IFERROR(MAX(0.0001,$B$4*(IF($C12=0,INDEX(H_Parametri!$A$14:$A$16,$B12)/1000*IF($AH12=0,INDEX(H_Curve!$B$1:$F$100,4+($B12-1)*17+3+Q$9*2,$AF12),(1-$AH12)*INDEX(H_Curve!$B$1:$F$100,4+($B12-1)*17+3+Q$9*2,$AF12)+$AH12*INDEX(H_Curve!$B$1:$F$100,4+($B12-1)*17+3+Q$9*2,$AG12)),IF($C12=1,INDEX(H_Parametri!$A$14:$A$16,$B12+1)/1000*IF($AM12=0,INDEX(H_Curve!$B$1:$F$100,4+($B12)*17+3+Q$9*2,$AK12),(1-$AM12)*INDEX(H_Curve!$B$1:$F$100,4+($B12)*17+3+Q$9*2,$AK12)+$AM12*INDEX(H_Curve!$B$1:$F$100,4+($B12)*17+3+Q$9*2,$AL12)),(1-$C12)*INDEX(H_Parametri!$A$14:$A$16,$B12)/1000*IF($AH12=0,INDEX(H_Curve!$B$1:$F$100,4+($B12-1)*17+3+Q$9*2,$AF12),(1-$AH12)*INDEX(H_Curve!$B$1:$F$100,4+($B12-1)*17+3+Q$9*2,$AF12)+$AH12*INDEX(H_Curve!$B$1:$F$100,4+($B12-1)*17+3+Q$9*2,$AG12))+$C12*INDEX(H_Parametri!$A$14:$A$16,$B12+1)/1000*IF($AM12=0,INDEX(H_Curve!$B$1:$F$100,4+($B12)*17+3+Q$9*2,$AK12),(1-$AM12)*INDEX(H_Curve!$B$1:$F$100,4+($B12)*17+3+Q$9*2,$AK12)+$AM12*INDEX(H_Curve!$B$1:$F$100,4+($B12)*17+3+Q$9*2,$AL12)))))/($A12/1000)),""))</f>
        <v>1.5774134037156733</v>
      </c>
      <c r="R12" s="13">
        <f>IF(E12="","",IFERROR(MAX(0.0001,$B$4*(IF($C12=0,INDEX(H_Parametri!$A$14:$A$16,$B12)/1000*IF($AH12=0,INDEX(H_Curve!$B$1:$F$100,4+($B12-1)*17+3+R$9*2,$AF12),(1-$AH12)*INDEX(H_Curve!$B$1:$F$100,4+($B12-1)*17+3+R$9*2,$AF12)+$AH12*INDEX(H_Curve!$B$1:$F$100,4+($B12-1)*17+3+R$9*2,$AG12)),IF($C12=1,INDEX(H_Parametri!$A$14:$A$16,$B12+1)/1000*IF($AM12=0,INDEX(H_Curve!$B$1:$F$100,4+($B12)*17+3+R$9*2,$AK12),(1-$AM12)*INDEX(H_Curve!$B$1:$F$100,4+($B12)*17+3+R$9*2,$AK12)+$AM12*INDEX(H_Curve!$B$1:$F$100,4+($B12)*17+3+R$9*2,$AL12)),(1-$C12)*INDEX(H_Parametri!$A$14:$A$16,$B12)/1000*IF($AH12=0,INDEX(H_Curve!$B$1:$F$100,4+($B12-1)*17+3+R$9*2,$AF12),(1-$AH12)*INDEX(H_Curve!$B$1:$F$100,4+($B12-1)*17+3+R$9*2,$AF12)+$AH12*INDEX(H_Curve!$B$1:$F$100,4+($B12-1)*17+3+R$9*2,$AG12))+$C12*INDEX(H_Parametri!$A$14:$A$16,$B12+1)/1000*IF($AM12=0,INDEX(H_Curve!$B$1:$F$100,4+($B12)*17+3+R$9*2,$AK12),(1-$AM12)*INDEX(H_Curve!$B$1:$F$100,4+($B12)*17+3+R$9*2,$AK12)+$AM12*INDEX(H_Curve!$B$1:$F$100,4+($B12)*17+3+R$9*2,$AL12)))))/($A12/1000)),""))</f>
        <v>1.4364664204578499</v>
      </c>
      <c r="S12" s="13">
        <f>IF(E12="","",IFERROR(MAX(0.0001,$B$4*(IF($C12=0,INDEX(H_Parametri!$A$14:$A$16,$B12)/1000*IF($AH12=0,INDEX(H_Curve!$B$1:$F$100,4+($B12-1)*17+3+S$9*2,$AF12),(1-$AH12)*INDEX(H_Curve!$B$1:$F$100,4+($B12-1)*17+3+S$9*2,$AF12)+$AH12*INDEX(H_Curve!$B$1:$F$100,4+($B12-1)*17+3+S$9*2,$AG12)),IF($C12=1,INDEX(H_Parametri!$A$14:$A$16,$B12+1)/1000*IF($AM12=0,INDEX(H_Curve!$B$1:$F$100,4+($B12)*17+3+S$9*2,$AK12),(1-$AM12)*INDEX(H_Curve!$B$1:$F$100,4+($B12)*17+3+S$9*2,$AK12)+$AM12*INDEX(H_Curve!$B$1:$F$100,4+($B12)*17+3+S$9*2,$AL12)),(1-$C12)*INDEX(H_Parametri!$A$14:$A$16,$B12)/1000*IF($AH12=0,INDEX(H_Curve!$B$1:$F$100,4+($B12-1)*17+3+S$9*2,$AF12),(1-$AH12)*INDEX(H_Curve!$B$1:$F$100,4+($B12-1)*17+3+S$9*2,$AF12)+$AH12*INDEX(H_Curve!$B$1:$F$100,4+($B12-1)*17+3+S$9*2,$AG12))+$C12*INDEX(H_Parametri!$A$14:$A$16,$B12+1)/1000*IF($AM12=0,INDEX(H_Curve!$B$1:$F$100,4+($B12)*17+3+S$9*2,$AK12),(1-$AM12)*INDEX(H_Curve!$B$1:$F$100,4+($B12)*17+3+S$9*2,$AK12)+$AM12*INDEX(H_Curve!$B$1:$F$100,4+($B12)*17+3+S$9*2,$AL12)))))/($A12/1000)),""))</f>
        <v>1.3193822418466086</v>
      </c>
      <c r="T12" s="13">
        <f>IF(E12="","",IFERROR(MAX(0.0001,$B$4*(IF($C12=0,INDEX(H_Parametri!$A$14:$A$16,$B12)/1000*IF($AH12=0,INDEX(H_Curve!$B$1:$F$100,4+($B12-1)*17+3+T$9*2,$AF12),(1-$AH12)*INDEX(H_Curve!$B$1:$F$100,4+($B12-1)*17+3+T$9*2,$AF12)+$AH12*INDEX(H_Curve!$B$1:$F$100,4+($B12-1)*17+3+T$9*2,$AG12)),IF($C12=1,INDEX(H_Parametri!$A$14:$A$16,$B12+1)/1000*IF($AM12=0,INDEX(H_Curve!$B$1:$F$100,4+($B12)*17+3+T$9*2,$AK12),(1-$AM12)*INDEX(H_Curve!$B$1:$F$100,4+($B12)*17+3+T$9*2,$AK12)+$AM12*INDEX(H_Curve!$B$1:$F$100,4+($B12)*17+3+T$9*2,$AL12)),(1-$C12)*INDEX(H_Parametri!$A$14:$A$16,$B12)/1000*IF($AH12=0,INDEX(H_Curve!$B$1:$F$100,4+($B12-1)*17+3+T$9*2,$AF12),(1-$AH12)*INDEX(H_Curve!$B$1:$F$100,4+($B12-1)*17+3+T$9*2,$AF12)+$AH12*INDEX(H_Curve!$B$1:$F$100,4+($B12-1)*17+3+T$9*2,$AG12))+$C12*INDEX(H_Parametri!$A$14:$A$16,$B12+1)/1000*IF($AM12=0,INDEX(H_Curve!$B$1:$F$100,4+($B12)*17+3+T$9*2,$AK12),(1-$AM12)*INDEX(H_Curve!$B$1:$F$100,4+($B12)*17+3+T$9*2,$AK12)+$AM12*INDEX(H_Curve!$B$1:$F$100,4+($B12)*17+3+T$9*2,$AL12)))))/($A12/1000)),""))</f>
        <v>1.2296747439655036</v>
      </c>
      <c r="U12" s="13">
        <f>IF(E12="","",IFERROR(MAX(0.0001,$B$4*(IF($C12=0,INDEX(H_Parametri!$A$14:$A$16,$B12)/1000*IF($AH12=0,INDEX(H_Curve!$B$1:$F$100,4+($B12-1)*17+3+U$9*2,$AF12),(1-$AH12)*INDEX(H_Curve!$B$1:$F$100,4+($B12-1)*17+3+U$9*2,$AF12)+$AH12*INDEX(H_Curve!$B$1:$F$100,4+($B12-1)*17+3+U$9*2,$AG12)),IF($C12=1,INDEX(H_Parametri!$A$14:$A$16,$B12+1)/1000*IF($AM12=0,INDEX(H_Curve!$B$1:$F$100,4+($B12)*17+3+U$9*2,$AK12),(1-$AM12)*INDEX(H_Curve!$B$1:$F$100,4+($B12)*17+3+U$9*2,$AK12)+$AM12*INDEX(H_Curve!$B$1:$F$100,4+($B12)*17+3+U$9*2,$AL12)),(1-$C12)*INDEX(H_Parametri!$A$14:$A$16,$B12)/1000*IF($AH12=0,INDEX(H_Curve!$B$1:$F$100,4+($B12-1)*17+3+U$9*2,$AF12),(1-$AH12)*INDEX(H_Curve!$B$1:$F$100,4+($B12-1)*17+3+U$9*2,$AF12)+$AH12*INDEX(H_Curve!$B$1:$F$100,4+($B12-1)*17+3+U$9*2,$AG12))+$C12*INDEX(H_Parametri!$A$14:$A$16,$B12+1)/1000*IF($AM12=0,INDEX(H_Curve!$B$1:$F$100,4+($B12)*17+3+U$9*2,$AK12),(1-$AM12)*INDEX(H_Curve!$B$1:$F$100,4+($B12)*17+3+U$9*2,$AK12)+$AM12*INDEX(H_Curve!$B$1:$F$100,4+($B12)*17+3+U$9*2,$AL12)))))/($A12/1000)),""))</f>
        <v>1.1444889873305053</v>
      </c>
      <c r="V12" s="13">
        <f>IF(E12="","",IFERROR(MAX(0.0001,$B$4*(IF($C12=0,INDEX(H_Parametri!$A$14:$A$16,$B12)/1000*IF($AH12=0,INDEX(H_Curve!$B$1:$F$100,4+($B12-1)*17+3+V$9*2,$AF12),(1-$AH12)*INDEX(H_Curve!$B$1:$F$100,4+($B12-1)*17+3+V$9*2,$AF12)+$AH12*INDEX(H_Curve!$B$1:$F$100,4+($B12-1)*17+3+V$9*2,$AG12)),IF($C12=1,INDEX(H_Parametri!$A$14:$A$16,$B12+1)/1000*IF($AM12=0,INDEX(H_Curve!$B$1:$F$100,4+($B12)*17+3+V$9*2,$AK12),(1-$AM12)*INDEX(H_Curve!$B$1:$F$100,4+($B12)*17+3+V$9*2,$AK12)+$AM12*INDEX(H_Curve!$B$1:$F$100,4+($B12)*17+3+V$9*2,$AL12)),(1-$C12)*INDEX(H_Parametri!$A$14:$A$16,$B12)/1000*IF($AH12=0,INDEX(H_Curve!$B$1:$F$100,4+($B12-1)*17+3+V$9*2,$AF12),(1-$AH12)*INDEX(H_Curve!$B$1:$F$100,4+($B12-1)*17+3+V$9*2,$AF12)+$AH12*INDEX(H_Curve!$B$1:$F$100,4+($B12-1)*17+3+V$9*2,$AG12))+$C12*INDEX(H_Parametri!$A$14:$A$16,$B12+1)/1000*IF($AM12=0,INDEX(H_Curve!$B$1:$F$100,4+($B12)*17+3+V$9*2,$AK12),(1-$AM12)*INDEX(H_Curve!$B$1:$F$100,4+($B12)*17+3+V$9*2,$AK12)+$AM12*INDEX(H_Curve!$B$1:$F$100,4+($B12)*17+3+V$9*2,$AL12)))))/($A12/1000)),""))</f>
        <v>1.0441219140058124</v>
      </c>
      <c r="W12" s="13">
        <f>IF(E12="","",IFERROR(MAX(0.0001,$B$4*(IF($C12=0,INDEX(H_Parametri!$A$14:$A$16,$B12)/1000*IF($AH12=0,INDEX(H_Curve!$B$1:$F$100,4+($B12-1)*17+3+W$9*2,$AF12),(1-$AH12)*INDEX(H_Curve!$B$1:$F$100,4+($B12-1)*17+3+W$9*2,$AF12)+$AH12*INDEX(H_Curve!$B$1:$F$100,4+($B12-1)*17+3+W$9*2,$AG12)),IF($C12=1,INDEX(H_Parametri!$A$14:$A$16,$B12+1)/1000*IF($AM12=0,INDEX(H_Curve!$B$1:$F$100,4+($B12)*17+3+W$9*2,$AK12),(1-$AM12)*INDEX(H_Curve!$B$1:$F$100,4+($B12)*17+3+W$9*2,$AK12)+$AM12*INDEX(H_Curve!$B$1:$F$100,4+($B12)*17+3+W$9*2,$AL12)),(1-$C12)*INDEX(H_Parametri!$A$14:$A$16,$B12)/1000*IF($AH12=0,INDEX(H_Curve!$B$1:$F$100,4+($B12-1)*17+3+W$9*2,$AF12),(1-$AH12)*INDEX(H_Curve!$B$1:$F$100,4+($B12-1)*17+3+W$9*2,$AF12)+$AH12*INDEX(H_Curve!$B$1:$F$100,4+($B12-1)*17+3+W$9*2,$AG12))+$C12*INDEX(H_Parametri!$A$14:$A$16,$B12+1)/1000*IF($AM12=0,INDEX(H_Curve!$B$1:$F$100,4+($B12)*17+3+W$9*2,$AK12),(1-$AM12)*INDEX(H_Curve!$B$1:$F$100,4+($B12)*17+3+W$9*2,$AK12)+$AM12*INDEX(H_Curve!$B$1:$F$100,4+($B12)*17+3+W$9*2,$AL12)))))/($A12/1000)),""))</f>
        <v>0.79741675703200676</v>
      </c>
      <c r="X12" s="18">
        <f t="array" ref="X12">IF(E12="","",SUMPRODUCT(MAX(ISNUMBER(M12:V12)*ISNUMBER(N12:W12)*(M12:V12&gt;=$B$5)*(N12:W12&lt;$B$5)*(COLUMN(M12:V12)-COLUMN(M12)+1))))</f>
        <v>0</v>
      </c>
      <c r="Y12" s="9" t="str">
        <f t="shared" si="6"/>
        <v/>
      </c>
      <c r="Z12" s="9" t="str">
        <f t="shared" si="7"/>
        <v/>
      </c>
      <c r="AA12" s="13" t="str">
        <f t="shared" si="8"/>
        <v/>
      </c>
      <c r="AB12" s="13" t="str">
        <f t="shared" si="9"/>
        <v/>
      </c>
      <c r="AC12" s="18">
        <f t="shared" si="10"/>
        <v>10</v>
      </c>
      <c r="AD12" s="18">
        <f>IFERROR(LARGE(INDEX(H_Curve!$B$1:$F$100,4+($B12-1)*17+1,1):INDEX(H_Curve!$B$1:$F$100,4+($B12-1)*17+1,5),COUNTIF(INDEX(H_Curve!$B$1:$F$100,4+($B12-1)*17+1,1):INDEX(H_Curve!$B$1:$F$100,4+($B12-1)*17+1,5),"&gt;"&amp;$B$4)+1),0)</f>
        <v>210</v>
      </c>
      <c r="AE12" s="18">
        <f>IFERROR(SMALL(INDEX(H_Curve!$B$1:$F$100,4+($B12-1)*17+1,1):INDEX(H_Curve!$B$1:$F$100,4+($B12-1)*17+1,5),COUNTIF(INDEX(H_Curve!$B$1:$F$100,4+($B12-1)*17+1,1):INDEX(H_Curve!$B$1:$F$100,4+($B12-1)*17+1,5),"&lt;"&amp;$B$4)+1),1000000000)</f>
        <v>1000000000</v>
      </c>
      <c r="AF12" s="18">
        <f>IFERROR(IF(AD12=0,MATCH(AE12,INDEX(H_Curve!$B$1:$F$100,4+($B12-1)*17+1,1):INDEX(H_Curve!$B$1:$F$100,4+($B12-1)*17+1,5),0),MATCH(AD12,INDEX(H_Curve!$B$1:$F$100,4+($B12-1)*17+1,1):INDEX(H_Curve!$B$1:$F$100,4+($B12-1)*17+1,5),0)),"")</f>
        <v>4</v>
      </c>
      <c r="AG12" s="18">
        <f>IFERROR(IF(AE12&gt;=1000000000,MATCH(AD12,INDEX(H_Curve!$B$1:$F$100,4+($B12-1)*17+1,1):INDEX(H_Curve!$B$1:$F$100,4+($B12-1)*17+1,5),0),MATCH(AE12,INDEX(H_Curve!$B$1:$F$100,4+($B12-1)*17+1,1):INDEX(H_Curve!$B$1:$F$100,4+($B12-1)*17+1,5),0)),"")</f>
        <v>4</v>
      </c>
      <c r="AH12" s="13">
        <f t="shared" si="11"/>
        <v>0</v>
      </c>
      <c r="AI12" s="18">
        <f>IFERROR(LARGE(INDEX(H_Curve!$B$1:$F$100,4+($B12)*17+1,1):INDEX(H_Curve!$B$1:$F$100,4+($B12)*17+1,5),COUNTIF(INDEX(H_Curve!$B$1:$F$100,4+($B12)*17+1,1):INDEX(H_Curve!$B$1:$F$100,4+($B12)*17+1,5),"&gt;"&amp;$B$4)+1),0)</f>
        <v>300</v>
      </c>
      <c r="AJ12" s="18">
        <f>IFERROR(SMALL(INDEX(H_Curve!$B$1:$F$100,4+($B12)*17+1,1):INDEX(H_Curve!$B$1:$F$100,4+($B12)*17+1,5),COUNTIF(INDEX(H_Curve!$B$1:$F$100,4+($B12)*17+1,1):INDEX(H_Curve!$B$1:$F$100,4+($B12)*17+1,5),"&lt;"&amp;$B$4)+1),1000000000)</f>
        <v>1000000000</v>
      </c>
      <c r="AK12" s="18">
        <f>IFERROR(IF(AI12=0,MATCH(AJ12,INDEX(H_Curve!$B$1:$F$100,4+($B12)*17+1,1):INDEX(H_Curve!$B$1:$F$100,4+($B12)*17+1,5),0),MATCH(AI12,INDEX(H_Curve!$B$1:$F$100,4+($B12)*17+1,1):INDEX(H_Curve!$B$1:$F$100,4+($B12)*17+1,5),0)),"")</f>
        <v>4</v>
      </c>
      <c r="AL12" s="18">
        <f>IFERROR(IF(AJ12&gt;=1000000000,MATCH(AI12,INDEX(H_Curve!$B$1:$F$100,4+($B12)*17+1,1):INDEX(H_Curve!$B$1:$F$100,4+($B12)*17+1,5),0),MATCH(AJ12,INDEX(H_Curve!$B$1:$F$100,4+($B12)*17+1,1):INDEX(H_Curve!$B$1:$F$100,4+($B12)*17+1,5),0)),"")</f>
        <v>4</v>
      </c>
      <c r="AM12" s="13">
        <f t="shared" si="12"/>
        <v>0</v>
      </c>
    </row>
    <row r="13" spans="1:39" x14ac:dyDescent="0.25">
      <c r="A13" s="12">
        <v>800</v>
      </c>
      <c r="B13" s="18">
        <f>IFERROR(MAX(1,MIN(MATCH(A13,H_Parametri!$A$14:$A$16,1),H_Parametri!$B$10-1)),1)</f>
        <v>1</v>
      </c>
      <c r="C13" s="13">
        <f>(A13-INDEX(H_Parametri!$A$14:$A$16,B13))/(INDEX(H_Parametri!$A$14:$A$16,B13+1)-INDEX(H_Parametri!$A$14:$A$16,B13))</f>
        <v>0.6</v>
      </c>
      <c r="D13" s="34">
        <f>IFERROR(MAX(0.000001,(IF($C13=0,INDEX(H_Parametri!$A$14:$A$16,$B13)/1000*IF($AH13=0,INDEX(H_Curve!$B$1:$F$100,4+($B13-1)*17+2,$AF13),(1-$AH13)*INDEX(H_Curve!$B$1:$F$100,4+($B13-1)*17+2,$AF13)+$AH13*INDEX(H_Curve!$B$1:$F$100,4+($B13-1)*17+2,$AG13)),IF($C13=1,INDEX(H_Parametri!$A$14:$A$16,$B13+1)/1000*IF($AM13=0,INDEX(H_Curve!$B$1:$F$100,4+($B13)*17+2,$AK13),(1-$AM13)*INDEX(H_Curve!$B$1:$F$100,4+($B13)*17+2,$AK13)+$AM13*INDEX(H_Curve!$B$1:$F$100,4+($B13)*17+2,$AL13)),(1-$C13)*INDEX(H_Parametri!$A$14:$A$16,$B13)/1000*IF($AH13=0,INDEX(H_Curve!$B$1:$F$100,4+($B13-1)*17+2,$AF13),(1-$AH13)*INDEX(H_Curve!$B$1:$F$100,4+($B13-1)*17+2,$AF13)+$AH13*INDEX(H_Curve!$B$1:$F$100,4+($B13-1)*17+2,$AG13))+$C13*INDEX(H_Parametri!$A$14:$A$16,$B13+1)/1000*IF($AM13=0,INDEX(H_Curve!$B$1:$F$100,4+($B13)*17+2,$AK13),(1-$AM13)*INDEX(H_Curve!$B$1:$F$100,4+($B13)*17+2,$AK13)+$AM13*INDEX(H_Curve!$B$1:$F$100,4+($B13)*17+2,$AL13)))))/(A13/1000)),"")</f>
        <v>2.2151439036945293E-2</v>
      </c>
      <c r="E13" s="23">
        <f t="shared" si="0"/>
        <v>9.9681475666253814</v>
      </c>
      <c r="F13" s="14">
        <f t="shared" si="1"/>
        <v>1.2539942769157613E-2</v>
      </c>
      <c r="G13" s="13">
        <f t="shared" si="2"/>
        <v>2.5079885538315225E-2</v>
      </c>
      <c r="H13" s="13">
        <f>IFERROR(INDEX(M13:W13,ROUND(H_Parametri!$B$9*2,0))/E13,"")</f>
        <v>0.17774711597249832</v>
      </c>
      <c r="I13" s="24" t="str">
        <f t="shared" si="3"/>
        <v>&gt; x max</v>
      </c>
      <c r="J13" s="23">
        <f t="shared" si="4"/>
        <v>0.89449747349897968</v>
      </c>
      <c r="K13" s="23">
        <f t="shared" si="5"/>
        <v>3.5779898939959187</v>
      </c>
      <c r="L13" s="5" t="str">
        <f>IF(E13="","",IF(OR(H_Parametri!$B$10&lt;2,A13&lt;INDEX(H_Parametri!$A$14:$A$16,1),A13&gt;INDEX(H_Parametri!$A$14:$A$16,H_Parametri!$B$10)),"L fuori campo: estrapolazione",IF(OR($B$4&lt;((1-C13)*INDEX(H_Parametri!$E$14:$E$16,B13)+C13*INDEX(H_Parametri!$E$14:$E$16,B13+1))*0.99,$B$4&gt;((1-C13)*INDEX(H_Parametri!$F$14:$F$16,B13)+C13*INDEX(H_Parametri!$F$14:$F$16,B13+1))*1.01),"Q fuori dal campo dei dati (estrapolazione)",IF(I13="&gt; x max","Il getto raggiunge la parete (lancio &gt; x max)",IF(I13="n.d.","Dati CFD non coprono tutta la distanza (curva incompleta)",IF(NOT(ISNUMBER(I13)),"vₜ non raggiunta / &lt; 0,5 m",IF(IFERROR(G13&gt;H13,FALSE()),"vₜ nel campo vicino (x &lt; "&amp;H_Parametri!$B$9&amp;" m): lancio poco significativo",IF(I13&gt;$B$7,"Oltre x max: influenzato dalla parete","OK"))))))))</f>
        <v>Q fuori dal campo dei dati (estrapolazione)</v>
      </c>
      <c r="M13" s="13">
        <f>IF(E13="","",IFERROR(MAX(0.0001,$B$4*(IF($C13=0,INDEX(H_Parametri!$A$14:$A$16,$B13)/1000*IF($AH13=0,INDEX(H_Curve!$B$1:$F$100,4+($B13-1)*17+3+M$9*2,$AF13),(1-$AH13)*INDEX(H_Curve!$B$1:$F$100,4+($B13-1)*17+3+M$9*2,$AF13)+$AH13*INDEX(H_Curve!$B$1:$F$100,4+($B13-1)*17+3+M$9*2,$AG13)),IF($C13=1,INDEX(H_Parametri!$A$14:$A$16,$B13+1)/1000*IF($AM13=0,INDEX(H_Curve!$B$1:$F$100,4+($B13)*17+3+M$9*2,$AK13),(1-$AM13)*INDEX(H_Curve!$B$1:$F$100,4+($B13)*17+3+M$9*2,$AK13)+$AM13*INDEX(H_Curve!$B$1:$F$100,4+($B13)*17+3+M$9*2,$AL13)),(1-$C13)*INDEX(H_Parametri!$A$14:$A$16,$B13)/1000*IF($AH13=0,INDEX(H_Curve!$B$1:$F$100,4+($B13-1)*17+3+M$9*2,$AF13),(1-$AH13)*INDEX(H_Curve!$B$1:$F$100,4+($B13-1)*17+3+M$9*2,$AF13)+$AH13*INDEX(H_Curve!$B$1:$F$100,4+($B13-1)*17+3+M$9*2,$AG13))+$C13*INDEX(H_Parametri!$A$14:$A$16,$B13+1)/1000*IF($AM13=0,INDEX(H_Curve!$B$1:$F$100,4+($B13)*17+3+M$9*2,$AK13),(1-$AM13)*INDEX(H_Curve!$B$1:$F$100,4+($B13)*17+3+M$9*2,$AK13)+$AM13*INDEX(H_Curve!$B$1:$F$100,4+($B13)*17+3+M$9*2,$AL13)))))/($A13/1000)),""))</f>
        <v>1.7282299913658701</v>
      </c>
      <c r="N13" s="13">
        <f>IF(E13="","",IFERROR(MAX(0.0001,$B$4*(IF($C13=0,INDEX(H_Parametri!$A$14:$A$16,$B13)/1000*IF($AH13=0,INDEX(H_Curve!$B$1:$F$100,4+($B13-1)*17+3+N$9*2,$AF13),(1-$AH13)*INDEX(H_Curve!$B$1:$F$100,4+($B13-1)*17+3+N$9*2,$AF13)+$AH13*INDEX(H_Curve!$B$1:$F$100,4+($B13-1)*17+3+N$9*2,$AG13)),IF($C13=1,INDEX(H_Parametri!$A$14:$A$16,$B13+1)/1000*IF($AM13=0,INDEX(H_Curve!$B$1:$F$100,4+($B13)*17+3+N$9*2,$AK13),(1-$AM13)*INDEX(H_Curve!$B$1:$F$100,4+($B13)*17+3+N$9*2,$AK13)+$AM13*INDEX(H_Curve!$B$1:$F$100,4+($B13)*17+3+N$9*2,$AL13)),(1-$C13)*INDEX(H_Parametri!$A$14:$A$16,$B13)/1000*IF($AH13=0,INDEX(H_Curve!$B$1:$F$100,4+($B13-1)*17+3+N$9*2,$AF13),(1-$AH13)*INDEX(H_Curve!$B$1:$F$100,4+($B13-1)*17+3+N$9*2,$AF13)+$AH13*INDEX(H_Curve!$B$1:$F$100,4+($B13-1)*17+3+N$9*2,$AG13))+$C13*INDEX(H_Parametri!$A$14:$A$16,$B13+1)/1000*IF($AM13=0,INDEX(H_Curve!$B$1:$F$100,4+($B13)*17+3+N$9*2,$AK13),(1-$AM13)*INDEX(H_Curve!$B$1:$F$100,4+($B13)*17+3+N$9*2,$AK13)+$AM13*INDEX(H_Curve!$B$1:$F$100,4+($B13)*17+3+N$9*2,$AL13)))))/($A13/1000)),""))</f>
        <v>1.7718094815559384</v>
      </c>
      <c r="O13" s="13">
        <f>IF(E13="","",IFERROR(MAX(0.0001,$B$4*(IF($C13=0,INDEX(H_Parametri!$A$14:$A$16,$B13)/1000*IF($AH13=0,INDEX(H_Curve!$B$1:$F$100,4+($B13-1)*17+3+O$9*2,$AF13),(1-$AH13)*INDEX(H_Curve!$B$1:$F$100,4+($B13-1)*17+3+O$9*2,$AF13)+$AH13*INDEX(H_Curve!$B$1:$F$100,4+($B13-1)*17+3+O$9*2,$AG13)),IF($C13=1,INDEX(H_Parametri!$A$14:$A$16,$B13+1)/1000*IF($AM13=0,INDEX(H_Curve!$B$1:$F$100,4+($B13)*17+3+O$9*2,$AK13),(1-$AM13)*INDEX(H_Curve!$B$1:$F$100,4+($B13)*17+3+O$9*2,$AK13)+$AM13*INDEX(H_Curve!$B$1:$F$100,4+($B13)*17+3+O$9*2,$AL13)),(1-$C13)*INDEX(H_Parametri!$A$14:$A$16,$B13)/1000*IF($AH13=0,INDEX(H_Curve!$B$1:$F$100,4+($B13-1)*17+3+O$9*2,$AF13),(1-$AH13)*INDEX(H_Curve!$B$1:$F$100,4+($B13-1)*17+3+O$9*2,$AF13)+$AH13*INDEX(H_Curve!$B$1:$F$100,4+($B13-1)*17+3+O$9*2,$AG13))+$C13*INDEX(H_Parametri!$A$14:$A$16,$B13+1)/1000*IF($AM13=0,INDEX(H_Curve!$B$1:$F$100,4+($B13)*17+3+O$9*2,$AK13),(1-$AM13)*INDEX(H_Curve!$B$1:$F$100,4+($B13)*17+3+O$9*2,$AK13)+$AM13*INDEX(H_Curve!$B$1:$F$100,4+($B13)*17+3+O$9*2,$AL13)))))/($A13/1000)),""))</f>
        <v>1.6736790399216834</v>
      </c>
      <c r="P13" s="13">
        <f>IF(E13="","",IFERROR(MAX(0.0001,$B$4*(IF($C13=0,INDEX(H_Parametri!$A$14:$A$16,$B13)/1000*IF($AH13=0,INDEX(H_Curve!$B$1:$F$100,4+($B13-1)*17+3+P$9*2,$AF13),(1-$AH13)*INDEX(H_Curve!$B$1:$F$100,4+($B13-1)*17+3+P$9*2,$AF13)+$AH13*INDEX(H_Curve!$B$1:$F$100,4+($B13-1)*17+3+P$9*2,$AG13)),IF($C13=1,INDEX(H_Parametri!$A$14:$A$16,$B13+1)/1000*IF($AM13=0,INDEX(H_Curve!$B$1:$F$100,4+($B13)*17+3+P$9*2,$AK13),(1-$AM13)*INDEX(H_Curve!$B$1:$F$100,4+($B13)*17+3+P$9*2,$AK13)+$AM13*INDEX(H_Curve!$B$1:$F$100,4+($B13)*17+3+P$9*2,$AL13)),(1-$C13)*INDEX(H_Parametri!$A$14:$A$16,$B13)/1000*IF($AH13=0,INDEX(H_Curve!$B$1:$F$100,4+($B13-1)*17+3+P$9*2,$AF13),(1-$AH13)*INDEX(H_Curve!$B$1:$F$100,4+($B13-1)*17+3+P$9*2,$AF13)+$AH13*INDEX(H_Curve!$B$1:$F$100,4+($B13-1)*17+3+P$9*2,$AG13))+$C13*INDEX(H_Parametri!$A$14:$A$16,$B13+1)/1000*IF($AM13=0,INDEX(H_Curve!$B$1:$F$100,4+($B13)*17+3+P$9*2,$AK13),(1-$AM13)*INDEX(H_Curve!$B$1:$F$100,4+($B13)*17+3+P$9*2,$AK13)+$AM13*INDEX(H_Curve!$B$1:$F$100,4+($B13)*17+3+P$9*2,$AL13)))))/($A13/1000)),""))</f>
        <v>1.5175979669412043</v>
      </c>
      <c r="Q13" s="13">
        <f>IF(E13="","",IFERROR(MAX(0.0001,$B$4*(IF($C13=0,INDEX(H_Parametri!$A$14:$A$16,$B13)/1000*IF($AH13=0,INDEX(H_Curve!$B$1:$F$100,4+($B13-1)*17+3+Q$9*2,$AF13),(1-$AH13)*INDEX(H_Curve!$B$1:$F$100,4+($B13-1)*17+3+Q$9*2,$AF13)+$AH13*INDEX(H_Curve!$B$1:$F$100,4+($B13-1)*17+3+Q$9*2,$AG13)),IF($C13=1,INDEX(H_Parametri!$A$14:$A$16,$B13+1)/1000*IF($AM13=0,INDEX(H_Curve!$B$1:$F$100,4+($B13)*17+3+Q$9*2,$AK13),(1-$AM13)*INDEX(H_Curve!$B$1:$F$100,4+($B13)*17+3+Q$9*2,$AK13)+$AM13*INDEX(H_Curve!$B$1:$F$100,4+($B13)*17+3+Q$9*2,$AL13)),(1-$C13)*INDEX(H_Parametri!$A$14:$A$16,$B13)/1000*IF($AH13=0,INDEX(H_Curve!$B$1:$F$100,4+($B13-1)*17+3+Q$9*2,$AF13),(1-$AH13)*INDEX(H_Curve!$B$1:$F$100,4+($B13-1)*17+3+Q$9*2,$AF13)+$AH13*INDEX(H_Curve!$B$1:$F$100,4+($B13-1)*17+3+Q$9*2,$AG13))+$C13*INDEX(H_Parametri!$A$14:$A$16,$B13+1)/1000*IF($AM13=0,INDEX(H_Curve!$B$1:$F$100,4+($B13)*17+3+Q$9*2,$AK13),(1-$AM13)*INDEX(H_Curve!$B$1:$F$100,4+($B13)*17+3+Q$9*2,$AK13)+$AM13*INDEX(H_Curve!$B$1:$F$100,4+($B13)*17+3+Q$9*2,$AL13)))))/($A13/1000)),""))</f>
        <v>1.3731884674856298</v>
      </c>
      <c r="R13" s="13">
        <f>IF(E13="","",IFERROR(MAX(0.0001,$B$4*(IF($C13=0,INDEX(H_Parametri!$A$14:$A$16,$B13)/1000*IF($AH13=0,INDEX(H_Curve!$B$1:$F$100,4+($B13-1)*17+3+R$9*2,$AF13),(1-$AH13)*INDEX(H_Curve!$B$1:$F$100,4+($B13-1)*17+3+R$9*2,$AF13)+$AH13*INDEX(H_Curve!$B$1:$F$100,4+($B13-1)*17+3+R$9*2,$AG13)),IF($C13=1,INDEX(H_Parametri!$A$14:$A$16,$B13+1)/1000*IF($AM13=0,INDEX(H_Curve!$B$1:$F$100,4+($B13)*17+3+R$9*2,$AK13),(1-$AM13)*INDEX(H_Curve!$B$1:$F$100,4+($B13)*17+3+R$9*2,$AK13)+$AM13*INDEX(H_Curve!$B$1:$F$100,4+($B13)*17+3+R$9*2,$AL13)),(1-$C13)*INDEX(H_Parametri!$A$14:$A$16,$B13)/1000*IF($AH13=0,INDEX(H_Curve!$B$1:$F$100,4+($B13-1)*17+3+R$9*2,$AF13),(1-$AH13)*INDEX(H_Curve!$B$1:$F$100,4+($B13-1)*17+3+R$9*2,$AF13)+$AH13*INDEX(H_Curve!$B$1:$F$100,4+($B13-1)*17+3+R$9*2,$AG13))+$C13*INDEX(H_Parametri!$A$14:$A$16,$B13+1)/1000*IF($AM13=0,INDEX(H_Curve!$B$1:$F$100,4+($B13)*17+3+R$9*2,$AK13),(1-$AM13)*INDEX(H_Curve!$B$1:$F$100,4+($B13)*17+3+R$9*2,$AK13)+$AM13*INDEX(H_Curve!$B$1:$F$100,4+($B13)*17+3+R$9*2,$AL13)))))/($A13/1000)),""))</f>
        <v>1.2451685542073603</v>
      </c>
      <c r="S13" s="13">
        <f>IF(E13="","",IFERROR(MAX(0.0001,$B$4*(IF($C13=0,INDEX(H_Parametri!$A$14:$A$16,$B13)/1000*IF($AH13=0,INDEX(H_Curve!$B$1:$F$100,4+($B13-1)*17+3+S$9*2,$AF13),(1-$AH13)*INDEX(H_Curve!$B$1:$F$100,4+($B13-1)*17+3+S$9*2,$AF13)+$AH13*INDEX(H_Curve!$B$1:$F$100,4+($B13-1)*17+3+S$9*2,$AG13)),IF($C13=1,INDEX(H_Parametri!$A$14:$A$16,$B13+1)/1000*IF($AM13=0,INDEX(H_Curve!$B$1:$F$100,4+($B13)*17+3+S$9*2,$AK13),(1-$AM13)*INDEX(H_Curve!$B$1:$F$100,4+($B13)*17+3+S$9*2,$AK13)+$AM13*INDEX(H_Curve!$B$1:$F$100,4+($B13)*17+3+S$9*2,$AL13)),(1-$C13)*INDEX(H_Parametri!$A$14:$A$16,$B13)/1000*IF($AH13=0,INDEX(H_Curve!$B$1:$F$100,4+($B13-1)*17+3+S$9*2,$AF13),(1-$AH13)*INDEX(H_Curve!$B$1:$F$100,4+($B13-1)*17+3+S$9*2,$AF13)+$AH13*INDEX(H_Curve!$B$1:$F$100,4+($B13-1)*17+3+S$9*2,$AG13))+$C13*INDEX(H_Parametri!$A$14:$A$16,$B13+1)/1000*IF($AM13=0,INDEX(H_Curve!$B$1:$F$100,4+($B13)*17+3+S$9*2,$AK13),(1-$AM13)*INDEX(H_Curve!$B$1:$F$100,4+($B13)*17+3+S$9*2,$AK13)+$AM13*INDEX(H_Curve!$B$1:$F$100,4+($B13)*17+3+S$9*2,$AL13)))))/($A13/1000)),""))</f>
        <v>1.1385541891513344</v>
      </c>
      <c r="T13" s="13">
        <f>IF(E13="","",IFERROR(MAX(0.0001,$B$4*(IF($C13=0,INDEX(H_Parametri!$A$14:$A$16,$B13)/1000*IF($AH13=0,INDEX(H_Curve!$B$1:$F$100,4+($B13-1)*17+3+T$9*2,$AF13),(1-$AH13)*INDEX(H_Curve!$B$1:$F$100,4+($B13-1)*17+3+T$9*2,$AF13)+$AH13*INDEX(H_Curve!$B$1:$F$100,4+($B13-1)*17+3+T$9*2,$AG13)),IF($C13=1,INDEX(H_Parametri!$A$14:$A$16,$B13+1)/1000*IF($AM13=0,INDEX(H_Curve!$B$1:$F$100,4+($B13)*17+3+T$9*2,$AK13),(1-$AM13)*INDEX(H_Curve!$B$1:$F$100,4+($B13)*17+3+T$9*2,$AK13)+$AM13*INDEX(H_Curve!$B$1:$F$100,4+($B13)*17+3+T$9*2,$AL13)),(1-$C13)*INDEX(H_Parametri!$A$14:$A$16,$B13)/1000*IF($AH13=0,INDEX(H_Curve!$B$1:$F$100,4+($B13-1)*17+3+T$9*2,$AF13),(1-$AH13)*INDEX(H_Curve!$B$1:$F$100,4+($B13-1)*17+3+T$9*2,$AF13)+$AH13*INDEX(H_Curve!$B$1:$F$100,4+($B13-1)*17+3+T$9*2,$AG13))+$C13*INDEX(H_Parametri!$A$14:$A$16,$B13+1)/1000*IF($AM13=0,INDEX(H_Curve!$B$1:$F$100,4+($B13)*17+3+T$9*2,$AK13),(1-$AM13)*INDEX(H_Curve!$B$1:$F$100,4+($B13)*17+3+T$9*2,$AK13)+$AM13*INDEX(H_Curve!$B$1:$F$100,4+($B13)*17+3+T$9*2,$AL13)))))/($A13/1000)),""))</f>
        <v>1.0595072568490993</v>
      </c>
      <c r="U13" s="13">
        <f>IF(E13="","",IFERROR(MAX(0.0001,$B$4*(IF($C13=0,INDEX(H_Parametri!$A$14:$A$16,$B13)/1000*IF($AH13=0,INDEX(H_Curve!$B$1:$F$100,4+($B13-1)*17+3+U$9*2,$AF13),(1-$AH13)*INDEX(H_Curve!$B$1:$F$100,4+($B13-1)*17+3+U$9*2,$AF13)+$AH13*INDEX(H_Curve!$B$1:$F$100,4+($B13-1)*17+3+U$9*2,$AG13)),IF($C13=1,INDEX(H_Parametri!$A$14:$A$16,$B13+1)/1000*IF($AM13=0,INDEX(H_Curve!$B$1:$F$100,4+($B13)*17+3+U$9*2,$AK13),(1-$AM13)*INDEX(H_Curve!$B$1:$F$100,4+($B13)*17+3+U$9*2,$AK13)+$AM13*INDEX(H_Curve!$B$1:$F$100,4+($B13)*17+3+U$9*2,$AL13)),(1-$C13)*INDEX(H_Parametri!$A$14:$A$16,$B13)/1000*IF($AH13=0,INDEX(H_Curve!$B$1:$F$100,4+($B13-1)*17+3+U$9*2,$AF13),(1-$AH13)*INDEX(H_Curve!$B$1:$F$100,4+($B13-1)*17+3+U$9*2,$AF13)+$AH13*INDEX(H_Curve!$B$1:$F$100,4+($B13-1)*17+3+U$9*2,$AG13))+$C13*INDEX(H_Parametri!$A$14:$A$16,$B13+1)/1000*IF($AM13=0,INDEX(H_Curve!$B$1:$F$100,4+($B13)*17+3+U$9*2,$AK13),(1-$AM13)*INDEX(H_Curve!$B$1:$F$100,4+($B13)*17+3+U$9*2,$AK13)+$AM13*INDEX(H_Curve!$B$1:$F$100,4+($B13)*17+3+U$9*2,$AL13)))))/($A13/1000)),""))</f>
        <v>0.99064263880997439</v>
      </c>
      <c r="V13" s="13">
        <f>IF(E13="","",IFERROR(MAX(0.0001,$B$4*(IF($C13=0,INDEX(H_Parametri!$A$14:$A$16,$B13)/1000*IF($AH13=0,INDEX(H_Curve!$B$1:$F$100,4+($B13-1)*17+3+V$9*2,$AF13),(1-$AH13)*INDEX(H_Curve!$B$1:$F$100,4+($B13-1)*17+3+V$9*2,$AF13)+$AH13*INDEX(H_Curve!$B$1:$F$100,4+($B13-1)*17+3+V$9*2,$AG13)),IF($C13=1,INDEX(H_Parametri!$A$14:$A$16,$B13+1)/1000*IF($AM13=0,INDEX(H_Curve!$B$1:$F$100,4+($B13)*17+3+V$9*2,$AK13),(1-$AM13)*INDEX(H_Curve!$B$1:$F$100,4+($B13)*17+3+V$9*2,$AK13)+$AM13*INDEX(H_Curve!$B$1:$F$100,4+($B13)*17+3+V$9*2,$AL13)),(1-$C13)*INDEX(H_Parametri!$A$14:$A$16,$B13)/1000*IF($AH13=0,INDEX(H_Curve!$B$1:$F$100,4+($B13-1)*17+3+V$9*2,$AF13),(1-$AH13)*INDEX(H_Curve!$B$1:$F$100,4+($B13-1)*17+3+V$9*2,$AF13)+$AH13*INDEX(H_Curve!$B$1:$F$100,4+($B13-1)*17+3+V$9*2,$AG13))+$C13*INDEX(H_Parametri!$A$14:$A$16,$B13+1)/1000*IF($AM13=0,INDEX(H_Curve!$B$1:$F$100,4+($B13)*17+3+V$9*2,$AK13),(1-$AM13)*INDEX(H_Curve!$B$1:$F$100,4+($B13)*17+3+V$9*2,$AK13)+$AM13*INDEX(H_Curve!$B$1:$F$100,4+($B13)*17+3+V$9*2,$AL13)))))/($A13/1000)),""))</f>
        <v>0.89449747349897968</v>
      </c>
      <c r="W13" s="13">
        <f>IF(E13="","",IFERROR(MAX(0.0001,$B$4*(IF($C13=0,INDEX(H_Parametri!$A$14:$A$16,$B13)/1000*IF($AH13=0,INDEX(H_Curve!$B$1:$F$100,4+($B13-1)*17+3+W$9*2,$AF13),(1-$AH13)*INDEX(H_Curve!$B$1:$F$100,4+($B13-1)*17+3+W$9*2,$AF13)+$AH13*INDEX(H_Curve!$B$1:$F$100,4+($B13-1)*17+3+W$9*2,$AG13)),IF($C13=1,INDEX(H_Parametri!$A$14:$A$16,$B13+1)/1000*IF($AM13=0,INDEX(H_Curve!$B$1:$F$100,4+($B13)*17+3+W$9*2,$AK13),(1-$AM13)*INDEX(H_Curve!$B$1:$F$100,4+($B13)*17+3+W$9*2,$AK13)+$AM13*INDEX(H_Curve!$B$1:$F$100,4+($B13)*17+3+W$9*2,$AL13)),(1-$C13)*INDEX(H_Parametri!$A$14:$A$16,$B13)/1000*IF($AH13=0,INDEX(H_Curve!$B$1:$F$100,4+($B13-1)*17+3+W$9*2,$AF13),(1-$AH13)*INDEX(H_Curve!$B$1:$F$100,4+($B13-1)*17+3+W$9*2,$AF13)+$AH13*INDEX(H_Curve!$B$1:$F$100,4+($B13-1)*17+3+W$9*2,$AG13))+$C13*INDEX(H_Parametri!$A$14:$A$16,$B13+1)/1000*IF($AM13=0,INDEX(H_Curve!$B$1:$F$100,4+($B13)*17+3+W$9*2,$AK13),(1-$AM13)*INDEX(H_Curve!$B$1:$F$100,4+($B13)*17+3+W$9*2,$AK13)+$AM13*INDEX(H_Curve!$B$1:$F$100,4+($B13)*17+3+W$9*2,$AL13)))))/($A13/1000)),""))</f>
        <v>0.67457437127001973</v>
      </c>
      <c r="X13" s="18">
        <f t="array" ref="X13">IF(E13="","",SUMPRODUCT(MAX(ISNUMBER(M13:V13)*ISNUMBER(N13:W13)*(M13:V13&gt;=$B$5)*(N13:W13&lt;$B$5)*(COLUMN(M13:V13)-COLUMN(M13)+1))))</f>
        <v>0</v>
      </c>
      <c r="Y13" s="9" t="str">
        <f t="shared" si="6"/>
        <v/>
      </c>
      <c r="Z13" s="9" t="str">
        <f t="shared" si="7"/>
        <v/>
      </c>
      <c r="AA13" s="13" t="str">
        <f t="shared" si="8"/>
        <v/>
      </c>
      <c r="AB13" s="13" t="str">
        <f t="shared" si="9"/>
        <v/>
      </c>
      <c r="AC13" s="18">
        <f t="shared" si="10"/>
        <v>10</v>
      </c>
      <c r="AD13" s="18">
        <f>IFERROR(LARGE(INDEX(H_Curve!$B$1:$F$100,4+($B13-1)*17+1,1):INDEX(H_Curve!$B$1:$F$100,4+($B13-1)*17+1,5),COUNTIF(INDEX(H_Curve!$B$1:$F$100,4+($B13-1)*17+1,1):INDEX(H_Curve!$B$1:$F$100,4+($B13-1)*17+1,5),"&gt;"&amp;$B$4)+1),0)</f>
        <v>210</v>
      </c>
      <c r="AE13" s="18">
        <f>IFERROR(SMALL(INDEX(H_Curve!$B$1:$F$100,4+($B13-1)*17+1,1):INDEX(H_Curve!$B$1:$F$100,4+($B13-1)*17+1,5),COUNTIF(INDEX(H_Curve!$B$1:$F$100,4+($B13-1)*17+1,1):INDEX(H_Curve!$B$1:$F$100,4+($B13-1)*17+1,5),"&lt;"&amp;$B$4)+1),1000000000)</f>
        <v>1000000000</v>
      </c>
      <c r="AF13" s="18">
        <f>IFERROR(IF(AD13=0,MATCH(AE13,INDEX(H_Curve!$B$1:$F$100,4+($B13-1)*17+1,1):INDEX(H_Curve!$B$1:$F$100,4+($B13-1)*17+1,5),0),MATCH(AD13,INDEX(H_Curve!$B$1:$F$100,4+($B13-1)*17+1,1):INDEX(H_Curve!$B$1:$F$100,4+($B13-1)*17+1,5),0)),"")</f>
        <v>4</v>
      </c>
      <c r="AG13" s="18">
        <f>IFERROR(IF(AE13&gt;=1000000000,MATCH(AD13,INDEX(H_Curve!$B$1:$F$100,4+($B13-1)*17+1,1):INDEX(H_Curve!$B$1:$F$100,4+($B13-1)*17+1,5),0),MATCH(AE13,INDEX(H_Curve!$B$1:$F$100,4+($B13-1)*17+1,1):INDEX(H_Curve!$B$1:$F$100,4+($B13-1)*17+1,5),0)),"")</f>
        <v>4</v>
      </c>
      <c r="AH13" s="13">
        <f t="shared" si="11"/>
        <v>0</v>
      </c>
      <c r="AI13" s="18">
        <f>IFERROR(LARGE(INDEX(H_Curve!$B$1:$F$100,4+($B13)*17+1,1):INDEX(H_Curve!$B$1:$F$100,4+($B13)*17+1,5),COUNTIF(INDEX(H_Curve!$B$1:$F$100,4+($B13)*17+1,1):INDEX(H_Curve!$B$1:$F$100,4+($B13)*17+1,5),"&gt;"&amp;$B$4)+1),0)</f>
        <v>300</v>
      </c>
      <c r="AJ13" s="18">
        <f>IFERROR(SMALL(INDEX(H_Curve!$B$1:$F$100,4+($B13)*17+1,1):INDEX(H_Curve!$B$1:$F$100,4+($B13)*17+1,5),COUNTIF(INDEX(H_Curve!$B$1:$F$100,4+($B13)*17+1,1):INDEX(H_Curve!$B$1:$F$100,4+($B13)*17+1,5),"&lt;"&amp;$B$4)+1),1000000000)</f>
        <v>1000000000</v>
      </c>
      <c r="AK13" s="18">
        <f>IFERROR(IF(AI13=0,MATCH(AJ13,INDEX(H_Curve!$B$1:$F$100,4+($B13)*17+1,1):INDEX(H_Curve!$B$1:$F$100,4+($B13)*17+1,5),0),MATCH(AI13,INDEX(H_Curve!$B$1:$F$100,4+($B13)*17+1,1):INDEX(H_Curve!$B$1:$F$100,4+($B13)*17+1,5),0)),"")</f>
        <v>4</v>
      </c>
      <c r="AL13" s="18">
        <f>IFERROR(IF(AJ13&gt;=1000000000,MATCH(AI13,INDEX(H_Curve!$B$1:$F$100,4+($B13)*17+1,1):INDEX(H_Curve!$B$1:$F$100,4+($B13)*17+1,5),0),MATCH(AJ13,INDEX(H_Curve!$B$1:$F$100,4+($B13)*17+1,1):INDEX(H_Curve!$B$1:$F$100,4+($B13)*17+1,5),0)),"")</f>
        <v>4</v>
      </c>
      <c r="AM13" s="13">
        <f t="shared" si="12"/>
        <v>0</v>
      </c>
    </row>
    <row r="14" spans="1:39" x14ac:dyDescent="0.25">
      <c r="A14" s="12">
        <v>900</v>
      </c>
      <c r="B14" s="18">
        <f>IFERROR(MAX(1,MIN(MATCH(A14,H_Parametri!$A$14:$A$16,1),H_Parametri!$B$10-1)),1)</f>
        <v>1</v>
      </c>
      <c r="C14" s="13">
        <f>(A14-INDEX(H_Parametri!$A$14:$A$16,B14))/(INDEX(H_Parametri!$A$14:$A$16,B14+1)-INDEX(H_Parametri!$A$14:$A$16,B14))</f>
        <v>0.8</v>
      </c>
      <c r="D14" s="34">
        <f>IFERROR(MAX(0.000001,(IF($C14=0,INDEX(H_Parametri!$A$14:$A$16,$B14)/1000*IF($AH14=0,INDEX(H_Curve!$B$1:$F$100,4+($B14-1)*17+2,$AF14),(1-$AH14)*INDEX(H_Curve!$B$1:$F$100,4+($B14-1)*17+2,$AF14)+$AH14*INDEX(H_Curve!$B$1:$F$100,4+($B14-1)*17+2,$AG14)),IF($C14=1,INDEX(H_Parametri!$A$14:$A$16,$B14+1)/1000*IF($AM14=0,INDEX(H_Curve!$B$1:$F$100,4+($B14)*17+2,$AK14),(1-$AM14)*INDEX(H_Curve!$B$1:$F$100,4+($B14)*17+2,$AK14)+$AM14*INDEX(H_Curve!$B$1:$F$100,4+($B14)*17+2,$AL14)),(1-$C14)*INDEX(H_Parametri!$A$14:$A$16,$B14)/1000*IF($AH14=0,INDEX(H_Curve!$B$1:$F$100,4+($B14-1)*17+2,$AF14),(1-$AH14)*INDEX(H_Curve!$B$1:$F$100,4+($B14-1)*17+2,$AF14)+$AH14*INDEX(H_Curve!$B$1:$F$100,4+($B14-1)*17+2,$AG14))+$C14*INDEX(H_Parametri!$A$14:$A$16,$B14+1)/1000*IF($AM14=0,INDEX(H_Curve!$B$1:$F$100,4+($B14)*17+2,$AK14),(1-$AM14)*INDEX(H_Curve!$B$1:$F$100,4+($B14)*17+2,$AK14)+$AM14*INDEX(H_Curve!$B$1:$F$100,4+($B14)*17+2,$AL14)))))/(A14/1000)),"")</f>
        <v>1.9072517639892664E-2</v>
      </c>
      <c r="E14" s="23">
        <f t="shared" si="0"/>
        <v>8.5826329379516988</v>
      </c>
      <c r="F14" s="14">
        <f t="shared" si="1"/>
        <v>1.4564295234771169E-2</v>
      </c>
      <c r="G14" s="13">
        <f t="shared" si="2"/>
        <v>2.9128590469542338E-2</v>
      </c>
      <c r="H14" s="13">
        <f>IFERROR(INDEX(M14:W14,ROUND(H_Parametri!$B$9*2,0))/E14,"")</f>
        <v>0.17849282958326498</v>
      </c>
      <c r="I14" s="24" t="str">
        <f t="shared" si="3"/>
        <v>&gt; x max</v>
      </c>
      <c r="J14" s="23">
        <f t="shared" si="4"/>
        <v>0.77812290866033196</v>
      </c>
      <c r="K14" s="23">
        <f t="shared" si="5"/>
        <v>3.1124916346413278</v>
      </c>
      <c r="L14" s="5" t="str">
        <f>IF(E14="","",IF(OR(H_Parametri!$B$10&lt;2,A14&lt;INDEX(H_Parametri!$A$14:$A$16,1),A14&gt;INDEX(H_Parametri!$A$14:$A$16,H_Parametri!$B$10)),"L fuori campo: estrapolazione",IF(OR($B$4&lt;((1-C14)*INDEX(H_Parametri!$E$14:$E$16,B14)+C14*INDEX(H_Parametri!$E$14:$E$16,B14+1))*0.99,$B$4&gt;((1-C14)*INDEX(H_Parametri!$F$14:$F$16,B14)+C14*INDEX(H_Parametri!$F$14:$F$16,B14+1))*1.01),"Q fuori dal campo dei dati (estrapolazione)",IF(I14="&gt; x max","Il getto raggiunge la parete (lancio &gt; x max)",IF(I14="n.d.","Dati CFD non coprono tutta la distanza (curva incompleta)",IF(NOT(ISNUMBER(I14)),"vₜ non raggiunta / &lt; 0,5 m",IF(IFERROR(G14&gt;H14,FALSE()),"vₜ nel campo vicino (x &lt; "&amp;H_Parametri!$B$9&amp;" m): lancio poco significativo",IF(I14&gt;$B$7,"Oltre x max: influenzato dalla parete","OK"))))))))</f>
        <v>Q fuori dal campo dei dati (estrapolazione)</v>
      </c>
      <c r="M14" s="13">
        <f>IF(E14="","",IFERROR(MAX(0.0001,$B$4*(IF($C14=0,INDEX(H_Parametri!$A$14:$A$16,$B14)/1000*IF($AH14=0,INDEX(H_Curve!$B$1:$F$100,4+($B14-1)*17+3+M$9*2,$AF14),(1-$AH14)*INDEX(H_Curve!$B$1:$F$100,4+($B14-1)*17+3+M$9*2,$AF14)+$AH14*INDEX(H_Curve!$B$1:$F$100,4+($B14-1)*17+3+M$9*2,$AG14)),IF($C14=1,INDEX(H_Parametri!$A$14:$A$16,$B14+1)/1000*IF($AM14=0,INDEX(H_Curve!$B$1:$F$100,4+($B14)*17+3+M$9*2,$AK14),(1-$AM14)*INDEX(H_Curve!$B$1:$F$100,4+($B14)*17+3+M$9*2,$AK14)+$AM14*INDEX(H_Curve!$B$1:$F$100,4+($B14)*17+3+M$9*2,$AL14)),(1-$C14)*INDEX(H_Parametri!$A$14:$A$16,$B14)/1000*IF($AH14=0,INDEX(H_Curve!$B$1:$F$100,4+($B14-1)*17+3+M$9*2,$AF14),(1-$AH14)*INDEX(H_Curve!$B$1:$F$100,4+($B14-1)*17+3+M$9*2,$AF14)+$AH14*INDEX(H_Curve!$B$1:$F$100,4+($B14-1)*17+3+M$9*2,$AG14))+$C14*INDEX(H_Parametri!$A$14:$A$16,$B14+1)/1000*IF($AM14=0,INDEX(H_Curve!$B$1:$F$100,4+($B14)*17+3+M$9*2,$AK14),(1-$AM14)*INDEX(H_Curve!$B$1:$F$100,4+($B14)*17+3+M$9*2,$AK14)+$AM14*INDEX(H_Curve!$B$1:$F$100,4+($B14)*17+3+M$9*2,$AL14)))))/($A14/1000)),""))</f>
        <v>1.3917068837093924</v>
      </c>
      <c r="N14" s="13">
        <f>IF(E14="","",IFERROR(MAX(0.0001,$B$4*(IF($C14=0,INDEX(H_Parametri!$A$14:$A$16,$B14)/1000*IF($AH14=0,INDEX(H_Curve!$B$1:$F$100,4+($B14-1)*17+3+N$9*2,$AF14),(1-$AH14)*INDEX(H_Curve!$B$1:$F$100,4+($B14-1)*17+3+N$9*2,$AF14)+$AH14*INDEX(H_Curve!$B$1:$F$100,4+($B14-1)*17+3+N$9*2,$AG14)),IF($C14=1,INDEX(H_Parametri!$A$14:$A$16,$B14+1)/1000*IF($AM14=0,INDEX(H_Curve!$B$1:$F$100,4+($B14)*17+3+N$9*2,$AK14),(1-$AM14)*INDEX(H_Curve!$B$1:$F$100,4+($B14)*17+3+N$9*2,$AK14)+$AM14*INDEX(H_Curve!$B$1:$F$100,4+($B14)*17+3+N$9*2,$AL14)),(1-$C14)*INDEX(H_Parametri!$A$14:$A$16,$B14)/1000*IF($AH14=0,INDEX(H_Curve!$B$1:$F$100,4+($B14-1)*17+3+N$9*2,$AF14),(1-$AH14)*INDEX(H_Curve!$B$1:$F$100,4+($B14-1)*17+3+N$9*2,$AF14)+$AH14*INDEX(H_Curve!$B$1:$F$100,4+($B14-1)*17+3+N$9*2,$AG14))+$C14*INDEX(H_Parametri!$A$14:$A$16,$B14+1)/1000*IF($AM14=0,INDEX(H_Curve!$B$1:$F$100,4+($B14)*17+3+N$9*2,$AK14),(1-$AM14)*INDEX(H_Curve!$B$1:$F$100,4+($B14)*17+3+N$9*2,$AK14)+$AM14*INDEX(H_Curve!$B$1:$F$100,4+($B14)*17+3+N$9*2,$AL14)))))/($A14/1000)),""))</f>
        <v>1.5319384383695294</v>
      </c>
      <c r="O14" s="13">
        <f>IF(E14="","",IFERROR(MAX(0.0001,$B$4*(IF($C14=0,INDEX(H_Parametri!$A$14:$A$16,$B14)/1000*IF($AH14=0,INDEX(H_Curve!$B$1:$F$100,4+($B14-1)*17+3+O$9*2,$AF14),(1-$AH14)*INDEX(H_Curve!$B$1:$F$100,4+($B14-1)*17+3+O$9*2,$AF14)+$AH14*INDEX(H_Curve!$B$1:$F$100,4+($B14-1)*17+3+O$9*2,$AG14)),IF($C14=1,INDEX(H_Parametri!$A$14:$A$16,$B14+1)/1000*IF($AM14=0,INDEX(H_Curve!$B$1:$F$100,4+($B14)*17+3+O$9*2,$AK14),(1-$AM14)*INDEX(H_Curve!$B$1:$F$100,4+($B14)*17+3+O$9*2,$AK14)+$AM14*INDEX(H_Curve!$B$1:$F$100,4+($B14)*17+3+O$9*2,$AL14)),(1-$C14)*INDEX(H_Parametri!$A$14:$A$16,$B14)/1000*IF($AH14=0,INDEX(H_Curve!$B$1:$F$100,4+($B14-1)*17+3+O$9*2,$AF14),(1-$AH14)*INDEX(H_Curve!$B$1:$F$100,4+($B14-1)*17+3+O$9*2,$AF14)+$AH14*INDEX(H_Curve!$B$1:$F$100,4+($B14-1)*17+3+O$9*2,$AG14))+$C14*INDEX(H_Parametri!$A$14:$A$16,$B14+1)/1000*IF($AM14=0,INDEX(H_Curve!$B$1:$F$100,4+($B14)*17+3+O$9*2,$AK14),(1-$AM14)*INDEX(H_Curve!$B$1:$F$100,4+($B14)*17+3+O$9*2,$AK14)+$AM14*INDEX(H_Curve!$B$1:$F$100,4+($B14)*17+3+O$9*2,$AL14)))))/($A14/1000)),""))</f>
        <v>1.4800346238843176</v>
      </c>
      <c r="P14" s="13">
        <f>IF(E14="","",IFERROR(MAX(0.0001,$B$4*(IF($C14=0,INDEX(H_Parametri!$A$14:$A$16,$B14)/1000*IF($AH14=0,INDEX(H_Curve!$B$1:$F$100,4+($B14-1)*17+3+P$9*2,$AF14),(1-$AH14)*INDEX(H_Curve!$B$1:$F$100,4+($B14-1)*17+3+P$9*2,$AF14)+$AH14*INDEX(H_Curve!$B$1:$F$100,4+($B14-1)*17+3+P$9*2,$AG14)),IF($C14=1,INDEX(H_Parametri!$A$14:$A$16,$B14+1)/1000*IF($AM14=0,INDEX(H_Curve!$B$1:$F$100,4+($B14)*17+3+P$9*2,$AK14),(1-$AM14)*INDEX(H_Curve!$B$1:$F$100,4+($B14)*17+3+P$9*2,$AK14)+$AM14*INDEX(H_Curve!$B$1:$F$100,4+($B14)*17+3+P$9*2,$AL14)),(1-$C14)*INDEX(H_Parametri!$A$14:$A$16,$B14)/1000*IF($AH14=0,INDEX(H_Curve!$B$1:$F$100,4+($B14-1)*17+3+P$9*2,$AF14),(1-$AH14)*INDEX(H_Curve!$B$1:$F$100,4+($B14-1)*17+3+P$9*2,$AF14)+$AH14*INDEX(H_Curve!$B$1:$F$100,4+($B14-1)*17+3+P$9*2,$AG14))+$C14*INDEX(H_Parametri!$A$14:$A$16,$B14+1)/1000*IF($AM14=0,INDEX(H_Curve!$B$1:$F$100,4+($B14)*17+3+P$9*2,$AK14),(1-$AM14)*INDEX(H_Curve!$B$1:$F$100,4+($B14)*17+3+P$9*2,$AK14)+$AM14*INDEX(H_Curve!$B$1:$F$100,4+($B14)*17+3+P$9*2,$AL14)))))/($A14/1000)),""))</f>
        <v>1.3459461638313095</v>
      </c>
      <c r="Q14" s="13">
        <f>IF(E14="","",IFERROR(MAX(0.0001,$B$4*(IF($C14=0,INDEX(H_Parametri!$A$14:$A$16,$B14)/1000*IF($AH14=0,INDEX(H_Curve!$B$1:$F$100,4+($B14-1)*17+3+Q$9*2,$AF14),(1-$AH14)*INDEX(H_Curve!$B$1:$F$100,4+($B14-1)*17+3+Q$9*2,$AF14)+$AH14*INDEX(H_Curve!$B$1:$F$100,4+($B14-1)*17+3+Q$9*2,$AG14)),IF($C14=1,INDEX(H_Parametri!$A$14:$A$16,$B14+1)/1000*IF($AM14=0,INDEX(H_Curve!$B$1:$F$100,4+($B14)*17+3+Q$9*2,$AK14),(1-$AM14)*INDEX(H_Curve!$B$1:$F$100,4+($B14)*17+3+Q$9*2,$AK14)+$AM14*INDEX(H_Curve!$B$1:$F$100,4+($B14)*17+3+Q$9*2,$AL14)),(1-$C14)*INDEX(H_Parametri!$A$14:$A$16,$B14)/1000*IF($AH14=0,INDEX(H_Curve!$B$1:$F$100,4+($B14-1)*17+3+Q$9*2,$AF14),(1-$AH14)*INDEX(H_Curve!$B$1:$F$100,4+($B14-1)*17+3+Q$9*2,$AF14)+$AH14*INDEX(H_Curve!$B$1:$F$100,4+($B14-1)*17+3+Q$9*2,$AG14))+$C14*INDEX(H_Parametri!$A$14:$A$16,$B14+1)/1000*IF($AM14=0,INDEX(H_Curve!$B$1:$F$100,4+($B14)*17+3+Q$9*2,$AK14),(1-$AM14)*INDEX(H_Curve!$B$1:$F$100,4+($B14)*17+3+Q$9*2,$AK14)+$AM14*INDEX(H_Curve!$B$1:$F$100,4+($B14)*17+3+Q$9*2,$AL14)))))/($A14/1000)),""))</f>
        <v>1.2143468504178179</v>
      </c>
      <c r="R14" s="13">
        <f>IF(E14="","",IFERROR(MAX(0.0001,$B$4*(IF($C14=0,INDEX(H_Parametri!$A$14:$A$16,$B14)/1000*IF($AH14=0,INDEX(H_Curve!$B$1:$F$100,4+($B14-1)*17+3+R$9*2,$AF14),(1-$AH14)*INDEX(H_Curve!$B$1:$F$100,4+($B14-1)*17+3+R$9*2,$AF14)+$AH14*INDEX(H_Curve!$B$1:$F$100,4+($B14-1)*17+3+R$9*2,$AG14)),IF($C14=1,INDEX(H_Parametri!$A$14:$A$16,$B14+1)/1000*IF($AM14=0,INDEX(H_Curve!$B$1:$F$100,4+($B14)*17+3+R$9*2,$AK14),(1-$AM14)*INDEX(H_Curve!$B$1:$F$100,4+($B14)*17+3+R$9*2,$AK14)+$AM14*INDEX(H_Curve!$B$1:$F$100,4+($B14)*17+3+R$9*2,$AL14)),(1-$C14)*INDEX(H_Parametri!$A$14:$A$16,$B14)/1000*IF($AH14=0,INDEX(H_Curve!$B$1:$F$100,4+($B14-1)*17+3+R$9*2,$AF14),(1-$AH14)*INDEX(H_Curve!$B$1:$F$100,4+($B14-1)*17+3+R$9*2,$AF14)+$AH14*INDEX(H_Curve!$B$1:$F$100,4+($B14-1)*17+3+R$9*2,$AG14))+$C14*INDEX(H_Parametri!$A$14:$A$16,$B14+1)/1000*IF($AM14=0,INDEX(H_Curve!$B$1:$F$100,4+($B14)*17+3+R$9*2,$AK14),(1-$AM14)*INDEX(H_Curve!$B$1:$F$100,4+($B14)*17+3+R$9*2,$AK14)+$AM14*INDEX(H_Curve!$B$1:$F$100,4+($B14)*17+3+R$9*2,$AL14)))))/($A14/1000)),""))</f>
        <v>1.0963813249014238</v>
      </c>
      <c r="S14" s="13">
        <f>IF(E14="","",IFERROR(MAX(0.0001,$B$4*(IF($C14=0,INDEX(H_Parametri!$A$14:$A$16,$B14)/1000*IF($AH14=0,INDEX(H_Curve!$B$1:$F$100,4+($B14-1)*17+3+S$9*2,$AF14),(1-$AH14)*INDEX(H_Curve!$B$1:$F$100,4+($B14-1)*17+3+S$9*2,$AF14)+$AH14*INDEX(H_Curve!$B$1:$F$100,4+($B14-1)*17+3+S$9*2,$AG14)),IF($C14=1,INDEX(H_Parametri!$A$14:$A$16,$B14+1)/1000*IF($AM14=0,INDEX(H_Curve!$B$1:$F$100,4+($B14)*17+3+S$9*2,$AK14),(1-$AM14)*INDEX(H_Curve!$B$1:$F$100,4+($B14)*17+3+S$9*2,$AK14)+$AM14*INDEX(H_Curve!$B$1:$F$100,4+($B14)*17+3+S$9*2,$AL14)),(1-$C14)*INDEX(H_Parametri!$A$14:$A$16,$B14)/1000*IF($AH14=0,INDEX(H_Curve!$B$1:$F$100,4+($B14-1)*17+3+S$9*2,$AF14),(1-$AH14)*INDEX(H_Curve!$B$1:$F$100,4+($B14-1)*17+3+S$9*2,$AF14)+$AH14*INDEX(H_Curve!$B$1:$F$100,4+($B14-1)*17+3+S$9*2,$AG14))+$C14*INDEX(H_Parametri!$A$14:$A$16,$B14+1)/1000*IF($AM14=0,INDEX(H_Curve!$B$1:$F$100,4+($B14)*17+3+S$9*2,$AK14),(1-$AM14)*INDEX(H_Curve!$B$1:$F$100,4+($B14)*17+3+S$9*2,$AK14)+$AM14*INDEX(H_Curve!$B$1:$F$100,4+($B14)*17+3+S$9*2,$AL14)))))/($A14/1000)),""))</f>
        <v>0.99791014816612111</v>
      </c>
      <c r="T14" s="13">
        <f>IF(E14="","",IFERROR(MAX(0.0001,$B$4*(IF($C14=0,INDEX(H_Parametri!$A$14:$A$16,$B14)/1000*IF($AH14=0,INDEX(H_Curve!$B$1:$F$100,4+($B14-1)*17+3+T$9*2,$AF14),(1-$AH14)*INDEX(H_Curve!$B$1:$F$100,4+($B14-1)*17+3+T$9*2,$AF14)+$AH14*INDEX(H_Curve!$B$1:$F$100,4+($B14-1)*17+3+T$9*2,$AG14)),IF($C14=1,INDEX(H_Parametri!$A$14:$A$16,$B14+1)/1000*IF($AM14=0,INDEX(H_Curve!$B$1:$F$100,4+($B14)*17+3+T$9*2,$AK14),(1-$AM14)*INDEX(H_Curve!$B$1:$F$100,4+($B14)*17+3+T$9*2,$AK14)+$AM14*INDEX(H_Curve!$B$1:$F$100,4+($B14)*17+3+T$9*2,$AL14)),(1-$C14)*INDEX(H_Parametri!$A$14:$A$16,$B14)/1000*IF($AH14=0,INDEX(H_Curve!$B$1:$F$100,4+($B14-1)*17+3+T$9*2,$AF14),(1-$AH14)*INDEX(H_Curve!$B$1:$F$100,4+($B14-1)*17+3+T$9*2,$AF14)+$AH14*INDEX(H_Curve!$B$1:$F$100,4+($B14-1)*17+3+T$9*2,$AG14))+$C14*INDEX(H_Parametri!$A$14:$A$16,$B14+1)/1000*IF($AM14=0,INDEX(H_Curve!$B$1:$F$100,4+($B14)*17+3+T$9*2,$AK14),(1-$AM14)*INDEX(H_Curve!$B$1:$F$100,4+($B14)*17+3+T$9*2,$AK14)+$AM14*INDEX(H_Curve!$B$1:$F$100,4+($B14)*17+3+T$9*2,$AL14)))))/($A14/1000)),""))</f>
        <v>0.9271547668696738</v>
      </c>
      <c r="U14" s="13">
        <f>IF(E14="","",IFERROR(MAX(0.0001,$B$4*(IF($C14=0,INDEX(H_Parametri!$A$14:$A$16,$B14)/1000*IF($AH14=0,INDEX(H_Curve!$B$1:$F$100,4+($B14-1)*17+3+U$9*2,$AF14),(1-$AH14)*INDEX(H_Curve!$B$1:$F$100,4+($B14-1)*17+3+U$9*2,$AF14)+$AH14*INDEX(H_Curve!$B$1:$F$100,4+($B14-1)*17+3+U$9*2,$AG14)),IF($C14=1,INDEX(H_Parametri!$A$14:$A$16,$B14+1)/1000*IF($AM14=0,INDEX(H_Curve!$B$1:$F$100,4+($B14)*17+3+U$9*2,$AK14),(1-$AM14)*INDEX(H_Curve!$B$1:$F$100,4+($B14)*17+3+U$9*2,$AK14)+$AM14*INDEX(H_Curve!$B$1:$F$100,4+($B14)*17+3+U$9*2,$AL14)),(1-$C14)*INDEX(H_Parametri!$A$14:$A$16,$B14)/1000*IF($AH14=0,INDEX(H_Curve!$B$1:$F$100,4+($B14-1)*17+3+U$9*2,$AF14),(1-$AH14)*INDEX(H_Curve!$B$1:$F$100,4+($B14-1)*17+3+U$9*2,$AF14)+$AH14*INDEX(H_Curve!$B$1:$F$100,4+($B14-1)*17+3+U$9*2,$AG14))+$C14*INDEX(H_Parametri!$A$14:$A$16,$B14+1)/1000*IF($AM14=0,INDEX(H_Curve!$B$1:$F$100,4+($B14)*17+3+U$9*2,$AK14),(1-$AM14)*INDEX(H_Curve!$B$1:$F$100,4+($B14)*17+3+U$9*2,$AK14)+$AM14*INDEX(H_Curve!$B$1:$F$100,4+($B14)*17+3+U$9*2,$AL14)))))/($A14/1000)),""))</f>
        <v>0.87098436773845034</v>
      </c>
      <c r="V14" s="13">
        <f>IF(E14="","",IFERROR(MAX(0.0001,$B$4*(IF($C14=0,INDEX(H_Parametri!$A$14:$A$16,$B14)/1000*IF($AH14=0,INDEX(H_Curve!$B$1:$F$100,4+($B14-1)*17+3+V$9*2,$AF14),(1-$AH14)*INDEX(H_Curve!$B$1:$F$100,4+($B14-1)*17+3+V$9*2,$AF14)+$AH14*INDEX(H_Curve!$B$1:$F$100,4+($B14-1)*17+3+V$9*2,$AG14)),IF($C14=1,INDEX(H_Parametri!$A$14:$A$16,$B14+1)/1000*IF($AM14=0,INDEX(H_Curve!$B$1:$F$100,4+($B14)*17+3+V$9*2,$AK14),(1-$AM14)*INDEX(H_Curve!$B$1:$F$100,4+($B14)*17+3+V$9*2,$AK14)+$AM14*INDEX(H_Curve!$B$1:$F$100,4+($B14)*17+3+V$9*2,$AL14)),(1-$C14)*INDEX(H_Parametri!$A$14:$A$16,$B14)/1000*IF($AH14=0,INDEX(H_Curve!$B$1:$F$100,4+($B14-1)*17+3+V$9*2,$AF14),(1-$AH14)*INDEX(H_Curve!$B$1:$F$100,4+($B14-1)*17+3+V$9*2,$AF14)+$AH14*INDEX(H_Curve!$B$1:$F$100,4+($B14-1)*17+3+V$9*2,$AG14))+$C14*INDEX(H_Parametri!$A$14:$A$16,$B14+1)/1000*IF($AM14=0,INDEX(H_Curve!$B$1:$F$100,4+($B14)*17+3+V$9*2,$AK14),(1-$AM14)*INDEX(H_Curve!$B$1:$F$100,4+($B14)*17+3+V$9*2,$AK14)+$AM14*INDEX(H_Curve!$B$1:$F$100,4+($B14)*17+3+V$9*2,$AL14)))))/($A14/1000)),""))</f>
        <v>0.77812290866033196</v>
      </c>
      <c r="W14" s="13">
        <f>IF(E14="","",IFERROR(MAX(0.0001,$B$4*(IF($C14=0,INDEX(H_Parametri!$A$14:$A$16,$B14)/1000*IF($AH14=0,INDEX(H_Curve!$B$1:$F$100,4+($B14-1)*17+3+W$9*2,$AF14),(1-$AH14)*INDEX(H_Curve!$B$1:$F$100,4+($B14-1)*17+3+W$9*2,$AF14)+$AH14*INDEX(H_Curve!$B$1:$F$100,4+($B14-1)*17+3+W$9*2,$AG14)),IF($C14=1,INDEX(H_Parametri!$A$14:$A$16,$B14+1)/1000*IF($AM14=0,INDEX(H_Curve!$B$1:$F$100,4+($B14)*17+3+W$9*2,$AK14),(1-$AM14)*INDEX(H_Curve!$B$1:$F$100,4+($B14)*17+3+W$9*2,$AK14)+$AM14*INDEX(H_Curve!$B$1:$F$100,4+($B14)*17+3+W$9*2,$AL14)),(1-$C14)*INDEX(H_Parametri!$A$14:$A$16,$B14)/1000*IF($AH14=0,INDEX(H_Curve!$B$1:$F$100,4+($B14-1)*17+3+W$9*2,$AF14),(1-$AH14)*INDEX(H_Curve!$B$1:$F$100,4+($B14-1)*17+3+W$9*2,$AF14)+$AH14*INDEX(H_Curve!$B$1:$F$100,4+($B14-1)*17+3+W$9*2,$AG14))+$C14*INDEX(H_Parametri!$A$14:$A$16,$B14+1)/1000*IF($AM14=0,INDEX(H_Curve!$B$1:$F$100,4+($B14)*17+3+W$9*2,$AK14),(1-$AM14)*INDEX(H_Curve!$B$1:$F$100,4+($B14)*17+3+W$9*2,$AK14)+$AM14*INDEX(H_Curve!$B$1:$F$100,4+($B14)*17+3+W$9*2,$AL14)))))/($A14/1000)),""))</f>
        <v>0.5790302934551409</v>
      </c>
      <c r="X14" s="18">
        <f t="array" ref="X14">IF(E14="","",SUMPRODUCT(MAX(ISNUMBER(M14:V14)*ISNUMBER(N14:W14)*(M14:V14&gt;=$B$5)*(N14:W14&lt;$B$5)*(COLUMN(M14:V14)-COLUMN(M14)+1))))</f>
        <v>0</v>
      </c>
      <c r="Y14" s="9" t="str">
        <f t="shared" si="6"/>
        <v/>
      </c>
      <c r="Z14" s="9" t="str">
        <f t="shared" si="7"/>
        <v/>
      </c>
      <c r="AA14" s="13" t="str">
        <f t="shared" si="8"/>
        <v/>
      </c>
      <c r="AB14" s="13" t="str">
        <f t="shared" si="9"/>
        <v/>
      </c>
      <c r="AC14" s="18">
        <f t="shared" si="10"/>
        <v>10</v>
      </c>
      <c r="AD14" s="18">
        <f>IFERROR(LARGE(INDEX(H_Curve!$B$1:$F$100,4+($B14-1)*17+1,1):INDEX(H_Curve!$B$1:$F$100,4+($B14-1)*17+1,5),COUNTIF(INDEX(H_Curve!$B$1:$F$100,4+($B14-1)*17+1,1):INDEX(H_Curve!$B$1:$F$100,4+($B14-1)*17+1,5),"&gt;"&amp;$B$4)+1),0)</f>
        <v>210</v>
      </c>
      <c r="AE14" s="18">
        <f>IFERROR(SMALL(INDEX(H_Curve!$B$1:$F$100,4+($B14-1)*17+1,1):INDEX(H_Curve!$B$1:$F$100,4+($B14-1)*17+1,5),COUNTIF(INDEX(H_Curve!$B$1:$F$100,4+($B14-1)*17+1,1):INDEX(H_Curve!$B$1:$F$100,4+($B14-1)*17+1,5),"&lt;"&amp;$B$4)+1),1000000000)</f>
        <v>1000000000</v>
      </c>
      <c r="AF14" s="18">
        <f>IFERROR(IF(AD14=0,MATCH(AE14,INDEX(H_Curve!$B$1:$F$100,4+($B14-1)*17+1,1):INDEX(H_Curve!$B$1:$F$100,4+($B14-1)*17+1,5),0),MATCH(AD14,INDEX(H_Curve!$B$1:$F$100,4+($B14-1)*17+1,1):INDEX(H_Curve!$B$1:$F$100,4+($B14-1)*17+1,5),0)),"")</f>
        <v>4</v>
      </c>
      <c r="AG14" s="18">
        <f>IFERROR(IF(AE14&gt;=1000000000,MATCH(AD14,INDEX(H_Curve!$B$1:$F$100,4+($B14-1)*17+1,1):INDEX(H_Curve!$B$1:$F$100,4+($B14-1)*17+1,5),0),MATCH(AE14,INDEX(H_Curve!$B$1:$F$100,4+($B14-1)*17+1,1):INDEX(H_Curve!$B$1:$F$100,4+($B14-1)*17+1,5),0)),"")</f>
        <v>4</v>
      </c>
      <c r="AH14" s="13">
        <f t="shared" si="11"/>
        <v>0</v>
      </c>
      <c r="AI14" s="18">
        <f>IFERROR(LARGE(INDEX(H_Curve!$B$1:$F$100,4+($B14)*17+1,1):INDEX(H_Curve!$B$1:$F$100,4+($B14)*17+1,5),COUNTIF(INDEX(H_Curve!$B$1:$F$100,4+($B14)*17+1,1):INDEX(H_Curve!$B$1:$F$100,4+($B14)*17+1,5),"&gt;"&amp;$B$4)+1),0)</f>
        <v>300</v>
      </c>
      <c r="AJ14" s="18">
        <f>IFERROR(SMALL(INDEX(H_Curve!$B$1:$F$100,4+($B14)*17+1,1):INDEX(H_Curve!$B$1:$F$100,4+($B14)*17+1,5),COUNTIF(INDEX(H_Curve!$B$1:$F$100,4+($B14)*17+1,1):INDEX(H_Curve!$B$1:$F$100,4+($B14)*17+1,5),"&lt;"&amp;$B$4)+1),1000000000)</f>
        <v>1000000000</v>
      </c>
      <c r="AK14" s="18">
        <f>IFERROR(IF(AI14=0,MATCH(AJ14,INDEX(H_Curve!$B$1:$F$100,4+($B14)*17+1,1):INDEX(H_Curve!$B$1:$F$100,4+($B14)*17+1,5),0),MATCH(AI14,INDEX(H_Curve!$B$1:$F$100,4+($B14)*17+1,1):INDEX(H_Curve!$B$1:$F$100,4+($B14)*17+1,5),0)),"")</f>
        <v>4</v>
      </c>
      <c r="AL14" s="18">
        <f>IFERROR(IF(AJ14&gt;=1000000000,MATCH(AI14,INDEX(H_Curve!$B$1:$F$100,4+($B14)*17+1,1):INDEX(H_Curve!$B$1:$F$100,4+($B14)*17+1,5),0),MATCH(AJ14,INDEX(H_Curve!$B$1:$F$100,4+($B14)*17+1,1):INDEX(H_Curve!$B$1:$F$100,4+($B14)*17+1,5),0)),"")</f>
        <v>4</v>
      </c>
      <c r="AM14" s="13">
        <f t="shared" si="12"/>
        <v>0</v>
      </c>
    </row>
    <row r="15" spans="1:39" x14ac:dyDescent="0.25">
      <c r="A15" s="12">
        <v>1000</v>
      </c>
      <c r="B15" s="18">
        <f>IFERROR(MAX(1,MIN(MATCH(A15,H_Parametri!$A$14:$A$16,1),H_Parametri!$B$10-1)),1)</f>
        <v>2</v>
      </c>
      <c r="C15" s="13">
        <f>(A15-INDEX(H_Parametri!$A$14:$A$16,B15))/(INDEX(H_Parametri!$A$14:$A$16,B15+1)-INDEX(H_Parametri!$A$14:$A$16,B15))</f>
        <v>0</v>
      </c>
      <c r="D15" s="34">
        <f>IFERROR(MAX(0.000001,(IF($C15=0,INDEX(H_Parametri!$A$14:$A$16,$B15)/1000*IF($AH15=0,INDEX(H_Curve!$B$1:$F$100,4+($B15-1)*17+2,$AF15),(1-$AH15)*INDEX(H_Curve!$B$1:$F$100,4+($B15-1)*17+2,$AF15)+$AH15*INDEX(H_Curve!$B$1:$F$100,4+($B15-1)*17+2,$AG15)),IF($C15=1,INDEX(H_Parametri!$A$14:$A$16,$B15+1)/1000*IF($AM15=0,INDEX(H_Curve!$B$1:$F$100,4+($B15)*17+2,$AK15),(1-$AM15)*INDEX(H_Curve!$B$1:$F$100,4+($B15)*17+2,$AK15)+$AM15*INDEX(H_Curve!$B$1:$F$100,4+($B15)*17+2,$AL15)),(1-$C15)*INDEX(H_Parametri!$A$14:$A$16,$B15)/1000*IF($AH15=0,INDEX(H_Curve!$B$1:$F$100,4+($B15-1)*17+2,$AF15),(1-$AH15)*INDEX(H_Curve!$B$1:$F$100,4+($B15-1)*17+2,$AF15)+$AH15*INDEX(H_Curve!$B$1:$F$100,4+($B15-1)*17+2,$AG15))+$C15*INDEX(H_Parametri!$A$14:$A$16,$B15+1)/1000*IF($AM15=0,INDEX(H_Curve!$B$1:$F$100,4+($B15)*17+2,$AK15),(1-$AM15)*INDEX(H_Curve!$B$1:$F$100,4+($B15)*17+2,$AK15)+$AM15*INDEX(H_Curve!$B$1:$F$100,4+($B15)*17+2,$AL15)))))/(A15/1000)),"")</f>
        <v>1.6609380522250566E-2</v>
      </c>
      <c r="E15" s="23">
        <f t="shared" si="0"/>
        <v>7.4742212350127541</v>
      </c>
      <c r="F15" s="14">
        <f t="shared" si="1"/>
        <v>1.6724150392343411E-2</v>
      </c>
      <c r="G15" s="13">
        <f t="shared" si="2"/>
        <v>3.3448300784686823E-2</v>
      </c>
      <c r="H15" s="13">
        <f>IFERROR(INDEX(M15:W15,ROUND(H_Parametri!$B$9*2,0))/E15,"")</f>
        <v>0.17928845851431574</v>
      </c>
      <c r="I15" s="24" t="str">
        <f t="shared" si="3"/>
        <v>&gt; x max</v>
      </c>
      <c r="J15" s="23">
        <f t="shared" si="4"/>
        <v>0.68502325678941389</v>
      </c>
      <c r="K15" s="23">
        <f t="shared" si="5"/>
        <v>2.7400930271576556</v>
      </c>
      <c r="L15" s="5" t="str">
        <f>IF(E15="","",IF(OR(H_Parametri!$B$10&lt;2,A15&lt;INDEX(H_Parametri!$A$14:$A$16,1),A15&gt;INDEX(H_Parametri!$A$14:$A$16,H_Parametri!$B$10)),"L fuori campo: estrapolazione",IF(OR($B$4&lt;((1-C15)*INDEX(H_Parametri!$E$14:$E$16,B15)+C15*INDEX(H_Parametri!$E$14:$E$16,B15+1))*0.99,$B$4&gt;((1-C15)*INDEX(H_Parametri!$F$14:$F$16,B15)+C15*INDEX(H_Parametri!$F$14:$F$16,B15+1))*1.01),"Q fuori dal campo dei dati (estrapolazione)",IF(I15="&gt; x max","Il getto raggiunge la parete (lancio &gt; x max)",IF(I15="n.d.","Dati CFD non coprono tutta la distanza (curva incompleta)",IF(NOT(ISNUMBER(I15)),"vₜ non raggiunta / &lt; 0,5 m",IF(IFERROR(G15&gt;H15,FALSE()),"vₜ nel campo vicino (x &lt; "&amp;H_Parametri!$B$9&amp;" m): lancio poco significativo",IF(I15&gt;$B$7,"Oltre x max: influenzato dalla parete","OK"))))))))</f>
        <v>Q fuori dal campo dei dati (estrapolazione)</v>
      </c>
      <c r="M15" s="13">
        <f>IF(E15="","",IFERROR(MAX(0.0001,$B$4*(IF($C15=0,INDEX(H_Parametri!$A$14:$A$16,$B15)/1000*IF($AH15=0,INDEX(H_Curve!$B$1:$F$100,4+($B15-1)*17+3+M$9*2,$AF15),(1-$AH15)*INDEX(H_Curve!$B$1:$F$100,4+($B15-1)*17+3+M$9*2,$AF15)+$AH15*INDEX(H_Curve!$B$1:$F$100,4+($B15-1)*17+3+M$9*2,$AG15)),IF($C15=1,INDEX(H_Parametri!$A$14:$A$16,$B15+1)/1000*IF($AM15=0,INDEX(H_Curve!$B$1:$F$100,4+($B15)*17+3+M$9*2,$AK15),(1-$AM15)*INDEX(H_Curve!$B$1:$F$100,4+($B15)*17+3+M$9*2,$AK15)+$AM15*INDEX(H_Curve!$B$1:$F$100,4+($B15)*17+3+M$9*2,$AL15)),(1-$C15)*INDEX(H_Parametri!$A$14:$A$16,$B15)/1000*IF($AH15=0,INDEX(H_Curve!$B$1:$F$100,4+($B15-1)*17+3+M$9*2,$AF15),(1-$AH15)*INDEX(H_Curve!$B$1:$F$100,4+($B15-1)*17+3+M$9*2,$AF15)+$AH15*INDEX(H_Curve!$B$1:$F$100,4+($B15-1)*17+3+M$9*2,$AG15))+$C15*INDEX(H_Parametri!$A$14:$A$16,$B15+1)/1000*IF($AM15=0,INDEX(H_Curve!$B$1:$F$100,4+($B15)*17+3+M$9*2,$AK15),(1-$AM15)*INDEX(H_Curve!$B$1:$F$100,4+($B15)*17+3+M$9*2,$AK15)+$AM15*INDEX(H_Curve!$B$1:$F$100,4+($B15)*17+3+M$9*2,$AL15)))))/($A15/1000)),""))</f>
        <v>1.1224883975842099</v>
      </c>
      <c r="N15" s="13">
        <f>IF(E15="","",IFERROR(MAX(0.0001,$B$4*(IF($C15=0,INDEX(H_Parametri!$A$14:$A$16,$B15)/1000*IF($AH15=0,INDEX(H_Curve!$B$1:$F$100,4+($B15-1)*17+3+N$9*2,$AF15),(1-$AH15)*INDEX(H_Curve!$B$1:$F$100,4+($B15-1)*17+3+N$9*2,$AF15)+$AH15*INDEX(H_Curve!$B$1:$F$100,4+($B15-1)*17+3+N$9*2,$AG15)),IF($C15=1,INDEX(H_Parametri!$A$14:$A$16,$B15+1)/1000*IF($AM15=0,INDEX(H_Curve!$B$1:$F$100,4+($B15)*17+3+N$9*2,$AK15),(1-$AM15)*INDEX(H_Curve!$B$1:$F$100,4+($B15)*17+3+N$9*2,$AK15)+$AM15*INDEX(H_Curve!$B$1:$F$100,4+($B15)*17+3+N$9*2,$AL15)),(1-$C15)*INDEX(H_Parametri!$A$14:$A$16,$B15)/1000*IF($AH15=0,INDEX(H_Curve!$B$1:$F$100,4+($B15-1)*17+3+N$9*2,$AF15),(1-$AH15)*INDEX(H_Curve!$B$1:$F$100,4+($B15-1)*17+3+N$9*2,$AF15)+$AH15*INDEX(H_Curve!$B$1:$F$100,4+($B15-1)*17+3+N$9*2,$AG15))+$C15*INDEX(H_Parametri!$A$14:$A$16,$B15+1)/1000*IF($AM15=0,INDEX(H_Curve!$B$1:$F$100,4+($B15)*17+3+N$9*2,$AK15),(1-$AM15)*INDEX(H_Curve!$B$1:$F$100,4+($B15)*17+3+N$9*2,$AK15)+$AM15*INDEX(H_Curve!$B$1:$F$100,4+($B15)*17+3+N$9*2,$AL15)))))/($A15/1000)),""))</f>
        <v>1.3400416038204019</v>
      </c>
      <c r="O15" s="13">
        <f>IF(E15="","",IFERROR(MAX(0.0001,$B$4*(IF($C15=0,INDEX(H_Parametri!$A$14:$A$16,$B15)/1000*IF($AH15=0,INDEX(H_Curve!$B$1:$F$100,4+($B15-1)*17+3+O$9*2,$AF15),(1-$AH15)*INDEX(H_Curve!$B$1:$F$100,4+($B15-1)*17+3+O$9*2,$AF15)+$AH15*INDEX(H_Curve!$B$1:$F$100,4+($B15-1)*17+3+O$9*2,$AG15)),IF($C15=1,INDEX(H_Parametri!$A$14:$A$16,$B15+1)/1000*IF($AM15=0,INDEX(H_Curve!$B$1:$F$100,4+($B15)*17+3+O$9*2,$AK15),(1-$AM15)*INDEX(H_Curve!$B$1:$F$100,4+($B15)*17+3+O$9*2,$AK15)+$AM15*INDEX(H_Curve!$B$1:$F$100,4+($B15)*17+3+O$9*2,$AL15)),(1-$C15)*INDEX(H_Parametri!$A$14:$A$16,$B15)/1000*IF($AH15=0,INDEX(H_Curve!$B$1:$F$100,4+($B15-1)*17+3+O$9*2,$AF15),(1-$AH15)*INDEX(H_Curve!$B$1:$F$100,4+($B15-1)*17+3+O$9*2,$AF15)+$AH15*INDEX(H_Curve!$B$1:$F$100,4+($B15-1)*17+3+O$9*2,$AG15))+$C15*INDEX(H_Parametri!$A$14:$A$16,$B15+1)/1000*IF($AM15=0,INDEX(H_Curve!$B$1:$F$100,4+($B15)*17+3+O$9*2,$AK15),(1-$AM15)*INDEX(H_Curve!$B$1:$F$100,4+($B15)*17+3+O$9*2,$AK15)+$AM15*INDEX(H_Curve!$B$1:$F$100,4+($B15)*17+3+O$9*2,$AL15)))))/($A15/1000)),""))</f>
        <v>1.3251190910544248</v>
      </c>
      <c r="P15" s="13">
        <f>IF(E15="","",IFERROR(MAX(0.0001,$B$4*(IF($C15=0,INDEX(H_Parametri!$A$14:$A$16,$B15)/1000*IF($AH15=0,INDEX(H_Curve!$B$1:$F$100,4+($B15-1)*17+3+P$9*2,$AF15),(1-$AH15)*INDEX(H_Curve!$B$1:$F$100,4+($B15-1)*17+3+P$9*2,$AF15)+$AH15*INDEX(H_Curve!$B$1:$F$100,4+($B15-1)*17+3+P$9*2,$AG15)),IF($C15=1,INDEX(H_Parametri!$A$14:$A$16,$B15+1)/1000*IF($AM15=0,INDEX(H_Curve!$B$1:$F$100,4+($B15)*17+3+P$9*2,$AK15),(1-$AM15)*INDEX(H_Curve!$B$1:$F$100,4+($B15)*17+3+P$9*2,$AK15)+$AM15*INDEX(H_Curve!$B$1:$F$100,4+($B15)*17+3+P$9*2,$AL15)),(1-$C15)*INDEX(H_Parametri!$A$14:$A$16,$B15)/1000*IF($AH15=0,INDEX(H_Curve!$B$1:$F$100,4+($B15-1)*17+3+P$9*2,$AF15),(1-$AH15)*INDEX(H_Curve!$B$1:$F$100,4+($B15-1)*17+3+P$9*2,$AF15)+$AH15*INDEX(H_Curve!$B$1:$F$100,4+($B15-1)*17+3+P$9*2,$AG15))+$C15*INDEX(H_Parametri!$A$14:$A$16,$B15+1)/1000*IF($AM15=0,INDEX(H_Curve!$B$1:$F$100,4+($B15)*17+3+P$9*2,$AK15),(1-$AM15)*INDEX(H_Curve!$B$1:$F$100,4+($B15)*17+3+P$9*2,$AK15)+$AM15*INDEX(H_Curve!$B$1:$F$100,4+($B15)*17+3+P$9*2,$AL15)))))/($A15/1000)),""))</f>
        <v>1.2086247213433943</v>
      </c>
      <c r="Q15" s="13">
        <f>IF(E15="","",IFERROR(MAX(0.0001,$B$4*(IF($C15=0,INDEX(H_Parametri!$A$14:$A$16,$B15)/1000*IF($AH15=0,INDEX(H_Curve!$B$1:$F$100,4+($B15-1)*17+3+Q$9*2,$AF15),(1-$AH15)*INDEX(H_Curve!$B$1:$F$100,4+($B15-1)*17+3+Q$9*2,$AF15)+$AH15*INDEX(H_Curve!$B$1:$F$100,4+($B15-1)*17+3+Q$9*2,$AG15)),IF($C15=1,INDEX(H_Parametri!$A$14:$A$16,$B15+1)/1000*IF($AM15=0,INDEX(H_Curve!$B$1:$F$100,4+($B15)*17+3+Q$9*2,$AK15),(1-$AM15)*INDEX(H_Curve!$B$1:$F$100,4+($B15)*17+3+Q$9*2,$AK15)+$AM15*INDEX(H_Curve!$B$1:$F$100,4+($B15)*17+3+Q$9*2,$AL15)),(1-$C15)*INDEX(H_Parametri!$A$14:$A$16,$B15)/1000*IF($AH15=0,INDEX(H_Curve!$B$1:$F$100,4+($B15-1)*17+3+Q$9*2,$AF15),(1-$AH15)*INDEX(H_Curve!$B$1:$F$100,4+($B15-1)*17+3+Q$9*2,$AF15)+$AH15*INDEX(H_Curve!$B$1:$F$100,4+($B15-1)*17+3+Q$9*2,$AG15))+$C15*INDEX(H_Parametri!$A$14:$A$16,$B15+1)/1000*IF($AM15=0,INDEX(H_Curve!$B$1:$F$100,4+($B15)*17+3+Q$9*2,$AK15),(1-$AM15)*INDEX(H_Curve!$B$1:$F$100,4+($B15)*17+3+Q$9*2,$AK15)+$AM15*INDEX(H_Curve!$B$1:$F$100,4+($B15)*17+3+Q$9*2,$AL15)))))/($A15/1000)),""))</f>
        <v>1.0872735567635683</v>
      </c>
      <c r="R15" s="13">
        <f>IF(E15="","",IFERROR(MAX(0.0001,$B$4*(IF($C15=0,INDEX(H_Parametri!$A$14:$A$16,$B15)/1000*IF($AH15=0,INDEX(H_Curve!$B$1:$F$100,4+($B15-1)*17+3+R$9*2,$AF15),(1-$AH15)*INDEX(H_Curve!$B$1:$F$100,4+($B15-1)*17+3+R$9*2,$AF15)+$AH15*INDEX(H_Curve!$B$1:$F$100,4+($B15-1)*17+3+R$9*2,$AG15)),IF($C15=1,INDEX(H_Parametri!$A$14:$A$16,$B15+1)/1000*IF($AM15=0,INDEX(H_Curve!$B$1:$F$100,4+($B15)*17+3+R$9*2,$AK15),(1-$AM15)*INDEX(H_Curve!$B$1:$F$100,4+($B15)*17+3+R$9*2,$AK15)+$AM15*INDEX(H_Curve!$B$1:$F$100,4+($B15)*17+3+R$9*2,$AL15)),(1-$C15)*INDEX(H_Parametri!$A$14:$A$16,$B15)/1000*IF($AH15=0,INDEX(H_Curve!$B$1:$F$100,4+($B15-1)*17+3+R$9*2,$AF15),(1-$AH15)*INDEX(H_Curve!$B$1:$F$100,4+($B15-1)*17+3+R$9*2,$AF15)+$AH15*INDEX(H_Curve!$B$1:$F$100,4+($B15-1)*17+3+R$9*2,$AG15))+$C15*INDEX(H_Parametri!$A$14:$A$16,$B15+1)/1000*IF($AM15=0,INDEX(H_Curve!$B$1:$F$100,4+($B15)*17+3+R$9*2,$AK15),(1-$AM15)*INDEX(H_Curve!$B$1:$F$100,4+($B15)*17+3+R$9*2,$AK15)+$AM15*INDEX(H_Curve!$B$1:$F$100,4+($B15)*17+3+R$9*2,$AL15)))))/($A15/1000)),""))</f>
        <v>0.9773515414566748</v>
      </c>
      <c r="S15" s="13">
        <f>IF(E15="","",IFERROR(MAX(0.0001,$B$4*(IF($C15=0,INDEX(H_Parametri!$A$14:$A$16,$B15)/1000*IF($AH15=0,INDEX(H_Curve!$B$1:$F$100,4+($B15-1)*17+3+S$9*2,$AF15),(1-$AH15)*INDEX(H_Curve!$B$1:$F$100,4+($B15-1)*17+3+S$9*2,$AF15)+$AH15*INDEX(H_Curve!$B$1:$F$100,4+($B15-1)*17+3+S$9*2,$AG15)),IF($C15=1,INDEX(H_Parametri!$A$14:$A$16,$B15+1)/1000*IF($AM15=0,INDEX(H_Curve!$B$1:$F$100,4+($B15)*17+3+S$9*2,$AK15),(1-$AM15)*INDEX(H_Curve!$B$1:$F$100,4+($B15)*17+3+S$9*2,$AK15)+$AM15*INDEX(H_Curve!$B$1:$F$100,4+($B15)*17+3+S$9*2,$AL15)),(1-$C15)*INDEX(H_Parametri!$A$14:$A$16,$B15)/1000*IF($AH15=0,INDEX(H_Curve!$B$1:$F$100,4+($B15-1)*17+3+S$9*2,$AF15),(1-$AH15)*INDEX(H_Curve!$B$1:$F$100,4+($B15-1)*17+3+S$9*2,$AF15)+$AH15*INDEX(H_Curve!$B$1:$F$100,4+($B15-1)*17+3+S$9*2,$AG15))+$C15*INDEX(H_Parametri!$A$14:$A$16,$B15+1)/1000*IF($AM15=0,INDEX(H_Curve!$B$1:$F$100,4+($B15)*17+3+S$9*2,$AK15),(1-$AM15)*INDEX(H_Curve!$B$1:$F$100,4+($B15)*17+3+S$9*2,$AK15)+$AM15*INDEX(H_Curve!$B$1:$F$100,4+($B15)*17+3+S$9*2,$AL15)))))/($A15/1000)),""))</f>
        <v>0.88539491537795045</v>
      </c>
      <c r="T15" s="13">
        <f>IF(E15="","",IFERROR(MAX(0.0001,$B$4*(IF($C15=0,INDEX(H_Parametri!$A$14:$A$16,$B15)/1000*IF($AH15=0,INDEX(H_Curve!$B$1:$F$100,4+($B15-1)*17+3+T$9*2,$AF15),(1-$AH15)*INDEX(H_Curve!$B$1:$F$100,4+($B15-1)*17+3+T$9*2,$AF15)+$AH15*INDEX(H_Curve!$B$1:$F$100,4+($B15-1)*17+3+T$9*2,$AG15)),IF($C15=1,INDEX(H_Parametri!$A$14:$A$16,$B15+1)/1000*IF($AM15=0,INDEX(H_Curve!$B$1:$F$100,4+($B15)*17+3+T$9*2,$AK15),(1-$AM15)*INDEX(H_Curve!$B$1:$F$100,4+($B15)*17+3+T$9*2,$AK15)+$AM15*INDEX(H_Curve!$B$1:$F$100,4+($B15)*17+3+T$9*2,$AL15)),(1-$C15)*INDEX(H_Parametri!$A$14:$A$16,$B15)/1000*IF($AH15=0,INDEX(H_Curve!$B$1:$F$100,4+($B15-1)*17+3+T$9*2,$AF15),(1-$AH15)*INDEX(H_Curve!$B$1:$F$100,4+($B15-1)*17+3+T$9*2,$AF15)+$AH15*INDEX(H_Curve!$B$1:$F$100,4+($B15-1)*17+3+T$9*2,$AG15))+$C15*INDEX(H_Parametri!$A$14:$A$16,$B15+1)/1000*IF($AM15=0,INDEX(H_Curve!$B$1:$F$100,4+($B15)*17+3+T$9*2,$AK15),(1-$AM15)*INDEX(H_Curve!$B$1:$F$100,4+($B15)*17+3+T$9*2,$AK15)+$AM15*INDEX(H_Curve!$B$1:$F$100,4+($B15)*17+3+T$9*2,$AL15)))))/($A15/1000)),""))</f>
        <v>0.82127277488613348</v>
      </c>
      <c r="U15" s="13">
        <f>IF(E15="","",IFERROR(MAX(0.0001,$B$4*(IF($C15=0,INDEX(H_Parametri!$A$14:$A$16,$B15)/1000*IF($AH15=0,INDEX(H_Curve!$B$1:$F$100,4+($B15-1)*17+3+U$9*2,$AF15),(1-$AH15)*INDEX(H_Curve!$B$1:$F$100,4+($B15-1)*17+3+U$9*2,$AF15)+$AH15*INDEX(H_Curve!$B$1:$F$100,4+($B15-1)*17+3+U$9*2,$AG15)),IF($C15=1,INDEX(H_Parametri!$A$14:$A$16,$B15+1)/1000*IF($AM15=0,INDEX(H_Curve!$B$1:$F$100,4+($B15)*17+3+U$9*2,$AK15),(1-$AM15)*INDEX(H_Curve!$B$1:$F$100,4+($B15)*17+3+U$9*2,$AK15)+$AM15*INDEX(H_Curve!$B$1:$F$100,4+($B15)*17+3+U$9*2,$AL15)),(1-$C15)*INDEX(H_Parametri!$A$14:$A$16,$B15)/1000*IF($AH15=0,INDEX(H_Curve!$B$1:$F$100,4+($B15-1)*17+3+U$9*2,$AF15),(1-$AH15)*INDEX(H_Curve!$B$1:$F$100,4+($B15-1)*17+3+U$9*2,$AF15)+$AH15*INDEX(H_Curve!$B$1:$F$100,4+($B15-1)*17+3+U$9*2,$AG15))+$C15*INDEX(H_Parametri!$A$14:$A$16,$B15+1)/1000*IF($AM15=0,INDEX(H_Curve!$B$1:$F$100,4+($B15)*17+3+U$9*2,$AK15),(1-$AM15)*INDEX(H_Curve!$B$1:$F$100,4+($B15)*17+3+U$9*2,$AK15)+$AM15*INDEX(H_Curve!$B$1:$F$100,4+($B15)*17+3+U$9*2,$AL15)))))/($A15/1000)),""))</f>
        <v>0.77525775088123106</v>
      </c>
      <c r="V15" s="13">
        <f>IF(E15="","",IFERROR(MAX(0.0001,$B$4*(IF($C15=0,INDEX(H_Parametri!$A$14:$A$16,$B15)/1000*IF($AH15=0,INDEX(H_Curve!$B$1:$F$100,4+($B15-1)*17+3+V$9*2,$AF15),(1-$AH15)*INDEX(H_Curve!$B$1:$F$100,4+($B15-1)*17+3+V$9*2,$AF15)+$AH15*INDEX(H_Curve!$B$1:$F$100,4+($B15-1)*17+3+V$9*2,$AG15)),IF($C15=1,INDEX(H_Parametri!$A$14:$A$16,$B15+1)/1000*IF($AM15=0,INDEX(H_Curve!$B$1:$F$100,4+($B15)*17+3+V$9*2,$AK15),(1-$AM15)*INDEX(H_Curve!$B$1:$F$100,4+($B15)*17+3+V$9*2,$AK15)+$AM15*INDEX(H_Curve!$B$1:$F$100,4+($B15)*17+3+V$9*2,$AL15)),(1-$C15)*INDEX(H_Parametri!$A$14:$A$16,$B15)/1000*IF($AH15=0,INDEX(H_Curve!$B$1:$F$100,4+($B15-1)*17+3+V$9*2,$AF15),(1-$AH15)*INDEX(H_Curve!$B$1:$F$100,4+($B15-1)*17+3+V$9*2,$AF15)+$AH15*INDEX(H_Curve!$B$1:$F$100,4+($B15-1)*17+3+V$9*2,$AG15))+$C15*INDEX(H_Parametri!$A$14:$A$16,$B15+1)/1000*IF($AM15=0,INDEX(H_Curve!$B$1:$F$100,4+($B15)*17+3+V$9*2,$AK15),(1-$AM15)*INDEX(H_Curve!$B$1:$F$100,4+($B15)*17+3+V$9*2,$AK15)+$AM15*INDEX(H_Curve!$B$1:$F$100,4+($B15)*17+3+V$9*2,$AL15)))))/($A15/1000)),""))</f>
        <v>0.68502325678941389</v>
      </c>
      <c r="W15" s="13">
        <f>IF(E15="","",IFERROR(MAX(0.0001,$B$4*(IF($C15=0,INDEX(H_Parametri!$A$14:$A$16,$B15)/1000*IF($AH15=0,INDEX(H_Curve!$B$1:$F$100,4+($B15-1)*17+3+W$9*2,$AF15),(1-$AH15)*INDEX(H_Curve!$B$1:$F$100,4+($B15-1)*17+3+W$9*2,$AF15)+$AH15*INDEX(H_Curve!$B$1:$F$100,4+($B15-1)*17+3+W$9*2,$AG15)),IF($C15=1,INDEX(H_Parametri!$A$14:$A$16,$B15+1)/1000*IF($AM15=0,INDEX(H_Curve!$B$1:$F$100,4+($B15)*17+3+W$9*2,$AK15),(1-$AM15)*INDEX(H_Curve!$B$1:$F$100,4+($B15)*17+3+W$9*2,$AK15)+$AM15*INDEX(H_Curve!$B$1:$F$100,4+($B15)*17+3+W$9*2,$AL15)),(1-$C15)*INDEX(H_Parametri!$A$14:$A$16,$B15)/1000*IF($AH15=0,INDEX(H_Curve!$B$1:$F$100,4+($B15-1)*17+3+W$9*2,$AF15),(1-$AH15)*INDEX(H_Curve!$B$1:$F$100,4+($B15-1)*17+3+W$9*2,$AF15)+$AH15*INDEX(H_Curve!$B$1:$F$100,4+($B15-1)*17+3+W$9*2,$AG15))+$C15*INDEX(H_Parametri!$A$14:$A$16,$B15+1)/1000*IF($AM15=0,INDEX(H_Curve!$B$1:$F$100,4+($B15)*17+3+W$9*2,$AK15),(1-$AM15)*INDEX(H_Curve!$B$1:$F$100,4+($B15)*17+3+W$9*2,$AK15)+$AM15*INDEX(H_Curve!$B$1:$F$100,4+($B15)*17+3+W$9*2,$AL15)))))/($A15/1000)),""))</f>
        <v>0.50259503120323801</v>
      </c>
      <c r="X15" s="18">
        <f t="array" ref="X15">IF(E15="","",SUMPRODUCT(MAX(ISNUMBER(M15:V15)*ISNUMBER(N15:W15)*(M15:V15&gt;=$B$5)*(N15:W15&lt;$B$5)*(COLUMN(M15:V15)-COLUMN(M15)+1))))</f>
        <v>0</v>
      </c>
      <c r="Y15" s="9" t="str">
        <f t="shared" si="6"/>
        <v/>
      </c>
      <c r="Z15" s="9" t="str">
        <f t="shared" si="7"/>
        <v/>
      </c>
      <c r="AA15" s="13" t="str">
        <f t="shared" si="8"/>
        <v/>
      </c>
      <c r="AB15" s="13" t="str">
        <f t="shared" si="9"/>
        <v/>
      </c>
      <c r="AC15" s="18">
        <f t="shared" si="10"/>
        <v>10</v>
      </c>
      <c r="AD15" s="18">
        <f>IFERROR(LARGE(INDEX(H_Curve!$B$1:$F$100,4+($B15-1)*17+1,1):INDEX(H_Curve!$B$1:$F$100,4+($B15-1)*17+1,5),COUNTIF(INDEX(H_Curve!$B$1:$F$100,4+($B15-1)*17+1,1):INDEX(H_Curve!$B$1:$F$100,4+($B15-1)*17+1,5),"&gt;"&amp;$B$4)+1),0)</f>
        <v>300</v>
      </c>
      <c r="AE15" s="18">
        <f>IFERROR(SMALL(INDEX(H_Curve!$B$1:$F$100,4+($B15-1)*17+1,1):INDEX(H_Curve!$B$1:$F$100,4+($B15-1)*17+1,5),COUNTIF(INDEX(H_Curve!$B$1:$F$100,4+($B15-1)*17+1,1):INDEX(H_Curve!$B$1:$F$100,4+($B15-1)*17+1,5),"&lt;"&amp;$B$4)+1),1000000000)</f>
        <v>1000000000</v>
      </c>
      <c r="AF15" s="18">
        <f>IFERROR(IF(AD15=0,MATCH(AE15,INDEX(H_Curve!$B$1:$F$100,4+($B15-1)*17+1,1):INDEX(H_Curve!$B$1:$F$100,4+($B15-1)*17+1,5),0),MATCH(AD15,INDEX(H_Curve!$B$1:$F$100,4+($B15-1)*17+1,1):INDEX(H_Curve!$B$1:$F$100,4+($B15-1)*17+1,5),0)),"")</f>
        <v>4</v>
      </c>
      <c r="AG15" s="18">
        <f>IFERROR(IF(AE15&gt;=1000000000,MATCH(AD15,INDEX(H_Curve!$B$1:$F$100,4+($B15-1)*17+1,1):INDEX(H_Curve!$B$1:$F$100,4+($B15-1)*17+1,5),0),MATCH(AE15,INDEX(H_Curve!$B$1:$F$100,4+($B15-1)*17+1,1):INDEX(H_Curve!$B$1:$F$100,4+($B15-1)*17+1,5),0)),"")</f>
        <v>4</v>
      </c>
      <c r="AH15" s="13">
        <f t="shared" si="11"/>
        <v>0</v>
      </c>
      <c r="AI15" s="18">
        <f>IFERROR(LARGE(INDEX(H_Curve!$B$1:$F$100,4+($B15)*17+1,1):INDEX(H_Curve!$B$1:$F$100,4+($B15)*17+1,5),COUNTIF(INDEX(H_Curve!$B$1:$F$100,4+($B15)*17+1,1):INDEX(H_Curve!$B$1:$F$100,4+($B15)*17+1,5),"&gt;"&amp;$B$4)+1),0)</f>
        <v>450</v>
      </c>
      <c r="AJ15" s="18">
        <f>IFERROR(SMALL(INDEX(H_Curve!$B$1:$F$100,4+($B15)*17+1,1):INDEX(H_Curve!$B$1:$F$100,4+($B15)*17+1,5),COUNTIF(INDEX(H_Curve!$B$1:$F$100,4+($B15)*17+1,1):INDEX(H_Curve!$B$1:$F$100,4+($B15)*17+1,5),"&lt;"&amp;$B$4)+1),1000000000)</f>
        <v>450</v>
      </c>
      <c r="AK15" s="18">
        <f>IFERROR(IF(AI15=0,MATCH(AJ15,INDEX(H_Curve!$B$1:$F$100,4+($B15)*17+1,1):INDEX(H_Curve!$B$1:$F$100,4+($B15)*17+1,5),0),MATCH(AI15,INDEX(H_Curve!$B$1:$F$100,4+($B15)*17+1,1):INDEX(H_Curve!$B$1:$F$100,4+($B15)*17+1,5),0)),"")</f>
        <v>5</v>
      </c>
      <c r="AL15" s="18">
        <f>IFERROR(IF(AJ15&gt;=1000000000,MATCH(AI15,INDEX(H_Curve!$B$1:$F$100,4+($B15)*17+1,1):INDEX(H_Curve!$B$1:$F$100,4+($B15)*17+1,5),0),MATCH(AJ15,INDEX(H_Curve!$B$1:$F$100,4+($B15)*17+1,1):INDEX(H_Curve!$B$1:$F$100,4+($B15)*17+1,5),0)),"")</f>
        <v>5</v>
      </c>
      <c r="AM15" s="13">
        <f t="shared" si="12"/>
        <v>0</v>
      </c>
    </row>
    <row r="16" spans="1:39" x14ac:dyDescent="0.25">
      <c r="A16" s="12">
        <v>1250</v>
      </c>
      <c r="B16" s="18">
        <f>IFERROR(MAX(1,MIN(MATCH(A16,H_Parametri!$A$14:$A$16,1),H_Parametri!$B$10-1)),1)</f>
        <v>2</v>
      </c>
      <c r="C16" s="13">
        <f>(A16-INDEX(H_Parametri!$A$14:$A$16,B16))/(INDEX(H_Parametri!$A$14:$A$16,B16+1)-INDEX(H_Parametri!$A$14:$A$16,B16))</f>
        <v>0.5</v>
      </c>
      <c r="D16" s="34">
        <f>IFERROR(MAX(0.000001,(IF($C16=0,INDEX(H_Parametri!$A$14:$A$16,$B16)/1000*IF($AH16=0,INDEX(H_Curve!$B$1:$F$100,4+($B16-1)*17+2,$AF16),(1-$AH16)*INDEX(H_Curve!$B$1:$F$100,4+($B16-1)*17+2,$AF16)+$AH16*INDEX(H_Curve!$B$1:$F$100,4+($B16-1)*17+2,$AG16)),IF($C16=1,INDEX(H_Parametri!$A$14:$A$16,$B16+1)/1000*IF($AM16=0,INDEX(H_Curve!$B$1:$F$100,4+($B16)*17+2,$AK16),(1-$AM16)*INDEX(H_Curve!$B$1:$F$100,4+($B16)*17+2,$AK16)+$AM16*INDEX(H_Curve!$B$1:$F$100,4+($B16)*17+2,$AL16)),(1-$C16)*INDEX(H_Parametri!$A$14:$A$16,$B16)/1000*IF($AH16=0,INDEX(H_Curve!$B$1:$F$100,4+($B16-1)*17+2,$AF16),(1-$AH16)*INDEX(H_Curve!$B$1:$F$100,4+($B16-1)*17+2,$AF16)+$AH16*INDEX(H_Curve!$B$1:$F$100,4+($B16-1)*17+2,$AG16))+$C16*INDEX(H_Parametri!$A$14:$A$16,$B16+1)/1000*IF($AM16=0,INDEX(H_Curve!$B$1:$F$100,4+($B16)*17+2,$AK16),(1-$AM16)*INDEX(H_Curve!$B$1:$F$100,4+($B16)*17+2,$AK16)+$AM16*INDEX(H_Curve!$B$1:$F$100,4+($B16)*17+2,$AL16)))))/(A16/1000)),"")</f>
        <v>1.4153505235797082E-2</v>
      </c>
      <c r="E16" s="23">
        <f t="shared" si="0"/>
        <v>6.3690773561086864</v>
      </c>
      <c r="F16" s="14">
        <f t="shared" si="1"/>
        <v>1.9626076590216077E-2</v>
      </c>
      <c r="G16" s="13">
        <f t="shared" si="2"/>
        <v>3.9252153180432153E-2</v>
      </c>
      <c r="H16" s="13">
        <f>IFERROR(INDEX(M16:W16,ROUND(H_Parametri!$B$9*2,0))/E16,"")</f>
        <v>0.16528483803741784</v>
      </c>
      <c r="I16" s="24" t="str">
        <f t="shared" si="3"/>
        <v>&gt; x max</v>
      </c>
      <c r="J16" s="23">
        <f t="shared" si="4"/>
        <v>0.48410969886048028</v>
      </c>
      <c r="K16" s="23">
        <f t="shared" si="5"/>
        <v>1.9364387954419211</v>
      </c>
      <c r="L16" s="5" t="str">
        <f>IF(E16="","",IF(OR(H_Parametri!$B$10&lt;2,A16&lt;INDEX(H_Parametri!$A$14:$A$16,1),A16&gt;INDEX(H_Parametri!$A$14:$A$16,H_Parametri!$B$10)),"L fuori campo: estrapolazione",IF(OR($B$4&lt;((1-C16)*INDEX(H_Parametri!$E$14:$E$16,B16)+C16*INDEX(H_Parametri!$E$14:$E$16,B16+1))*0.99,$B$4&gt;((1-C16)*INDEX(H_Parametri!$F$14:$F$16,B16)+C16*INDEX(H_Parametri!$F$14:$F$16,B16+1))*1.01),"Q fuori dal campo dei dati (estrapolazione)",IF(I16="&gt; x max","Il getto raggiunge la parete (lancio &gt; x max)",IF(I16="n.d.","Dati CFD non coprono tutta la distanza (curva incompleta)",IF(NOT(ISNUMBER(I16)),"vₜ non raggiunta / &lt; 0,5 m",IF(IFERROR(G16&gt;H16,FALSE()),"vₜ nel campo vicino (x &lt; "&amp;H_Parametri!$B$9&amp;" m): lancio poco significativo",IF(I16&gt;$B$7,"Oltre x max: influenzato dalla parete","OK"))))))))</f>
        <v>Q fuori dal campo dei dati (estrapolazione)</v>
      </c>
      <c r="M16" s="13">
        <f>IF(E16="","",IFERROR(MAX(0.0001,$B$4*(IF($C16=0,INDEX(H_Parametri!$A$14:$A$16,$B16)/1000*IF($AH16=0,INDEX(H_Curve!$B$1:$F$100,4+($B16-1)*17+3+M$9*2,$AF16),(1-$AH16)*INDEX(H_Curve!$B$1:$F$100,4+($B16-1)*17+3+M$9*2,$AF16)+$AH16*INDEX(H_Curve!$B$1:$F$100,4+($B16-1)*17+3+M$9*2,$AG16)),IF($C16=1,INDEX(H_Parametri!$A$14:$A$16,$B16+1)/1000*IF($AM16=0,INDEX(H_Curve!$B$1:$F$100,4+($B16)*17+3+M$9*2,$AK16),(1-$AM16)*INDEX(H_Curve!$B$1:$F$100,4+($B16)*17+3+M$9*2,$AK16)+$AM16*INDEX(H_Curve!$B$1:$F$100,4+($B16)*17+3+M$9*2,$AL16)),(1-$C16)*INDEX(H_Parametri!$A$14:$A$16,$B16)/1000*IF($AH16=0,INDEX(H_Curve!$B$1:$F$100,4+($B16-1)*17+3+M$9*2,$AF16),(1-$AH16)*INDEX(H_Curve!$B$1:$F$100,4+($B16-1)*17+3+M$9*2,$AF16)+$AH16*INDEX(H_Curve!$B$1:$F$100,4+($B16-1)*17+3+M$9*2,$AG16))+$C16*INDEX(H_Parametri!$A$14:$A$16,$B16+1)/1000*IF($AM16=0,INDEX(H_Curve!$B$1:$F$100,4+($B16)*17+3+M$9*2,$AK16),(1-$AM16)*INDEX(H_Curve!$B$1:$F$100,4+($B16)*17+3+M$9*2,$AK16)+$AM16*INDEX(H_Curve!$B$1:$F$100,4+($B16)*17+3+M$9*2,$AL16)))))/($A16/1000)),""))</f>
        <v>1.0341144886573255</v>
      </c>
      <c r="N16" s="13">
        <f>IF(E16="","",IFERROR(MAX(0.0001,$B$4*(IF($C16=0,INDEX(H_Parametri!$A$14:$A$16,$B16)/1000*IF($AH16=0,INDEX(H_Curve!$B$1:$F$100,4+($B16-1)*17+3+N$9*2,$AF16),(1-$AH16)*INDEX(H_Curve!$B$1:$F$100,4+($B16-1)*17+3+N$9*2,$AF16)+$AH16*INDEX(H_Curve!$B$1:$F$100,4+($B16-1)*17+3+N$9*2,$AG16)),IF($C16=1,INDEX(H_Parametri!$A$14:$A$16,$B16+1)/1000*IF($AM16=0,INDEX(H_Curve!$B$1:$F$100,4+($B16)*17+3+N$9*2,$AK16),(1-$AM16)*INDEX(H_Curve!$B$1:$F$100,4+($B16)*17+3+N$9*2,$AK16)+$AM16*INDEX(H_Curve!$B$1:$F$100,4+($B16)*17+3+N$9*2,$AL16)),(1-$C16)*INDEX(H_Parametri!$A$14:$A$16,$B16)/1000*IF($AH16=0,INDEX(H_Curve!$B$1:$F$100,4+($B16-1)*17+3+N$9*2,$AF16),(1-$AH16)*INDEX(H_Curve!$B$1:$F$100,4+($B16-1)*17+3+N$9*2,$AF16)+$AH16*INDEX(H_Curve!$B$1:$F$100,4+($B16-1)*17+3+N$9*2,$AG16))+$C16*INDEX(H_Parametri!$A$14:$A$16,$B16+1)/1000*IF($AM16=0,INDEX(H_Curve!$B$1:$F$100,4+($B16)*17+3+N$9*2,$AK16),(1-$AM16)*INDEX(H_Curve!$B$1:$F$100,4+($B16)*17+3+N$9*2,$AK16)+$AM16*INDEX(H_Curve!$B$1:$F$100,4+($B16)*17+3+N$9*2,$AL16)))))/($A16/1000)),""))</f>
        <v>1.0527119192522096</v>
      </c>
      <c r="O16" s="13">
        <f>IF(E16="","",IFERROR(MAX(0.0001,$B$4*(IF($C16=0,INDEX(H_Parametri!$A$14:$A$16,$B16)/1000*IF($AH16=0,INDEX(H_Curve!$B$1:$F$100,4+($B16-1)*17+3+O$9*2,$AF16),(1-$AH16)*INDEX(H_Curve!$B$1:$F$100,4+($B16-1)*17+3+O$9*2,$AF16)+$AH16*INDEX(H_Curve!$B$1:$F$100,4+($B16-1)*17+3+O$9*2,$AG16)),IF($C16=1,INDEX(H_Parametri!$A$14:$A$16,$B16+1)/1000*IF($AM16=0,INDEX(H_Curve!$B$1:$F$100,4+($B16)*17+3+O$9*2,$AK16),(1-$AM16)*INDEX(H_Curve!$B$1:$F$100,4+($B16)*17+3+O$9*2,$AK16)+$AM16*INDEX(H_Curve!$B$1:$F$100,4+($B16)*17+3+O$9*2,$AL16)),(1-$C16)*INDEX(H_Parametri!$A$14:$A$16,$B16)/1000*IF($AH16=0,INDEX(H_Curve!$B$1:$F$100,4+($B16-1)*17+3+O$9*2,$AF16),(1-$AH16)*INDEX(H_Curve!$B$1:$F$100,4+($B16-1)*17+3+O$9*2,$AF16)+$AH16*INDEX(H_Curve!$B$1:$F$100,4+($B16-1)*17+3+O$9*2,$AG16))+$C16*INDEX(H_Parametri!$A$14:$A$16,$B16+1)/1000*IF($AM16=0,INDEX(H_Curve!$B$1:$F$100,4+($B16)*17+3+O$9*2,$AK16),(1-$AM16)*INDEX(H_Curve!$B$1:$F$100,4+($B16)*17+3+O$9*2,$AK16)+$AM16*INDEX(H_Curve!$B$1:$F$100,4+($B16)*17+3+O$9*2,$AL16)))))/($A16/1000)),""))</f>
        <v>1.051708732749145</v>
      </c>
      <c r="P16" s="13">
        <f>IF(E16="","",IFERROR(MAX(0.0001,$B$4*(IF($C16=0,INDEX(H_Parametri!$A$14:$A$16,$B16)/1000*IF($AH16=0,INDEX(H_Curve!$B$1:$F$100,4+($B16-1)*17+3+P$9*2,$AF16),(1-$AH16)*INDEX(H_Curve!$B$1:$F$100,4+($B16-1)*17+3+P$9*2,$AF16)+$AH16*INDEX(H_Curve!$B$1:$F$100,4+($B16-1)*17+3+P$9*2,$AG16)),IF($C16=1,INDEX(H_Parametri!$A$14:$A$16,$B16+1)/1000*IF($AM16=0,INDEX(H_Curve!$B$1:$F$100,4+($B16)*17+3+P$9*2,$AK16),(1-$AM16)*INDEX(H_Curve!$B$1:$F$100,4+($B16)*17+3+P$9*2,$AK16)+$AM16*INDEX(H_Curve!$B$1:$F$100,4+($B16)*17+3+P$9*2,$AL16)),(1-$C16)*INDEX(H_Parametri!$A$14:$A$16,$B16)/1000*IF($AH16=0,INDEX(H_Curve!$B$1:$F$100,4+($B16-1)*17+3+P$9*2,$AF16),(1-$AH16)*INDEX(H_Curve!$B$1:$F$100,4+($B16-1)*17+3+P$9*2,$AF16)+$AH16*INDEX(H_Curve!$B$1:$F$100,4+($B16-1)*17+3+P$9*2,$AG16))+$C16*INDEX(H_Parametri!$A$14:$A$16,$B16+1)/1000*IF($AM16=0,INDEX(H_Curve!$B$1:$F$100,4+($B16)*17+3+P$9*2,$AK16),(1-$AM16)*INDEX(H_Curve!$B$1:$F$100,4+($B16)*17+3+P$9*2,$AK16)+$AM16*INDEX(H_Curve!$B$1:$F$100,4+($B16)*17+3+P$9*2,$AL16)))))/($A16/1000)),""))</f>
        <v>0.99899318950490235</v>
      </c>
      <c r="Q16" s="13">
        <f>IF(E16="","",IFERROR(MAX(0.0001,$B$4*(IF($C16=0,INDEX(H_Parametri!$A$14:$A$16,$B16)/1000*IF($AH16=0,INDEX(H_Curve!$B$1:$F$100,4+($B16-1)*17+3+Q$9*2,$AF16),(1-$AH16)*INDEX(H_Curve!$B$1:$F$100,4+($B16-1)*17+3+Q$9*2,$AF16)+$AH16*INDEX(H_Curve!$B$1:$F$100,4+($B16-1)*17+3+Q$9*2,$AG16)),IF($C16=1,INDEX(H_Parametri!$A$14:$A$16,$B16+1)/1000*IF($AM16=0,INDEX(H_Curve!$B$1:$F$100,4+($B16)*17+3+Q$9*2,$AK16),(1-$AM16)*INDEX(H_Curve!$B$1:$F$100,4+($B16)*17+3+Q$9*2,$AK16)+$AM16*INDEX(H_Curve!$B$1:$F$100,4+($B16)*17+3+Q$9*2,$AL16)),(1-$C16)*INDEX(H_Parametri!$A$14:$A$16,$B16)/1000*IF($AH16=0,INDEX(H_Curve!$B$1:$F$100,4+($B16-1)*17+3+Q$9*2,$AF16),(1-$AH16)*INDEX(H_Curve!$B$1:$F$100,4+($B16-1)*17+3+Q$9*2,$AF16)+$AH16*INDEX(H_Curve!$B$1:$F$100,4+($B16-1)*17+3+Q$9*2,$AG16))+$C16*INDEX(H_Parametri!$A$14:$A$16,$B16+1)/1000*IF($AM16=0,INDEX(H_Curve!$B$1:$F$100,4+($B16)*17+3+Q$9*2,$AK16),(1-$AM16)*INDEX(H_Curve!$B$1:$F$100,4+($B16)*17+3+Q$9*2,$AK16)+$AM16*INDEX(H_Curve!$B$1:$F$100,4+($B16)*17+3+Q$9*2,$AL16)))))/($A16/1000)),""))</f>
        <v>0.92806915797276712</v>
      </c>
      <c r="R16" s="13">
        <f>IF(E16="","",IFERROR(MAX(0.0001,$B$4*(IF($C16=0,INDEX(H_Parametri!$A$14:$A$16,$B16)/1000*IF($AH16=0,INDEX(H_Curve!$B$1:$F$100,4+($B16-1)*17+3+R$9*2,$AF16),(1-$AH16)*INDEX(H_Curve!$B$1:$F$100,4+($B16-1)*17+3+R$9*2,$AF16)+$AH16*INDEX(H_Curve!$B$1:$F$100,4+($B16-1)*17+3+R$9*2,$AG16)),IF($C16=1,INDEX(H_Parametri!$A$14:$A$16,$B16+1)/1000*IF($AM16=0,INDEX(H_Curve!$B$1:$F$100,4+($B16)*17+3+R$9*2,$AK16),(1-$AM16)*INDEX(H_Curve!$B$1:$F$100,4+($B16)*17+3+R$9*2,$AK16)+$AM16*INDEX(H_Curve!$B$1:$F$100,4+($B16)*17+3+R$9*2,$AL16)),(1-$C16)*INDEX(H_Parametri!$A$14:$A$16,$B16)/1000*IF($AH16=0,INDEX(H_Curve!$B$1:$F$100,4+($B16-1)*17+3+R$9*2,$AF16),(1-$AH16)*INDEX(H_Curve!$B$1:$F$100,4+($B16-1)*17+3+R$9*2,$AF16)+$AH16*INDEX(H_Curve!$B$1:$F$100,4+($B16-1)*17+3+R$9*2,$AG16))+$C16*INDEX(H_Parametri!$A$14:$A$16,$B16+1)/1000*IF($AM16=0,INDEX(H_Curve!$B$1:$F$100,4+($B16)*17+3+R$9*2,$AK16),(1-$AM16)*INDEX(H_Curve!$B$1:$F$100,4+($B16)*17+3+R$9*2,$AK16)+$AM16*INDEX(H_Curve!$B$1:$F$100,4+($B16)*17+3+R$9*2,$AL16)))))/($A16/1000)),""))</f>
        <v>0.84561543723428412</v>
      </c>
      <c r="S16" s="13">
        <f>IF(E16="","",IFERROR(MAX(0.0001,$B$4*(IF($C16=0,INDEX(H_Parametri!$A$14:$A$16,$B16)/1000*IF($AH16=0,INDEX(H_Curve!$B$1:$F$100,4+($B16-1)*17+3+S$9*2,$AF16),(1-$AH16)*INDEX(H_Curve!$B$1:$F$100,4+($B16-1)*17+3+S$9*2,$AF16)+$AH16*INDEX(H_Curve!$B$1:$F$100,4+($B16-1)*17+3+S$9*2,$AG16)),IF($C16=1,INDEX(H_Parametri!$A$14:$A$16,$B16+1)/1000*IF($AM16=0,INDEX(H_Curve!$B$1:$F$100,4+($B16)*17+3+S$9*2,$AK16),(1-$AM16)*INDEX(H_Curve!$B$1:$F$100,4+($B16)*17+3+S$9*2,$AK16)+$AM16*INDEX(H_Curve!$B$1:$F$100,4+($B16)*17+3+S$9*2,$AL16)),(1-$C16)*INDEX(H_Parametri!$A$14:$A$16,$B16)/1000*IF($AH16=0,INDEX(H_Curve!$B$1:$F$100,4+($B16-1)*17+3+S$9*2,$AF16),(1-$AH16)*INDEX(H_Curve!$B$1:$F$100,4+($B16-1)*17+3+S$9*2,$AF16)+$AH16*INDEX(H_Curve!$B$1:$F$100,4+($B16-1)*17+3+S$9*2,$AG16))+$C16*INDEX(H_Parametri!$A$14:$A$16,$B16+1)/1000*IF($AM16=0,INDEX(H_Curve!$B$1:$F$100,4+($B16)*17+3+S$9*2,$AK16),(1-$AM16)*INDEX(H_Curve!$B$1:$F$100,4+($B16)*17+3+S$9*2,$AK16)+$AM16*INDEX(H_Curve!$B$1:$F$100,4+($B16)*17+3+S$9*2,$AL16)))))/($A16/1000)),""))</f>
        <v>0.72328368989365899</v>
      </c>
      <c r="T16" s="13">
        <f>IF(E16="","",IFERROR(MAX(0.0001,$B$4*(IF($C16=0,INDEX(H_Parametri!$A$14:$A$16,$B16)/1000*IF($AH16=0,INDEX(H_Curve!$B$1:$F$100,4+($B16-1)*17+3+T$9*2,$AF16),(1-$AH16)*INDEX(H_Curve!$B$1:$F$100,4+($B16-1)*17+3+T$9*2,$AF16)+$AH16*INDEX(H_Curve!$B$1:$F$100,4+($B16-1)*17+3+T$9*2,$AG16)),IF($C16=1,INDEX(H_Parametri!$A$14:$A$16,$B16+1)/1000*IF($AM16=0,INDEX(H_Curve!$B$1:$F$100,4+($B16)*17+3+T$9*2,$AK16),(1-$AM16)*INDEX(H_Curve!$B$1:$F$100,4+($B16)*17+3+T$9*2,$AK16)+$AM16*INDEX(H_Curve!$B$1:$F$100,4+($B16)*17+3+T$9*2,$AL16)),(1-$C16)*INDEX(H_Parametri!$A$14:$A$16,$B16)/1000*IF($AH16=0,INDEX(H_Curve!$B$1:$F$100,4+($B16-1)*17+3+T$9*2,$AF16),(1-$AH16)*INDEX(H_Curve!$B$1:$F$100,4+($B16-1)*17+3+T$9*2,$AF16)+$AH16*INDEX(H_Curve!$B$1:$F$100,4+($B16-1)*17+3+T$9*2,$AG16))+$C16*INDEX(H_Parametri!$A$14:$A$16,$B16+1)/1000*IF($AM16=0,INDEX(H_Curve!$B$1:$F$100,4+($B16)*17+3+T$9*2,$AK16),(1-$AM16)*INDEX(H_Curve!$B$1:$F$100,4+($B16)*17+3+T$9*2,$AK16)+$AM16*INDEX(H_Curve!$B$1:$F$100,4+($B16)*17+3+T$9*2,$AL16)))))/($A16/1000)),""))</f>
        <v>0.60076478742149952</v>
      </c>
      <c r="U16" s="13">
        <f>IF(E16="","",IFERROR(MAX(0.0001,$B$4*(IF($C16=0,INDEX(H_Parametri!$A$14:$A$16,$B16)/1000*IF($AH16=0,INDEX(H_Curve!$B$1:$F$100,4+($B16-1)*17+3+U$9*2,$AF16),(1-$AH16)*INDEX(H_Curve!$B$1:$F$100,4+($B16-1)*17+3+U$9*2,$AF16)+$AH16*INDEX(H_Curve!$B$1:$F$100,4+($B16-1)*17+3+U$9*2,$AG16)),IF($C16=1,INDEX(H_Parametri!$A$14:$A$16,$B16+1)/1000*IF($AM16=0,INDEX(H_Curve!$B$1:$F$100,4+($B16)*17+3+U$9*2,$AK16),(1-$AM16)*INDEX(H_Curve!$B$1:$F$100,4+($B16)*17+3+U$9*2,$AK16)+$AM16*INDEX(H_Curve!$B$1:$F$100,4+($B16)*17+3+U$9*2,$AL16)),(1-$C16)*INDEX(H_Parametri!$A$14:$A$16,$B16)/1000*IF($AH16=0,INDEX(H_Curve!$B$1:$F$100,4+($B16-1)*17+3+U$9*2,$AF16),(1-$AH16)*INDEX(H_Curve!$B$1:$F$100,4+($B16-1)*17+3+U$9*2,$AF16)+$AH16*INDEX(H_Curve!$B$1:$F$100,4+($B16-1)*17+3+U$9*2,$AG16))+$C16*INDEX(H_Parametri!$A$14:$A$16,$B16+1)/1000*IF($AM16=0,INDEX(H_Curve!$B$1:$F$100,4+($B16)*17+3+U$9*2,$AK16),(1-$AM16)*INDEX(H_Curve!$B$1:$F$100,4+($B16)*17+3+U$9*2,$AK16)+$AM16*INDEX(H_Curve!$B$1:$F$100,4+($B16)*17+3+U$9*2,$AL16)))))/($A16/1000)),""))</f>
        <v>0.53698039159867506</v>
      </c>
      <c r="V16" s="13">
        <f>IF(E16="","",IFERROR(MAX(0.0001,$B$4*(IF($C16=0,INDEX(H_Parametri!$A$14:$A$16,$B16)/1000*IF($AH16=0,INDEX(H_Curve!$B$1:$F$100,4+($B16-1)*17+3+V$9*2,$AF16),(1-$AH16)*INDEX(H_Curve!$B$1:$F$100,4+($B16-1)*17+3+V$9*2,$AF16)+$AH16*INDEX(H_Curve!$B$1:$F$100,4+($B16-1)*17+3+V$9*2,$AG16)),IF($C16=1,INDEX(H_Parametri!$A$14:$A$16,$B16+1)/1000*IF($AM16=0,INDEX(H_Curve!$B$1:$F$100,4+($B16)*17+3+V$9*2,$AK16),(1-$AM16)*INDEX(H_Curve!$B$1:$F$100,4+($B16)*17+3+V$9*2,$AK16)+$AM16*INDEX(H_Curve!$B$1:$F$100,4+($B16)*17+3+V$9*2,$AL16)),(1-$C16)*INDEX(H_Parametri!$A$14:$A$16,$B16)/1000*IF($AH16=0,INDEX(H_Curve!$B$1:$F$100,4+($B16-1)*17+3+V$9*2,$AF16),(1-$AH16)*INDEX(H_Curve!$B$1:$F$100,4+($B16-1)*17+3+V$9*2,$AF16)+$AH16*INDEX(H_Curve!$B$1:$F$100,4+($B16-1)*17+3+V$9*2,$AG16))+$C16*INDEX(H_Parametri!$A$14:$A$16,$B16+1)/1000*IF($AM16=0,INDEX(H_Curve!$B$1:$F$100,4+($B16)*17+3+V$9*2,$AK16),(1-$AM16)*INDEX(H_Curve!$B$1:$F$100,4+($B16)*17+3+V$9*2,$AK16)+$AM16*INDEX(H_Curve!$B$1:$F$100,4+($B16)*17+3+V$9*2,$AL16)))))/($A16/1000)),""))</f>
        <v>0.48410969886048028</v>
      </c>
      <c r="W16" s="13">
        <f>IF(E16="","",IFERROR(MAX(0.0001,$B$4*(IF($C16=0,INDEX(H_Parametri!$A$14:$A$16,$B16)/1000*IF($AH16=0,INDEX(H_Curve!$B$1:$F$100,4+($B16-1)*17+3+W$9*2,$AF16),(1-$AH16)*INDEX(H_Curve!$B$1:$F$100,4+($B16-1)*17+3+W$9*2,$AF16)+$AH16*INDEX(H_Curve!$B$1:$F$100,4+($B16-1)*17+3+W$9*2,$AG16)),IF($C16=1,INDEX(H_Parametri!$A$14:$A$16,$B16+1)/1000*IF($AM16=0,INDEX(H_Curve!$B$1:$F$100,4+($B16)*17+3+W$9*2,$AK16),(1-$AM16)*INDEX(H_Curve!$B$1:$F$100,4+($B16)*17+3+W$9*2,$AK16)+$AM16*INDEX(H_Curve!$B$1:$F$100,4+($B16)*17+3+W$9*2,$AL16)),(1-$C16)*INDEX(H_Parametri!$A$14:$A$16,$B16)/1000*IF($AH16=0,INDEX(H_Curve!$B$1:$F$100,4+($B16-1)*17+3+W$9*2,$AF16),(1-$AH16)*INDEX(H_Curve!$B$1:$F$100,4+($B16-1)*17+3+W$9*2,$AF16)+$AH16*INDEX(H_Curve!$B$1:$F$100,4+($B16-1)*17+3+W$9*2,$AG16))+$C16*INDEX(H_Parametri!$A$14:$A$16,$B16+1)/1000*IF($AM16=0,INDEX(H_Curve!$B$1:$F$100,4+($B16)*17+3+W$9*2,$AK16),(1-$AM16)*INDEX(H_Curve!$B$1:$F$100,4+($B16)*17+3+W$9*2,$AK16)+$AM16*INDEX(H_Curve!$B$1:$F$100,4+($B16)*17+3+W$9*2,$AL16)))))/($A16/1000)),""))</f>
        <v>0.34120318544740713</v>
      </c>
      <c r="X16" s="18">
        <f t="array" ref="X16">IF(E16="","",SUMPRODUCT(MAX(ISNUMBER(M16:V16)*ISNUMBER(N16:W16)*(M16:V16&gt;=$B$5)*(N16:W16&lt;$B$5)*(COLUMN(M16:V16)-COLUMN(M16)+1))))</f>
        <v>0</v>
      </c>
      <c r="Y16" s="9" t="str">
        <f t="shared" si="6"/>
        <v/>
      </c>
      <c r="Z16" s="9" t="str">
        <f t="shared" si="7"/>
        <v/>
      </c>
      <c r="AA16" s="13" t="str">
        <f t="shared" si="8"/>
        <v/>
      </c>
      <c r="AB16" s="13" t="str">
        <f t="shared" si="9"/>
        <v/>
      </c>
      <c r="AC16" s="18">
        <f t="shared" si="10"/>
        <v>10</v>
      </c>
      <c r="AD16" s="18">
        <f>IFERROR(LARGE(INDEX(H_Curve!$B$1:$F$100,4+($B16-1)*17+1,1):INDEX(H_Curve!$B$1:$F$100,4+($B16-1)*17+1,5),COUNTIF(INDEX(H_Curve!$B$1:$F$100,4+($B16-1)*17+1,1):INDEX(H_Curve!$B$1:$F$100,4+($B16-1)*17+1,5),"&gt;"&amp;$B$4)+1),0)</f>
        <v>300</v>
      </c>
      <c r="AE16" s="18">
        <f>IFERROR(SMALL(INDEX(H_Curve!$B$1:$F$100,4+($B16-1)*17+1,1):INDEX(H_Curve!$B$1:$F$100,4+($B16-1)*17+1,5),COUNTIF(INDEX(H_Curve!$B$1:$F$100,4+($B16-1)*17+1,1):INDEX(H_Curve!$B$1:$F$100,4+($B16-1)*17+1,5),"&lt;"&amp;$B$4)+1),1000000000)</f>
        <v>1000000000</v>
      </c>
      <c r="AF16" s="18">
        <f>IFERROR(IF(AD16=0,MATCH(AE16,INDEX(H_Curve!$B$1:$F$100,4+($B16-1)*17+1,1):INDEX(H_Curve!$B$1:$F$100,4+($B16-1)*17+1,5),0),MATCH(AD16,INDEX(H_Curve!$B$1:$F$100,4+($B16-1)*17+1,1):INDEX(H_Curve!$B$1:$F$100,4+($B16-1)*17+1,5),0)),"")</f>
        <v>4</v>
      </c>
      <c r="AG16" s="18">
        <f>IFERROR(IF(AE16&gt;=1000000000,MATCH(AD16,INDEX(H_Curve!$B$1:$F$100,4+($B16-1)*17+1,1):INDEX(H_Curve!$B$1:$F$100,4+($B16-1)*17+1,5),0),MATCH(AE16,INDEX(H_Curve!$B$1:$F$100,4+($B16-1)*17+1,1):INDEX(H_Curve!$B$1:$F$100,4+($B16-1)*17+1,5),0)),"")</f>
        <v>4</v>
      </c>
      <c r="AH16" s="13">
        <f t="shared" si="11"/>
        <v>0</v>
      </c>
      <c r="AI16" s="18">
        <f>IFERROR(LARGE(INDEX(H_Curve!$B$1:$F$100,4+($B16)*17+1,1):INDEX(H_Curve!$B$1:$F$100,4+($B16)*17+1,5),COUNTIF(INDEX(H_Curve!$B$1:$F$100,4+($B16)*17+1,1):INDEX(H_Curve!$B$1:$F$100,4+($B16)*17+1,5),"&gt;"&amp;$B$4)+1),0)</f>
        <v>450</v>
      </c>
      <c r="AJ16" s="18">
        <f>IFERROR(SMALL(INDEX(H_Curve!$B$1:$F$100,4+($B16)*17+1,1):INDEX(H_Curve!$B$1:$F$100,4+($B16)*17+1,5),COUNTIF(INDEX(H_Curve!$B$1:$F$100,4+($B16)*17+1,1):INDEX(H_Curve!$B$1:$F$100,4+($B16)*17+1,5),"&lt;"&amp;$B$4)+1),1000000000)</f>
        <v>450</v>
      </c>
      <c r="AK16" s="18">
        <f>IFERROR(IF(AI16=0,MATCH(AJ16,INDEX(H_Curve!$B$1:$F$100,4+($B16)*17+1,1):INDEX(H_Curve!$B$1:$F$100,4+($B16)*17+1,5),0),MATCH(AI16,INDEX(H_Curve!$B$1:$F$100,4+($B16)*17+1,1):INDEX(H_Curve!$B$1:$F$100,4+($B16)*17+1,5),0)),"")</f>
        <v>5</v>
      </c>
      <c r="AL16" s="18">
        <f>IFERROR(IF(AJ16&gt;=1000000000,MATCH(AI16,INDEX(H_Curve!$B$1:$F$100,4+($B16)*17+1,1):INDEX(H_Curve!$B$1:$F$100,4+($B16)*17+1,5),0),MATCH(AJ16,INDEX(H_Curve!$B$1:$F$100,4+($B16)*17+1,1):INDEX(H_Curve!$B$1:$F$100,4+($B16)*17+1,5),0)),"")</f>
        <v>5</v>
      </c>
      <c r="AM16" s="13">
        <f t="shared" si="12"/>
        <v>0</v>
      </c>
    </row>
    <row r="17" spans="1:39" x14ac:dyDescent="0.25">
      <c r="A17" s="12">
        <v>1500</v>
      </c>
      <c r="B17" s="18">
        <f>IFERROR(MAX(1,MIN(MATCH(A17,H_Parametri!$A$14:$A$16,1),H_Parametri!$B$10-1)),1)</f>
        <v>2</v>
      </c>
      <c r="C17" s="13">
        <f>(A17-INDEX(H_Parametri!$A$14:$A$16,B17))/(INDEX(H_Parametri!$A$14:$A$16,B17+1)-INDEX(H_Parametri!$A$14:$A$16,B17))</f>
        <v>1</v>
      </c>
      <c r="D17" s="34">
        <f>IFERROR(MAX(0.000001,(IF($C17=0,INDEX(H_Parametri!$A$14:$A$16,$B17)/1000*IF($AH17=0,INDEX(H_Curve!$B$1:$F$100,4+($B17-1)*17+2,$AF17),(1-$AH17)*INDEX(H_Curve!$B$1:$F$100,4+($B17-1)*17+2,$AF17)+$AH17*INDEX(H_Curve!$B$1:$F$100,4+($B17-1)*17+2,$AG17)),IF($C17=1,INDEX(H_Parametri!$A$14:$A$16,$B17+1)/1000*IF($AM17=0,INDEX(H_Curve!$B$1:$F$100,4+($B17)*17+2,$AK17),(1-$AM17)*INDEX(H_Curve!$B$1:$F$100,4+($B17)*17+2,$AK17)+$AM17*INDEX(H_Curve!$B$1:$F$100,4+($B17)*17+2,$AL17)),(1-$C17)*INDEX(H_Parametri!$A$14:$A$16,$B17)/1000*IF($AH17=0,INDEX(H_Curve!$B$1:$F$100,4+($B17-1)*17+2,$AF17),(1-$AH17)*INDEX(H_Curve!$B$1:$F$100,4+($B17-1)*17+2,$AF17)+$AH17*INDEX(H_Curve!$B$1:$F$100,4+($B17-1)*17+2,$AG17))+$C17*INDEX(H_Parametri!$A$14:$A$16,$B17+1)/1000*IF($AM17=0,INDEX(H_Curve!$B$1:$F$100,4+($B17)*17+2,$AK17),(1-$AM17)*INDEX(H_Curve!$B$1:$F$100,4+($B17)*17+2,$AK17)+$AM17*INDEX(H_Curve!$B$1:$F$100,4+($B17)*17+2,$AL17)))))/(A17/1000)),"")</f>
        <v>1.251625504482809E-2</v>
      </c>
      <c r="E17" s="23">
        <f t="shared" si="0"/>
        <v>5.6323147701726404</v>
      </c>
      <c r="F17" s="14">
        <f t="shared" si="1"/>
        <v>2.2193361894823311E-2</v>
      </c>
      <c r="G17" s="13">
        <f t="shared" si="2"/>
        <v>4.4386723789646622E-2</v>
      </c>
      <c r="H17" s="13">
        <f>IFERROR(INDEX(M17:W17,ROUND(H_Parametri!$B$9*2,0))/E17,"")</f>
        <v>0.15289607050501411</v>
      </c>
      <c r="I17" s="24">
        <f t="shared" si="3"/>
        <v>5.4128725232395549</v>
      </c>
      <c r="J17" s="23">
        <f t="shared" si="4"/>
        <v>0.35016732690785796</v>
      </c>
      <c r="K17" s="23">
        <f t="shared" si="5"/>
        <v>1.4006693076314318</v>
      </c>
      <c r="L17" s="5" t="str">
        <f>IF(E17="","",IF(OR(H_Parametri!$B$10&lt;2,A17&lt;INDEX(H_Parametri!$A$14:$A$16,1),A17&gt;INDEX(H_Parametri!$A$14:$A$16,H_Parametri!$B$10)),"L fuori campo: estrapolazione",IF(OR($B$4&lt;((1-C17)*INDEX(H_Parametri!$E$14:$E$16,B17)+C17*INDEX(H_Parametri!$E$14:$E$16,B17+1))*0.99,$B$4&gt;((1-C17)*INDEX(H_Parametri!$F$14:$F$16,B17)+C17*INDEX(H_Parametri!$F$14:$F$16,B17+1))*1.01),"Q fuori dal campo dei dati (estrapolazione)",IF(I17="&gt; x max","Il getto raggiunge la parete (lancio &gt; x max)",IF(I17="n.d.","Dati CFD non coprono tutta la distanza (curva incompleta)",IF(NOT(ISNUMBER(I17)),"vₜ non raggiunta / &lt; 0,5 m",IF(IFERROR(G17&gt;H17,FALSE()),"vₜ nel campo vicino (x &lt; "&amp;H_Parametri!$B$9&amp;" m): lancio poco significativo",IF(I17&gt;$B$7,"Oltre x max: influenzato dalla parete","OK"))))))))</f>
        <v>Oltre x max: influenzato dalla parete</v>
      </c>
      <c r="M17" s="13">
        <f>IF(E17="","",IFERROR(MAX(0.0001,$B$4*(IF($C17=0,INDEX(H_Parametri!$A$14:$A$16,$B17)/1000*IF($AH17=0,INDEX(H_Curve!$B$1:$F$100,4+($B17-1)*17+3+M$9*2,$AF17),(1-$AH17)*INDEX(H_Curve!$B$1:$F$100,4+($B17-1)*17+3+M$9*2,$AF17)+$AH17*INDEX(H_Curve!$B$1:$F$100,4+($B17-1)*17+3+M$9*2,$AG17)),IF($C17=1,INDEX(H_Parametri!$A$14:$A$16,$B17+1)/1000*IF($AM17=0,INDEX(H_Curve!$B$1:$F$100,4+($B17)*17+3+M$9*2,$AK17),(1-$AM17)*INDEX(H_Curve!$B$1:$F$100,4+($B17)*17+3+M$9*2,$AK17)+$AM17*INDEX(H_Curve!$B$1:$F$100,4+($B17)*17+3+M$9*2,$AL17)),(1-$C17)*INDEX(H_Parametri!$A$14:$A$16,$B17)/1000*IF($AH17=0,INDEX(H_Curve!$B$1:$F$100,4+($B17-1)*17+3+M$9*2,$AF17),(1-$AH17)*INDEX(H_Curve!$B$1:$F$100,4+($B17-1)*17+3+M$9*2,$AF17)+$AH17*INDEX(H_Curve!$B$1:$F$100,4+($B17-1)*17+3+M$9*2,$AG17))+$C17*INDEX(H_Parametri!$A$14:$A$16,$B17+1)/1000*IF($AM17=0,INDEX(H_Curve!$B$1:$F$100,4+($B17)*17+3+M$9*2,$AK17),(1-$AM17)*INDEX(H_Curve!$B$1:$F$100,4+($B17)*17+3+M$9*2,$AK17)+$AM17*INDEX(H_Curve!$B$1:$F$100,4+($B17)*17+3+M$9*2,$AL17)))))/($A17/1000)),""))</f>
        <v>0.97519854937273587</v>
      </c>
      <c r="N17" s="13">
        <f>IF(E17="","",IFERROR(MAX(0.0001,$B$4*(IF($C17=0,INDEX(H_Parametri!$A$14:$A$16,$B17)/1000*IF($AH17=0,INDEX(H_Curve!$B$1:$F$100,4+($B17-1)*17+3+N$9*2,$AF17),(1-$AH17)*INDEX(H_Curve!$B$1:$F$100,4+($B17-1)*17+3+N$9*2,$AF17)+$AH17*INDEX(H_Curve!$B$1:$F$100,4+($B17-1)*17+3+N$9*2,$AG17)),IF($C17=1,INDEX(H_Parametri!$A$14:$A$16,$B17+1)/1000*IF($AM17=0,INDEX(H_Curve!$B$1:$F$100,4+($B17)*17+3+N$9*2,$AK17),(1-$AM17)*INDEX(H_Curve!$B$1:$F$100,4+($B17)*17+3+N$9*2,$AK17)+$AM17*INDEX(H_Curve!$B$1:$F$100,4+($B17)*17+3+N$9*2,$AL17)),(1-$C17)*INDEX(H_Parametri!$A$14:$A$16,$B17)/1000*IF($AH17=0,INDEX(H_Curve!$B$1:$F$100,4+($B17-1)*17+3+N$9*2,$AF17),(1-$AH17)*INDEX(H_Curve!$B$1:$F$100,4+($B17-1)*17+3+N$9*2,$AF17)+$AH17*INDEX(H_Curve!$B$1:$F$100,4+($B17-1)*17+3+N$9*2,$AG17))+$C17*INDEX(H_Parametri!$A$14:$A$16,$B17+1)/1000*IF($AM17=0,INDEX(H_Curve!$B$1:$F$100,4+($B17)*17+3+N$9*2,$AK17),(1-$AM17)*INDEX(H_Curve!$B$1:$F$100,4+($B17)*17+3+N$9*2,$AK17)+$AM17*INDEX(H_Curve!$B$1:$F$100,4+($B17)*17+3+N$9*2,$AL17)))))/($A17/1000)),""))</f>
        <v>0.86115879620674829</v>
      </c>
      <c r="O17" s="13">
        <f>IF(E17="","",IFERROR(MAX(0.0001,$B$4*(IF($C17=0,INDEX(H_Parametri!$A$14:$A$16,$B17)/1000*IF($AH17=0,INDEX(H_Curve!$B$1:$F$100,4+($B17-1)*17+3+O$9*2,$AF17),(1-$AH17)*INDEX(H_Curve!$B$1:$F$100,4+($B17-1)*17+3+O$9*2,$AF17)+$AH17*INDEX(H_Curve!$B$1:$F$100,4+($B17-1)*17+3+O$9*2,$AG17)),IF($C17=1,INDEX(H_Parametri!$A$14:$A$16,$B17+1)/1000*IF($AM17=0,INDEX(H_Curve!$B$1:$F$100,4+($B17)*17+3+O$9*2,$AK17),(1-$AM17)*INDEX(H_Curve!$B$1:$F$100,4+($B17)*17+3+O$9*2,$AK17)+$AM17*INDEX(H_Curve!$B$1:$F$100,4+($B17)*17+3+O$9*2,$AL17)),(1-$C17)*INDEX(H_Parametri!$A$14:$A$16,$B17)/1000*IF($AH17=0,INDEX(H_Curve!$B$1:$F$100,4+($B17-1)*17+3+O$9*2,$AF17),(1-$AH17)*INDEX(H_Curve!$B$1:$F$100,4+($B17-1)*17+3+O$9*2,$AF17)+$AH17*INDEX(H_Curve!$B$1:$F$100,4+($B17-1)*17+3+O$9*2,$AG17))+$C17*INDEX(H_Parametri!$A$14:$A$16,$B17+1)/1000*IF($AM17=0,INDEX(H_Curve!$B$1:$F$100,4+($B17)*17+3+O$9*2,$AK17),(1-$AM17)*INDEX(H_Curve!$B$1:$F$100,4+($B17)*17+3+O$9*2,$AK17)+$AM17*INDEX(H_Curve!$B$1:$F$100,4+($B17)*17+3+O$9*2,$AL17)))))/($A17/1000)),""))</f>
        <v>0.86943516054562509</v>
      </c>
      <c r="P17" s="13">
        <f>IF(E17="","",IFERROR(MAX(0.0001,$B$4*(IF($C17=0,INDEX(H_Parametri!$A$14:$A$16,$B17)/1000*IF($AH17=0,INDEX(H_Curve!$B$1:$F$100,4+($B17-1)*17+3+P$9*2,$AF17),(1-$AH17)*INDEX(H_Curve!$B$1:$F$100,4+($B17-1)*17+3+P$9*2,$AF17)+$AH17*INDEX(H_Curve!$B$1:$F$100,4+($B17-1)*17+3+P$9*2,$AG17)),IF($C17=1,INDEX(H_Parametri!$A$14:$A$16,$B17+1)/1000*IF($AM17=0,INDEX(H_Curve!$B$1:$F$100,4+($B17)*17+3+P$9*2,$AK17),(1-$AM17)*INDEX(H_Curve!$B$1:$F$100,4+($B17)*17+3+P$9*2,$AK17)+$AM17*INDEX(H_Curve!$B$1:$F$100,4+($B17)*17+3+P$9*2,$AL17)),(1-$C17)*INDEX(H_Parametri!$A$14:$A$16,$B17)/1000*IF($AH17=0,INDEX(H_Curve!$B$1:$F$100,4+($B17-1)*17+3+P$9*2,$AF17),(1-$AH17)*INDEX(H_Curve!$B$1:$F$100,4+($B17-1)*17+3+P$9*2,$AF17)+$AH17*INDEX(H_Curve!$B$1:$F$100,4+($B17-1)*17+3+P$9*2,$AG17))+$C17*INDEX(H_Parametri!$A$14:$A$16,$B17+1)/1000*IF($AM17=0,INDEX(H_Curve!$B$1:$F$100,4+($B17)*17+3+P$9*2,$AK17),(1-$AM17)*INDEX(H_Curve!$B$1:$F$100,4+($B17)*17+3+P$9*2,$AK17)+$AM17*INDEX(H_Curve!$B$1:$F$100,4+($B17)*17+3+P$9*2,$AL17)))))/($A17/1000)),""))</f>
        <v>0.85923883494590758</v>
      </c>
      <c r="Q17" s="13">
        <f>IF(E17="","",IFERROR(MAX(0.0001,$B$4*(IF($C17=0,INDEX(H_Parametri!$A$14:$A$16,$B17)/1000*IF($AH17=0,INDEX(H_Curve!$B$1:$F$100,4+($B17-1)*17+3+Q$9*2,$AF17),(1-$AH17)*INDEX(H_Curve!$B$1:$F$100,4+($B17-1)*17+3+Q$9*2,$AF17)+$AH17*INDEX(H_Curve!$B$1:$F$100,4+($B17-1)*17+3+Q$9*2,$AG17)),IF($C17=1,INDEX(H_Parametri!$A$14:$A$16,$B17+1)/1000*IF($AM17=0,INDEX(H_Curve!$B$1:$F$100,4+($B17)*17+3+Q$9*2,$AK17),(1-$AM17)*INDEX(H_Curve!$B$1:$F$100,4+($B17)*17+3+Q$9*2,$AK17)+$AM17*INDEX(H_Curve!$B$1:$F$100,4+($B17)*17+3+Q$9*2,$AL17)),(1-$C17)*INDEX(H_Parametri!$A$14:$A$16,$B17)/1000*IF($AH17=0,INDEX(H_Curve!$B$1:$F$100,4+($B17-1)*17+3+Q$9*2,$AF17),(1-$AH17)*INDEX(H_Curve!$B$1:$F$100,4+($B17-1)*17+3+Q$9*2,$AF17)+$AH17*INDEX(H_Curve!$B$1:$F$100,4+($B17-1)*17+3+Q$9*2,$AG17))+$C17*INDEX(H_Parametri!$A$14:$A$16,$B17+1)/1000*IF($AM17=0,INDEX(H_Curve!$B$1:$F$100,4+($B17)*17+3+Q$9*2,$AK17),(1-$AM17)*INDEX(H_Curve!$B$1:$F$100,4+($B17)*17+3+Q$9*2,$AK17)+$AM17*INDEX(H_Curve!$B$1:$F$100,4+($B17)*17+3+Q$9*2,$AL17)))))/($A17/1000)),""))</f>
        <v>0.82193289211223297</v>
      </c>
      <c r="R17" s="13">
        <f>IF(E17="","",IFERROR(MAX(0.0001,$B$4*(IF($C17=0,INDEX(H_Parametri!$A$14:$A$16,$B17)/1000*IF($AH17=0,INDEX(H_Curve!$B$1:$F$100,4+($B17-1)*17+3+R$9*2,$AF17),(1-$AH17)*INDEX(H_Curve!$B$1:$F$100,4+($B17-1)*17+3+R$9*2,$AF17)+$AH17*INDEX(H_Curve!$B$1:$F$100,4+($B17-1)*17+3+R$9*2,$AG17)),IF($C17=1,INDEX(H_Parametri!$A$14:$A$16,$B17+1)/1000*IF($AM17=0,INDEX(H_Curve!$B$1:$F$100,4+($B17)*17+3+R$9*2,$AK17),(1-$AM17)*INDEX(H_Curve!$B$1:$F$100,4+($B17)*17+3+R$9*2,$AK17)+$AM17*INDEX(H_Curve!$B$1:$F$100,4+($B17)*17+3+R$9*2,$AL17)),(1-$C17)*INDEX(H_Parametri!$A$14:$A$16,$B17)/1000*IF($AH17=0,INDEX(H_Curve!$B$1:$F$100,4+($B17-1)*17+3+R$9*2,$AF17),(1-$AH17)*INDEX(H_Curve!$B$1:$F$100,4+($B17-1)*17+3+R$9*2,$AF17)+$AH17*INDEX(H_Curve!$B$1:$F$100,4+($B17-1)*17+3+R$9*2,$AG17))+$C17*INDEX(H_Parametri!$A$14:$A$16,$B17+1)/1000*IF($AM17=0,INDEX(H_Curve!$B$1:$F$100,4+($B17)*17+3+R$9*2,$AK17),(1-$AM17)*INDEX(H_Curve!$B$1:$F$100,4+($B17)*17+3+R$9*2,$AK17)+$AM17*INDEX(H_Curve!$B$1:$F$100,4+($B17)*17+3+R$9*2,$AL17)))))/($A17/1000)),""))</f>
        <v>0.75779136775269029</v>
      </c>
      <c r="S17" s="13">
        <f>IF(E17="","",IFERROR(MAX(0.0001,$B$4*(IF($C17=0,INDEX(H_Parametri!$A$14:$A$16,$B17)/1000*IF($AH17=0,INDEX(H_Curve!$B$1:$F$100,4+($B17-1)*17+3+S$9*2,$AF17),(1-$AH17)*INDEX(H_Curve!$B$1:$F$100,4+($B17-1)*17+3+S$9*2,$AF17)+$AH17*INDEX(H_Curve!$B$1:$F$100,4+($B17-1)*17+3+S$9*2,$AG17)),IF($C17=1,INDEX(H_Parametri!$A$14:$A$16,$B17+1)/1000*IF($AM17=0,INDEX(H_Curve!$B$1:$F$100,4+($B17)*17+3+S$9*2,$AK17),(1-$AM17)*INDEX(H_Curve!$B$1:$F$100,4+($B17)*17+3+S$9*2,$AK17)+$AM17*INDEX(H_Curve!$B$1:$F$100,4+($B17)*17+3+S$9*2,$AL17)),(1-$C17)*INDEX(H_Parametri!$A$14:$A$16,$B17)/1000*IF($AH17=0,INDEX(H_Curve!$B$1:$F$100,4+($B17-1)*17+3+S$9*2,$AF17),(1-$AH17)*INDEX(H_Curve!$B$1:$F$100,4+($B17-1)*17+3+S$9*2,$AF17)+$AH17*INDEX(H_Curve!$B$1:$F$100,4+($B17-1)*17+3+S$9*2,$AG17))+$C17*INDEX(H_Parametri!$A$14:$A$16,$B17+1)/1000*IF($AM17=0,INDEX(H_Curve!$B$1:$F$100,4+($B17)*17+3+S$9*2,$AK17),(1-$AM17)*INDEX(H_Curve!$B$1:$F$100,4+($B17)*17+3+S$9*2,$AK17)+$AM17*INDEX(H_Curve!$B$1:$F$100,4+($B17)*17+3+S$9*2,$AL17)))))/($A17/1000)),""))</f>
        <v>0.61520953957079783</v>
      </c>
      <c r="T17" s="13">
        <f>IF(E17="","",IFERROR(MAX(0.0001,$B$4*(IF($C17=0,INDEX(H_Parametri!$A$14:$A$16,$B17)/1000*IF($AH17=0,INDEX(H_Curve!$B$1:$F$100,4+($B17-1)*17+3+T$9*2,$AF17),(1-$AH17)*INDEX(H_Curve!$B$1:$F$100,4+($B17-1)*17+3+T$9*2,$AF17)+$AH17*INDEX(H_Curve!$B$1:$F$100,4+($B17-1)*17+3+T$9*2,$AG17)),IF($C17=1,INDEX(H_Parametri!$A$14:$A$16,$B17+1)/1000*IF($AM17=0,INDEX(H_Curve!$B$1:$F$100,4+($B17)*17+3+T$9*2,$AK17),(1-$AM17)*INDEX(H_Curve!$B$1:$F$100,4+($B17)*17+3+T$9*2,$AK17)+$AM17*INDEX(H_Curve!$B$1:$F$100,4+($B17)*17+3+T$9*2,$AL17)),(1-$C17)*INDEX(H_Parametri!$A$14:$A$16,$B17)/1000*IF($AH17=0,INDEX(H_Curve!$B$1:$F$100,4+($B17-1)*17+3+T$9*2,$AF17),(1-$AH17)*INDEX(H_Curve!$B$1:$F$100,4+($B17-1)*17+3+T$9*2,$AF17)+$AH17*INDEX(H_Curve!$B$1:$F$100,4+($B17-1)*17+3+T$9*2,$AG17))+$C17*INDEX(H_Parametri!$A$14:$A$16,$B17+1)/1000*IF($AM17=0,INDEX(H_Curve!$B$1:$F$100,4+($B17)*17+3+T$9*2,$AK17),(1-$AM17)*INDEX(H_Curve!$B$1:$F$100,4+($B17)*17+3+T$9*2,$AK17)+$AM17*INDEX(H_Curve!$B$1:$F$100,4+($B17)*17+3+T$9*2,$AL17)))))/($A17/1000)),""))</f>
        <v>0.45375946244507692</v>
      </c>
      <c r="U17" s="13">
        <f>IF(E17="","",IFERROR(MAX(0.0001,$B$4*(IF($C17=0,INDEX(H_Parametri!$A$14:$A$16,$B17)/1000*IF($AH17=0,INDEX(H_Curve!$B$1:$F$100,4+($B17-1)*17+3+U$9*2,$AF17),(1-$AH17)*INDEX(H_Curve!$B$1:$F$100,4+($B17-1)*17+3+U$9*2,$AF17)+$AH17*INDEX(H_Curve!$B$1:$F$100,4+($B17-1)*17+3+U$9*2,$AG17)),IF($C17=1,INDEX(H_Parametri!$A$14:$A$16,$B17+1)/1000*IF($AM17=0,INDEX(H_Curve!$B$1:$F$100,4+($B17)*17+3+U$9*2,$AK17),(1-$AM17)*INDEX(H_Curve!$B$1:$F$100,4+($B17)*17+3+U$9*2,$AK17)+$AM17*INDEX(H_Curve!$B$1:$F$100,4+($B17)*17+3+U$9*2,$AL17)),(1-$C17)*INDEX(H_Parametri!$A$14:$A$16,$B17)/1000*IF($AH17=0,INDEX(H_Curve!$B$1:$F$100,4+($B17-1)*17+3+U$9*2,$AF17),(1-$AH17)*INDEX(H_Curve!$B$1:$F$100,4+($B17-1)*17+3+U$9*2,$AF17)+$AH17*INDEX(H_Curve!$B$1:$F$100,4+($B17-1)*17+3+U$9*2,$AG17))+$C17*INDEX(H_Parametri!$A$14:$A$16,$B17+1)/1000*IF($AM17=0,INDEX(H_Curve!$B$1:$F$100,4+($B17)*17+3+U$9*2,$AK17),(1-$AM17)*INDEX(H_Curve!$B$1:$F$100,4+($B17)*17+3+U$9*2,$AK17)+$AM17*INDEX(H_Curve!$B$1:$F$100,4+($B17)*17+3+U$9*2,$AL17)))))/($A17/1000)),""))</f>
        <v>0.37812881874363774</v>
      </c>
      <c r="V17" s="13">
        <f>IF(E17="","",IFERROR(MAX(0.0001,$B$4*(IF($C17=0,INDEX(H_Parametri!$A$14:$A$16,$B17)/1000*IF($AH17=0,INDEX(H_Curve!$B$1:$F$100,4+($B17-1)*17+3+V$9*2,$AF17),(1-$AH17)*INDEX(H_Curve!$B$1:$F$100,4+($B17-1)*17+3+V$9*2,$AF17)+$AH17*INDEX(H_Curve!$B$1:$F$100,4+($B17-1)*17+3+V$9*2,$AG17)),IF($C17=1,INDEX(H_Parametri!$A$14:$A$16,$B17+1)/1000*IF($AM17=0,INDEX(H_Curve!$B$1:$F$100,4+($B17)*17+3+V$9*2,$AK17),(1-$AM17)*INDEX(H_Curve!$B$1:$F$100,4+($B17)*17+3+V$9*2,$AK17)+$AM17*INDEX(H_Curve!$B$1:$F$100,4+($B17)*17+3+V$9*2,$AL17)),(1-$C17)*INDEX(H_Parametri!$A$14:$A$16,$B17)/1000*IF($AH17=0,INDEX(H_Curve!$B$1:$F$100,4+($B17-1)*17+3+V$9*2,$AF17),(1-$AH17)*INDEX(H_Curve!$B$1:$F$100,4+($B17-1)*17+3+V$9*2,$AF17)+$AH17*INDEX(H_Curve!$B$1:$F$100,4+($B17-1)*17+3+V$9*2,$AG17))+$C17*INDEX(H_Parametri!$A$14:$A$16,$B17+1)/1000*IF($AM17=0,INDEX(H_Curve!$B$1:$F$100,4+($B17)*17+3+V$9*2,$AK17),(1-$AM17)*INDEX(H_Curve!$B$1:$F$100,4+($B17)*17+3+V$9*2,$AK17)+$AM17*INDEX(H_Curve!$B$1:$F$100,4+($B17)*17+3+V$9*2,$AL17)))))/($A17/1000)),""))</f>
        <v>0.35016732690785796</v>
      </c>
      <c r="W17" s="13">
        <f>IF(E17="","",IFERROR(MAX(0.0001,$B$4*(IF($C17=0,INDEX(H_Parametri!$A$14:$A$16,$B17)/1000*IF($AH17=0,INDEX(H_Curve!$B$1:$F$100,4+($B17-1)*17+3+W$9*2,$AF17),(1-$AH17)*INDEX(H_Curve!$B$1:$F$100,4+($B17-1)*17+3+W$9*2,$AF17)+$AH17*INDEX(H_Curve!$B$1:$F$100,4+($B17-1)*17+3+W$9*2,$AG17)),IF($C17=1,INDEX(H_Parametri!$A$14:$A$16,$B17+1)/1000*IF($AM17=0,INDEX(H_Curve!$B$1:$F$100,4+($B17)*17+3+W$9*2,$AK17),(1-$AM17)*INDEX(H_Curve!$B$1:$F$100,4+($B17)*17+3+W$9*2,$AK17)+$AM17*INDEX(H_Curve!$B$1:$F$100,4+($B17)*17+3+W$9*2,$AL17)),(1-$C17)*INDEX(H_Parametri!$A$14:$A$16,$B17)/1000*IF($AH17=0,INDEX(H_Curve!$B$1:$F$100,4+($B17-1)*17+3+W$9*2,$AF17),(1-$AH17)*INDEX(H_Curve!$B$1:$F$100,4+($B17-1)*17+3+W$9*2,$AF17)+$AH17*INDEX(H_Curve!$B$1:$F$100,4+($B17-1)*17+3+W$9*2,$AG17))+$C17*INDEX(H_Parametri!$A$14:$A$16,$B17+1)/1000*IF($AM17=0,INDEX(H_Curve!$B$1:$F$100,4+($B17)*17+3+W$9*2,$AK17),(1-$AM17)*INDEX(H_Curve!$B$1:$F$100,4+($B17)*17+3+W$9*2,$AK17)+$AM17*INDEX(H_Curve!$B$1:$F$100,4+($B17)*17+3+W$9*2,$AL17)))))/($A17/1000)),""))</f>
        <v>0.23360862161018647</v>
      </c>
      <c r="X17" s="18">
        <f t="array" ref="X17">IF(E17="","",SUMPRODUCT(MAX(ISNUMBER(M17:V17)*ISNUMBER(N17:W17)*(M17:V17&gt;=$B$5)*(N17:W17&lt;$B$5)*(COLUMN(M17:V17)-COLUMN(M17)+1))))</f>
        <v>10</v>
      </c>
      <c r="Y17" s="9">
        <f t="shared" si="6"/>
        <v>5</v>
      </c>
      <c r="Z17" s="9">
        <f t="shared" si="7"/>
        <v>5.5</v>
      </c>
      <c r="AA17" s="13">
        <f t="shared" si="8"/>
        <v>0.35016732690785796</v>
      </c>
      <c r="AB17" s="13">
        <f t="shared" si="9"/>
        <v>0.23360862161018647</v>
      </c>
      <c r="AC17" s="18">
        <f t="shared" si="10"/>
        <v>10</v>
      </c>
      <c r="AD17" s="18">
        <f>IFERROR(LARGE(INDEX(H_Curve!$B$1:$F$100,4+($B17-1)*17+1,1):INDEX(H_Curve!$B$1:$F$100,4+($B17-1)*17+1,5),COUNTIF(INDEX(H_Curve!$B$1:$F$100,4+($B17-1)*17+1,1):INDEX(H_Curve!$B$1:$F$100,4+($B17-1)*17+1,5),"&gt;"&amp;$B$4)+1),0)</f>
        <v>300</v>
      </c>
      <c r="AE17" s="18">
        <f>IFERROR(SMALL(INDEX(H_Curve!$B$1:$F$100,4+($B17-1)*17+1,1):INDEX(H_Curve!$B$1:$F$100,4+($B17-1)*17+1,5),COUNTIF(INDEX(H_Curve!$B$1:$F$100,4+($B17-1)*17+1,1):INDEX(H_Curve!$B$1:$F$100,4+($B17-1)*17+1,5),"&lt;"&amp;$B$4)+1),1000000000)</f>
        <v>1000000000</v>
      </c>
      <c r="AF17" s="18">
        <f>IFERROR(IF(AD17=0,MATCH(AE17,INDEX(H_Curve!$B$1:$F$100,4+($B17-1)*17+1,1):INDEX(H_Curve!$B$1:$F$100,4+($B17-1)*17+1,5),0),MATCH(AD17,INDEX(H_Curve!$B$1:$F$100,4+($B17-1)*17+1,1):INDEX(H_Curve!$B$1:$F$100,4+($B17-1)*17+1,5),0)),"")</f>
        <v>4</v>
      </c>
      <c r="AG17" s="18">
        <f>IFERROR(IF(AE17&gt;=1000000000,MATCH(AD17,INDEX(H_Curve!$B$1:$F$100,4+($B17-1)*17+1,1):INDEX(H_Curve!$B$1:$F$100,4+($B17-1)*17+1,5),0),MATCH(AE17,INDEX(H_Curve!$B$1:$F$100,4+($B17-1)*17+1,1):INDEX(H_Curve!$B$1:$F$100,4+($B17-1)*17+1,5),0)),"")</f>
        <v>4</v>
      </c>
      <c r="AH17" s="13">
        <f t="shared" si="11"/>
        <v>0</v>
      </c>
      <c r="AI17" s="18">
        <f>IFERROR(LARGE(INDEX(H_Curve!$B$1:$F$100,4+($B17)*17+1,1):INDEX(H_Curve!$B$1:$F$100,4+($B17)*17+1,5),COUNTIF(INDEX(H_Curve!$B$1:$F$100,4+($B17)*17+1,1):INDEX(H_Curve!$B$1:$F$100,4+($B17)*17+1,5),"&gt;"&amp;$B$4)+1),0)</f>
        <v>450</v>
      </c>
      <c r="AJ17" s="18">
        <f>IFERROR(SMALL(INDEX(H_Curve!$B$1:$F$100,4+($B17)*17+1,1):INDEX(H_Curve!$B$1:$F$100,4+($B17)*17+1,5),COUNTIF(INDEX(H_Curve!$B$1:$F$100,4+($B17)*17+1,1):INDEX(H_Curve!$B$1:$F$100,4+($B17)*17+1,5),"&lt;"&amp;$B$4)+1),1000000000)</f>
        <v>450</v>
      </c>
      <c r="AK17" s="18">
        <f>IFERROR(IF(AI17=0,MATCH(AJ17,INDEX(H_Curve!$B$1:$F$100,4+($B17)*17+1,1):INDEX(H_Curve!$B$1:$F$100,4+($B17)*17+1,5),0),MATCH(AI17,INDEX(H_Curve!$B$1:$F$100,4+($B17)*17+1,1):INDEX(H_Curve!$B$1:$F$100,4+($B17)*17+1,5),0)),"")</f>
        <v>5</v>
      </c>
      <c r="AL17" s="18">
        <f>IFERROR(IF(AJ17&gt;=1000000000,MATCH(AI17,INDEX(H_Curve!$B$1:$F$100,4+($B17)*17+1,1):INDEX(H_Curve!$B$1:$F$100,4+($B17)*17+1,5),0),MATCH(AJ17,INDEX(H_Curve!$B$1:$F$100,4+($B17)*17+1,1):INDEX(H_Curve!$B$1:$F$100,4+($B17)*17+1,5),0)),"")</f>
        <v>5</v>
      </c>
      <c r="AM17" s="13">
        <f t="shared" si="12"/>
        <v>0</v>
      </c>
    </row>
    <row r="19" spans="1:39" x14ac:dyDescent="0.25">
      <c r="A19" s="3" t="s">
        <v>147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700-000002000000}">
            <xm:f>M$9&gt;H_Parametri!$B$7</xm:f>
            <x14:dxf>
              <fill>
                <patternFill>
                  <bgColor rgb="FFD9D9D9"/>
                </patternFill>
              </fill>
            </x14:dxf>
          </x14:cfRule>
          <xm:sqref>M10:W17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9"/>
  <sheetViews>
    <sheetView zoomScaleNormal="100" workbookViewId="0">
      <pane ySplit="4" topLeftCell="A5" activePane="bottomLeft" state="frozen"/>
      <selection pane="bottomLeft" activeCell="M13" sqref="M13"/>
    </sheetView>
  </sheetViews>
  <sheetFormatPr defaultColWidth="8.7109375" defaultRowHeight="15" x14ac:dyDescent="0.25"/>
  <cols>
    <col min="1" max="1" width="9" customWidth="1"/>
    <col min="2" max="4" width="12" customWidth="1"/>
    <col min="5" max="5" width="13" customWidth="1"/>
    <col min="6" max="6" width="12" customWidth="1"/>
    <col min="7" max="7" width="13" customWidth="1"/>
    <col min="8" max="9" width="12" customWidth="1"/>
    <col min="10" max="10" width="60" customWidth="1"/>
    <col min="11" max="11" width="15" customWidth="1"/>
    <col min="12" max="12" width="14" customWidth="1"/>
    <col min="13" max="13" width="15" customWidth="1"/>
    <col min="14" max="14" width="18.28515625" customWidth="1"/>
    <col min="15" max="15" width="10" customWidth="1"/>
    <col min="16" max="16" width="36" customWidth="1"/>
    <col min="17" max="17" width="9" customWidth="1"/>
    <col min="18" max="19" width="8" customWidth="1"/>
    <col min="20" max="21" width="9" customWidth="1"/>
    <col min="22" max="23" width="8" customWidth="1"/>
    <col min="24" max="24" width="10" customWidth="1"/>
  </cols>
  <sheetData>
    <row r="1" spans="1:24" ht="18" customHeight="1" x14ac:dyDescent="0.25">
      <c r="A1" s="2" t="s">
        <v>148</v>
      </c>
    </row>
    <row r="2" spans="1:24" x14ac:dyDescent="0.25">
      <c r="A2" s="3" t="s">
        <v>149</v>
      </c>
    </row>
    <row r="4" spans="1:24" ht="45.75" customHeight="1" x14ac:dyDescent="0.25">
      <c r="A4" s="4" t="s">
        <v>90</v>
      </c>
      <c r="B4" s="4" t="s">
        <v>150</v>
      </c>
      <c r="C4" s="4" t="s">
        <v>151</v>
      </c>
      <c r="D4" s="4" t="s">
        <v>152</v>
      </c>
      <c r="E4" s="4" t="s">
        <v>153</v>
      </c>
      <c r="F4" s="4" t="s">
        <v>31</v>
      </c>
      <c r="G4" s="4" t="s">
        <v>154</v>
      </c>
      <c r="H4" s="4" t="s">
        <v>155</v>
      </c>
      <c r="I4" s="4" t="s">
        <v>156</v>
      </c>
      <c r="J4" s="4" t="s">
        <v>5</v>
      </c>
    </row>
    <row r="5" spans="1:24" x14ac:dyDescent="0.25">
      <c r="A5" s="30">
        <f>Parametri!A17</f>
        <v>500</v>
      </c>
      <c r="B5" s="13">
        <f>IFERROR(AVERAGE(E13:E17),"n.d.")</f>
        <v>1.0136623260374599E-2</v>
      </c>
      <c r="C5" s="23">
        <f>IFERROR(B5/Parametri!C17,"n.d.")</f>
        <v>0.50683116301872999</v>
      </c>
      <c r="D5" s="35">
        <f>IFERROR((SUMIFS(CFD_L500!$E$9:$E$108,CFD_L500!$A$9:$A$108,"&gt;="&amp;Parametri!$E$17,CFD_L500!$A$9:$A$108,"&lt;="&amp;Parametri!$B$7)+SUMIFS(CFD_L500!$L$9:$L$108,CFD_L500!$H$9:$H$108,"&gt;="&amp;Parametri!$E$17,CFD_L500!$H$9:$H$108,"&lt;="&amp;Parametri!$B$7)+SUMIFS(CFD_L500!$S$9:$S$108,CFD_L500!$O$9:$O$108,"&gt;="&amp;Parametri!$E$17,CFD_L500!$O$9:$O$108,"&lt;="&amp;Parametri!$B$7)+SUMIFS(CFD_L500!$Z$9:$Z$108,CFD_L500!$V$9:$V$108,"&gt;="&amp;Parametri!$E$17,CFD_L500!$V$9:$V$108,"&lt;="&amp;Parametri!$B$7)+SUMIFS(CFD_L500!$AG$9:$AG$108,CFD_L500!$AC$9:$AC$108,"&gt;="&amp;Parametri!$E$17,CFD_L500!$AC$9:$AC$108,"&lt;="&amp;Parametri!$B$7))/(COUNTIFS(CFD_L500!$A$9:$A$108,"&gt;="&amp;Parametri!$E$17,CFD_L500!$A$9:$A$108,"&lt;="&amp;Parametri!$B$7)+COUNTIFS(CFD_L500!$H$9:$H$108,"&gt;="&amp;Parametri!$E$17,CFD_L500!$H$9:$H$108,"&lt;="&amp;Parametri!$B$7)+COUNTIFS(CFD_L500!$O$9:$O$108,"&gt;="&amp;Parametri!$E$17,CFD_L500!$O$9:$O$108,"&lt;="&amp;Parametri!$B$7)+COUNTIFS(CFD_L500!$V$9:$V$108,"&gt;="&amp;Parametri!$E$17,CFD_L500!$V$9:$V$108,"&lt;="&amp;Parametri!$B$7)+COUNTIFS(CFD_L500!$AC$9:$AC$108,"&gt;="&amp;Parametri!$E$17,CFD_L500!$AC$9:$AC$108,"&lt;="&amp;Parametri!$B$7)),"n.d.")</f>
        <v>1.3794608427795873E-2</v>
      </c>
      <c r="E5" s="9">
        <f>IFERROR(D5*3600*B5/Parametri!$B$4,"n.d.")</f>
        <v>12.58476737912596</v>
      </c>
      <c r="F5" s="20">
        <f>Parametri!D17</f>
        <v>0.125</v>
      </c>
      <c r="G5" s="18">
        <f>IFERROR(Parametri!$B$10*3600*B5/F5,"n.d.")</f>
        <v>72.98368747469712</v>
      </c>
      <c r="H5" s="18">
        <f>MIN(B13:B17)</f>
        <v>80</v>
      </c>
      <c r="I5" s="18">
        <f>MAX(B13:B17)</f>
        <v>250</v>
      </c>
      <c r="J5" s="36" t="str">
        <f>Parametri!F17</f>
        <v>Tratto 1/x sviluppato (≈4-8,5 m)</v>
      </c>
    </row>
    <row r="6" spans="1:24" x14ac:dyDescent="0.25">
      <c r="A6" s="30">
        <f>Parametri!A18</f>
        <v>1000</v>
      </c>
      <c r="B6" s="13">
        <f>IFERROR(AVERAGE(E18:E22),"n.d.")</f>
        <v>2.1263650728595609E-2</v>
      </c>
      <c r="C6" s="23">
        <f>IFERROR(B6/Parametri!C18,"n.d.")</f>
        <v>0.53159126821489022</v>
      </c>
      <c r="D6" s="35">
        <f>IFERROR((SUMIFS(CFD_L1000!$E$9:$E$108,CFD_L1000!$A$9:$A$108,"&gt;="&amp;Parametri!$E$18,CFD_L1000!$A$9:$A$108,"&lt;="&amp;Parametri!$B$7)+SUMIFS(CFD_L1000!$L$9:$L$108,CFD_L1000!$H$9:$H$108,"&gt;="&amp;Parametri!$E$18,CFD_L1000!$H$9:$H$108,"&lt;="&amp;Parametri!$B$7)+SUMIFS(CFD_L1000!$S$9:$S$108,CFD_L1000!$O$9:$O$108,"&gt;="&amp;Parametri!$E$18,CFD_L1000!$O$9:$O$108,"&lt;="&amp;Parametri!$B$7)+SUMIFS(CFD_L1000!$Z$9:$Z$108,CFD_L1000!$V$9:$V$108,"&gt;="&amp;Parametri!$E$18,CFD_L1000!$V$9:$V$108,"&lt;="&amp;Parametri!$B$7)+SUMIFS(CFD_L1000!$AG$9:$AG$108,CFD_L1000!$AC$9:$AC$108,"&gt;="&amp;Parametri!$E$18,CFD_L1000!$AC$9:$AC$108,"&lt;="&amp;Parametri!$B$7))/(COUNTIFS(CFD_L1000!$A$9:$A$108,"&gt;="&amp;Parametri!$E$18,CFD_L1000!$A$9:$A$108,"&lt;="&amp;Parametri!$B$7)+COUNTIFS(CFD_L1000!$H$9:$H$108,"&gt;="&amp;Parametri!$E$18,CFD_L1000!$H$9:$H$108,"&lt;="&amp;Parametri!$B$7)+COUNTIFS(CFD_L1000!$O$9:$O$108,"&gt;="&amp;Parametri!$E$18,CFD_L1000!$O$9:$O$108,"&lt;="&amp;Parametri!$B$7)+COUNTIFS(CFD_L1000!$V$9:$V$108,"&gt;="&amp;Parametri!$E$18,CFD_L1000!$V$9:$V$108,"&lt;="&amp;Parametri!$B$7)+COUNTIFS(CFD_L1000!$AC$9:$AC$108,"&gt;="&amp;Parametri!$E$18,CFD_L1000!$AC$9:$AC$108,"&lt;="&amp;Parametri!$B$7)),"n.d.")</f>
        <v>9.6915621536153365E-3</v>
      </c>
      <c r="E6" s="9">
        <f>IFERROR(D6*3600*B6/Parametri!$B$4,"n.d.")</f>
        <v>18.547019338405715</v>
      </c>
      <c r="F6" s="20">
        <f>Parametri!D18</f>
        <v>0.15</v>
      </c>
      <c r="G6" s="18">
        <f>IFERROR(Parametri!$B$10*3600*B6/F6,"n.d.")</f>
        <v>127.58190437157366</v>
      </c>
      <c r="H6" s="18">
        <f>MIN(B18:B22)</f>
        <v>80</v>
      </c>
      <c r="I6" s="18">
        <f>MAX(B18:B22)</f>
        <v>250</v>
      </c>
      <c r="J6" s="36" t="str">
        <f>Parametri!F18</f>
        <v>Tratto 1/x sviluppato (≈5-8,5 m)</v>
      </c>
    </row>
    <row r="7" spans="1:24" x14ac:dyDescent="0.25">
      <c r="A7" s="30">
        <f>Parametri!A19</f>
        <v>1500</v>
      </c>
      <c r="B7" s="13">
        <f>IFERROR(AVERAGE(E23:E27),"n.d.")</f>
        <v>2.9018010402480504E-2</v>
      </c>
      <c r="C7" s="23">
        <f>IFERROR(B7/Parametri!C19,"n.d.")</f>
        <v>0.48363350670800842</v>
      </c>
      <c r="D7" s="35">
        <f>IFERROR((SUMIFS(CFD_L1500!$E$9:$E$108,CFD_L1500!$A$9:$A$108,"&gt;="&amp;Parametri!$E$19,CFD_L1500!$A$9:$A$108,"&lt;="&amp;Parametri!$B$7)+SUMIFS(CFD_L1500!$L$9:$L$108,CFD_L1500!$H$9:$H$108,"&gt;="&amp;Parametri!$E$19,CFD_L1500!$H$9:$H$108,"&lt;="&amp;Parametri!$B$7)+SUMIFS(CFD_L1500!$S$9:$S$108,CFD_L1500!$O$9:$O$108,"&gt;="&amp;Parametri!$E$19,CFD_L1500!$O$9:$O$108,"&lt;="&amp;Parametri!$B$7)+SUMIFS(CFD_L1500!$Z$9:$Z$108,CFD_L1500!$V$9:$V$108,"&gt;="&amp;Parametri!$E$19,CFD_L1500!$V$9:$V$108,"&lt;="&amp;Parametri!$B$7)+SUMIFS(CFD_L1500!$AG$9:$AG$108,CFD_L1500!$AC$9:$AC$108,"&gt;="&amp;Parametri!$E$19,CFD_L1500!$AC$9:$AC$108,"&lt;="&amp;Parametri!$B$7))/(COUNTIFS(CFD_L1500!$A$9:$A$108,"&gt;="&amp;Parametri!$E$19,CFD_L1500!$A$9:$A$108,"&lt;="&amp;Parametri!$B$7)+COUNTIFS(CFD_L1500!$H$9:$H$108,"&gt;="&amp;Parametri!$E$19,CFD_L1500!$H$9:$H$108,"&lt;="&amp;Parametri!$B$7)+COUNTIFS(CFD_L1500!$O$9:$O$108,"&gt;="&amp;Parametri!$E$19,CFD_L1500!$O$9:$O$108,"&lt;="&amp;Parametri!$B$7)+COUNTIFS(CFD_L1500!$V$9:$V$108,"&gt;="&amp;Parametri!$E$19,CFD_L1500!$V$9:$V$108,"&lt;="&amp;Parametri!$B$7)+COUNTIFS(CFD_L1500!$AC$9:$AC$108,"&gt;="&amp;Parametri!$E$19,CFD_L1500!$AC$9:$AC$108,"&lt;="&amp;Parametri!$B$7)),"n.d.")</f>
        <v>6.8624102114654487E-3</v>
      </c>
      <c r="E7" s="9">
        <f>IFERROR(D7*3600*B7/Parametri!$B$4,"n.d.")</f>
        <v>17.922014181215353</v>
      </c>
      <c r="F7" s="20">
        <f>Parametri!D19</f>
        <v>0.155</v>
      </c>
      <c r="G7" s="18">
        <f>IFERROR(Parametri!$B$10*3600*B7/F7,"n.d.")</f>
        <v>168.49167330472551</v>
      </c>
      <c r="H7" s="18">
        <f>MIN(B23:B27)</f>
        <v>80</v>
      </c>
      <c r="I7" s="18">
        <f>MAX(B23:B27)</f>
        <v>300</v>
      </c>
      <c r="J7" s="36" t="str">
        <f>Parametri!F19</f>
        <v>Tratto 1/x NON sviluppato: k è apparente (x 7-8,5 m)</v>
      </c>
    </row>
    <row r="8" spans="1:24" x14ac:dyDescent="0.25">
      <c r="A8" s="3" t="s">
        <v>157</v>
      </c>
    </row>
    <row r="9" spans="1:24" x14ac:dyDescent="0.25">
      <c r="A9" s="3" t="s">
        <v>158</v>
      </c>
    </row>
    <row r="12" spans="1:24" ht="48" customHeight="1" x14ac:dyDescent="0.25">
      <c r="A12" s="4" t="s">
        <v>90</v>
      </c>
      <c r="B12" s="4" t="s">
        <v>59</v>
      </c>
      <c r="C12" s="4" t="s">
        <v>159</v>
      </c>
      <c r="D12" s="4" t="s">
        <v>160</v>
      </c>
      <c r="E12" s="4" t="s">
        <v>51</v>
      </c>
      <c r="F12" s="4" t="s">
        <v>151</v>
      </c>
      <c r="G12" s="4" t="s">
        <v>161</v>
      </c>
      <c r="H12" s="4" t="s">
        <v>162</v>
      </c>
      <c r="I12" s="4" t="s">
        <v>163</v>
      </c>
      <c r="J12" s="4" t="s">
        <v>164</v>
      </c>
      <c r="K12" s="4" t="s">
        <v>57</v>
      </c>
      <c r="L12" s="4" t="s">
        <v>165</v>
      </c>
      <c r="M12" s="4" t="s">
        <v>166</v>
      </c>
      <c r="N12" s="4" t="s">
        <v>167</v>
      </c>
      <c r="O12" s="4" t="s">
        <v>61</v>
      </c>
      <c r="P12" s="4" t="s">
        <v>58</v>
      </c>
      <c r="Q12" s="4" t="s">
        <v>168</v>
      </c>
      <c r="R12" s="4" t="s">
        <v>65</v>
      </c>
      <c r="S12" s="4" t="s">
        <v>66</v>
      </c>
      <c r="T12" s="4" t="s">
        <v>67</v>
      </c>
      <c r="U12" s="4" t="s">
        <v>68</v>
      </c>
      <c r="V12" s="4" t="s">
        <v>169</v>
      </c>
      <c r="W12" s="4" t="s">
        <v>170</v>
      </c>
      <c r="X12" s="4" t="s">
        <v>171</v>
      </c>
    </row>
    <row r="13" spans="1:24" x14ac:dyDescent="0.25">
      <c r="A13" s="30">
        <f>Parametri!$A$17</f>
        <v>500</v>
      </c>
      <c r="B13" s="30">
        <f>IF(CFD_L500!B3="","",CFD_L500!B3)</f>
        <v>80</v>
      </c>
      <c r="C13" s="20">
        <f>IF(B13="","",CFD_L500!B5)</f>
        <v>1.1111111111111112</v>
      </c>
      <c r="D13" s="20">
        <f>IF(OR(B13="",CFD_L500!B4=""),"",CFD_L500!B4)</f>
        <v>2.170788113</v>
      </c>
      <c r="E13" s="19">
        <f>IF(D13="","",CFD_L500!B6)</f>
        <v>1.0236937492490416E-2</v>
      </c>
      <c r="F13" s="23">
        <f>IF(E13="","",E13/Parametri!$C$17)</f>
        <v>0.51184687462452083</v>
      </c>
      <c r="G13" s="34">
        <f>IF(B13="","",IFERROR(AVERAGEIFS(CFD_L500!$E$9:$E$108,CFD_L500!$A$9:$A$108,"&gt;="&amp;Parametri!$E$17,CFD_L500!$A$9:$A$108,"&lt;="&amp;Parametri!$B$7),"n.d."))</f>
        <v>1.3660014672952862E-2</v>
      </c>
      <c r="H13" s="34">
        <f>IF(V13="","",IFERROR(EXP(LN(INDEX(CFD_L500!$B$1:$B$130,8+V13))+(LN(Parametri!$B$12)-LN(INDEX(CFD_L500!$A$1:$A$130,8+V13)))*(LN(INDEX(CFD_L500!$B$1:$B$130,9+V13))-LN(INDEX(CFD_L500!$B$1:$B$130,8+V13)))/(LN(INDEX(CFD_L500!$A$1:$A$130,9+V13))-LN(INDEX(CFD_L500!$A$1:$A$130,8+V13))))*Parametri!$B$12/B13,""))</f>
        <v>1.3505315445861994E-2</v>
      </c>
      <c r="I13" s="34">
        <f>IF(W13="","",IFERROR(EXP(LN(INDEX(CFD_L500!$B$1:$B$130,8+W13))+(LN(Parametri!$B$13)-LN(INDEX(CFD_L500!$A$1:$A$130,8+W13)))*(LN(INDEX(CFD_L500!$B$1:$B$130,9+W13))-LN(INDEX(CFD_L500!$B$1:$B$130,8+W13)))/(LN(INDEX(CFD_L500!$A$1:$A$130,9+W13))-LN(INDEX(CFD_L500!$A$1:$A$130,8+W13))))*Parametri!$B$13/B13,""))</f>
        <v>1.4131685978036043E-2</v>
      </c>
      <c r="J13" s="9">
        <f>IF(OR(G13="",G13="n.d.",E13=""),"",G13*3600*E13/Parametri!$B$4)</f>
        <v>12.585304471816832</v>
      </c>
      <c r="K13" s="25">
        <f>IF(X13="","",IFERROR(EXP(LN(INDEX(CFD_L500!$B$1:$B$130,8+X13))+(LN(Parametri!$B$9)-LN(INDEX(CFD_L500!$A$1:$A$130,8+X13)))*(LN(INDEX(CFD_L500!$B$1:$B$130,9+X13))-LN(INDEX(CFD_L500!$B$1:$B$130,8+X13)))/(LN(INDEX(CFD_L500!$A$1:$A$130,9+X13))-LN(INDEX(CFD_L500!$A$1:$A$130,8+X13)))),""))</f>
        <v>0.13659822339555747</v>
      </c>
      <c r="L13" s="24">
        <f>IF(B13="","",IF(R13="","n.d.",EXP(LN(R13)+(LN(Parametri!$B$10)-LN(T13))*(LN(S13)-LN(R13))/(LN(U13)-LN(T13)))))</f>
        <v>4.2323475427376058</v>
      </c>
      <c r="M13" s="37">
        <f>IF(OR(B13="",NOT(ISNUMBER($D$5))),"",$D$5*B13/Parametri!$B$10)</f>
        <v>4.4142746968946796</v>
      </c>
      <c r="N13" s="38">
        <f t="shared" ref="N13:N27" si="0">IF(AND(ISNUMBER(L13),ISNUMBER(M13)),M13/L13-1,"")</f>
        <v>4.2984927943653162E-2</v>
      </c>
      <c r="O13" s="13">
        <f>IF(D13="","",Parametri!$B$10/D13)</f>
        <v>0.11516554679051719</v>
      </c>
      <c r="P13" s="5" t="str">
        <f>IF(B13="","",IF(NOT(ISNUMBER(L13)),"n.d.: vₜ non raggiunta oltre x min",IF(L13&gt;Parametri!$B$7,"CFD troncato dal pavimento",IF(O13&gt;$F$5,"vₜ nel plateau/transizione","OK"))))</f>
        <v>OK</v>
      </c>
      <c r="Q13" s="18">
        <f>IF(B13="","",MAX(CFD_L500!$F$9:$F$108))</f>
        <v>22</v>
      </c>
      <c r="R13" s="13">
        <f>IF(OR(Q13="",Q13=0),"",INDEX(CFD_L500!$A$1:$A$130,Q13))</f>
        <v>4.0708693069999997</v>
      </c>
      <c r="S13" s="13">
        <f>IF(R13="","",INDEX(CFD_L500!$A$1:$A$130,Q13+1))</f>
        <v>4.9858326100000001</v>
      </c>
      <c r="T13" s="14">
        <f>IF(R13="","",INDEX(CFD_L500!$B$1:$B$130,Q13))</f>
        <v>0.25864637299999998</v>
      </c>
      <c r="U13" s="14">
        <f>IF(R13="","",INDEX(CFD_L500!$B$1:$B$130,Q13+1))</f>
        <v>0.216643474</v>
      </c>
      <c r="V13" s="18">
        <f>IF(OR(B13="",Parametri!$B$12&gt;MAX(CFD_L500!$A$9:$A$108)),"",IFERROR(MATCH(Parametri!$B$12,INDEX(CFD_L500!$A$9:$A$108,1):INDEX(CFD_L500!$A$9:$A$108,COUNT(CFD_L500!$A$9:$A$108)),1),""))</f>
        <v>15</v>
      </c>
      <c r="W13" s="18">
        <f>IF(OR(B13="",Parametri!$B$13&gt;MAX(CFD_L500!$A$9:$A$108)),"",IFERROR(MATCH(Parametri!$B$13,INDEX(CFD_L500!$A$9:$A$108,1):INDEX(CFD_L500!$A$9:$A$108,COUNT(CFD_L500!$A$9:$A$108)),1),""))</f>
        <v>16</v>
      </c>
      <c r="X13" s="18">
        <f>IF(OR(B13="",Parametri!$B$9&gt;MAX(CFD_L500!$A$9:$A$108)),"",IFERROR(MATCH(Parametri!$B$9,INDEX(CFD_L500!$A$9:$A$108,1):INDEX(CFD_L500!$A$9:$A$108,COUNT(CFD_L500!$A$9:$A$108)),1),""))</f>
        <v>17</v>
      </c>
    </row>
    <row r="14" spans="1:24" x14ac:dyDescent="0.25">
      <c r="A14" s="30">
        <f>Parametri!$A$17</f>
        <v>500</v>
      </c>
      <c r="B14" s="30">
        <f>IF(CFD_L500!I3="","",CFD_L500!I3)</f>
        <v>150</v>
      </c>
      <c r="C14" s="20">
        <f>IF(B14="","",CFD_L500!I5)</f>
        <v>2.083333333333333</v>
      </c>
      <c r="D14" s="20">
        <f>IF(OR(B14="",CFD_L500!I4=""),"",CFD_L500!I4)</f>
        <v>4.1104894950000004</v>
      </c>
      <c r="E14" s="19">
        <f>IF(D14="","",CFD_L500!I6)</f>
        <v>1.0136667839037175E-2</v>
      </c>
      <c r="F14" s="23">
        <f>IF(E14="","",E14/Parametri!$C$17)</f>
        <v>0.50683339195185872</v>
      </c>
      <c r="G14" s="34">
        <f>IF(B14="","",IFERROR(AVERAGEIFS(CFD_L500!$L$9:$L$108,CFD_L500!$H$9:$H$108,"&gt;="&amp;Parametri!$E$17,CFD_L500!$H$9:$H$108,"&lt;="&amp;Parametri!$B$7),"n.d."))</f>
        <v>1.4120391791417752E-2</v>
      </c>
      <c r="H14" s="34">
        <f>IF(V14="","",IFERROR(EXP(LN(INDEX(CFD_L500!$I$1:$I$130,8+V14))+(LN(Parametri!$B$12)-LN(INDEX(CFD_L500!$H$1:$H$130,8+V14)))*(LN(INDEX(CFD_L500!$I$1:$I$130,9+V14))-LN(INDEX(CFD_L500!$I$1:$I$130,8+V14)))/(LN(INDEX(CFD_L500!$H$1:$H$130,9+V14))-LN(INDEX(CFD_L500!$H$1:$H$130,8+V14))))*Parametri!$B$12/B14,""))</f>
        <v>1.4062952962031063E-2</v>
      </c>
      <c r="I14" s="34">
        <f>IF(W14="","",IFERROR(EXP(LN(INDEX(CFD_L500!$I$1:$I$130,8+W14))+(LN(Parametri!$B$13)-LN(INDEX(CFD_L500!$H$1:$H$130,8+W14)))*(LN(INDEX(CFD_L500!$I$1:$I$130,9+W14))-LN(INDEX(CFD_L500!$I$1:$I$130,8+W14)))/(LN(INDEX(CFD_L500!$H$1:$H$130,9+W14))-LN(INDEX(CFD_L500!$H$1:$H$130,8+W14))))*Parametri!$B$13/B14,""))</f>
        <v>1.4170677899011512E-2</v>
      </c>
      <c r="J14" s="9">
        <f>IF(OR(G14="",G14="n.d.",E14=""),"",G14*3600*E14/Parametri!$B$4)</f>
        <v>12.882034921200196</v>
      </c>
      <c r="K14" s="25">
        <f>IF(X14="","",IFERROR(EXP(LN(INDEX(CFD_L500!$I$1:$I$130,8+X14))+(LN(Parametri!$B$9)-LN(INDEX(CFD_L500!$H$1:$H$130,8+X14)))*(LN(INDEX(CFD_L500!$I$1:$I$130,9+X14))-LN(INDEX(CFD_L500!$I$1:$I$130,8+X14)))/(LN(INDEX(CFD_L500!$H$1:$H$130,9+X14))-LN(INDEX(CFD_L500!$H$1:$H$130,8+X14)))),""))</f>
        <v>0.25346845451382183</v>
      </c>
      <c r="L14" s="24">
        <f>IF(B14="","",IF(R14="","n.d.",EXP(LN(R14)+(LN(Parametri!$B$10)-LN(T14))*(LN(S14)-LN(R14))/(LN(U14)-LN(T14)))))</f>
        <v>8.2789784923287986</v>
      </c>
      <c r="M14" s="23">
        <f>IF(OR(B14="",NOT(ISNUMBER($D$5))),"",$D$5*B14/Parametri!$B$10)</f>
        <v>8.2767650566775242</v>
      </c>
      <c r="N14" s="38">
        <f t="shared" si="0"/>
        <v>-2.6735613014639004E-4</v>
      </c>
      <c r="O14" s="13">
        <f>IF(D14="","",Parametri!$B$10/D14)</f>
        <v>6.0820007034223057E-2</v>
      </c>
      <c r="P14" s="5" t="str">
        <f>IF(B14="","",IF(NOT(ISNUMBER(L14)),"n.d.: vₜ non raggiunta oltre x min",IF(L14&gt;Parametri!$B$7,"CFD troncato dal pavimento",IF(O14&gt;$F$5,"vₜ nel plateau/transizione","OK"))))</f>
        <v>OK</v>
      </c>
      <c r="Q14" s="18">
        <f>IF(B14="","",MAX(CFD_L500!$M$9:$M$108))</f>
        <v>26</v>
      </c>
      <c r="R14" s="13">
        <f>IF(OR(Q14="",Q14=0),"",INDEX(CFD_L500!$H$1:$H$130,Q14))</f>
        <v>7.7829722429999997</v>
      </c>
      <c r="S14" s="13">
        <f>IF(R14="","",INDEX(CFD_L500!$H$1:$H$130,Q14+1))</f>
        <v>8.7760188879999994</v>
      </c>
      <c r="T14" s="14">
        <f>IF(R14="","",INDEX(CFD_L500!$I$1:$I$130,Q14))</f>
        <v>0.27321734399999997</v>
      </c>
      <c r="U14" s="14">
        <f>IF(R14="","",INDEX(CFD_L500!$I$1:$I$130,Q14+1))</f>
        <v>0.22990211599999999</v>
      </c>
      <c r="V14" s="18">
        <f>IF(OR(B14="",Parametri!$B$12&gt;MAX(CFD_L500!$H$9:$H$108)),"",IFERROR(MATCH(Parametri!$B$12,INDEX(CFD_L500!$H$9:$H$108,1):INDEX(CFD_L500!$H$9:$H$108,COUNT(CFD_L500!$H$9:$H$108)),1),""))</f>
        <v>16</v>
      </c>
      <c r="W14" s="18">
        <f>IF(OR(B14="",Parametri!$B$13&gt;MAX(CFD_L500!$H$9:$H$108)),"",IFERROR(MATCH(Parametri!$B$13,INDEX(CFD_L500!$H$9:$H$108,1):INDEX(CFD_L500!$H$9:$H$108,COUNT(CFD_L500!$H$9:$H$108)),1),""))</f>
        <v>17</v>
      </c>
      <c r="X14" s="18">
        <f>IF(OR(B14="",Parametri!$B$9&gt;MAX(CFD_L500!$H$9:$H$108)),"",IFERROR(MATCH(Parametri!$B$9,INDEX(CFD_L500!$H$9:$H$108,1):INDEX(CFD_L500!$H$9:$H$108,COUNT(CFD_L500!$H$9:$H$108)),1),""))</f>
        <v>18</v>
      </c>
    </row>
    <row r="15" spans="1:24" x14ac:dyDescent="0.25">
      <c r="A15" s="30">
        <f>Parametri!$A$17</f>
        <v>500</v>
      </c>
      <c r="B15" s="30">
        <f>IF(CFD_L500!P3="","",CFD_L500!P3)</f>
        <v>250</v>
      </c>
      <c r="C15" s="20">
        <f>IF(B15="","",CFD_L500!P5)</f>
        <v>3.4722222222222223</v>
      </c>
      <c r="D15" s="20">
        <f>IF(OR(B15="",CFD_L500!P4=""),"",CFD_L500!P4)</f>
        <v>6.9193517959999999</v>
      </c>
      <c r="E15" s="19">
        <f>IF(D15="","",CFD_L500!P6)</f>
        <v>1.0036264449596204E-2</v>
      </c>
      <c r="F15" s="23">
        <f>IF(E15="","",E15/Parametri!$C$17)</f>
        <v>0.50181322247981019</v>
      </c>
      <c r="G15" s="34">
        <f>IF(B15="","",IFERROR(AVERAGEIFS(CFD_L500!$S$9:$S$108,CFD_L500!$O$9:$O$108,"&gt;="&amp;Parametri!$E$17,CFD_L500!$O$9:$O$108,"&lt;="&amp;Parametri!$B$7),"n.d."))</f>
        <v>1.3684864659922476E-2</v>
      </c>
      <c r="H15" s="34">
        <f>IF(V15="","",IFERROR(EXP(LN(INDEX(CFD_L500!$P$1:$P$130,8+V15))+(LN(Parametri!$B$12)-LN(INDEX(CFD_L500!$O$1:$O$130,8+V15)))*(LN(INDEX(CFD_L500!$P$1:$P$130,9+V15))-LN(INDEX(CFD_L500!$P$1:$P$130,8+V15)))/(LN(INDEX(CFD_L500!$O$1:$O$130,9+V15))-LN(INDEX(CFD_L500!$O$1:$O$130,8+V15))))*Parametri!$B$12/B15,""))</f>
        <v>1.3770108025110786E-2</v>
      </c>
      <c r="I15" s="34">
        <f>IF(W15="","",IFERROR(EXP(LN(INDEX(CFD_L500!$P$1:$P$130,8+W15))+(LN(Parametri!$B$13)-LN(INDEX(CFD_L500!$O$1:$O$130,8+W15)))*(LN(INDEX(CFD_L500!$P$1:$P$130,9+W15))-LN(INDEX(CFD_L500!$P$1:$P$130,8+W15)))/(LN(INDEX(CFD_L500!$O$1:$O$130,9+W15))-LN(INDEX(CFD_L500!$O$1:$O$130,8+W15))))*Parametri!$B$13/B15,""))</f>
        <v>1.3671242814872215E-2</v>
      </c>
      <c r="J15" s="9">
        <f>IF(OR(G15="",G15="n.d.",E15=""),"",G15*3600*E15/Parametri!$B$4)</f>
        <v>12.361042861552384</v>
      </c>
      <c r="K15" s="25">
        <f>IF(X15="","",IFERROR(EXP(LN(INDEX(CFD_L500!$P$1:$P$130,8+X15))+(LN(Parametri!$B$9)-LN(INDEX(CFD_L500!$O$1:$O$130,8+X15)))*(LN(INDEX(CFD_L500!$P$1:$P$130,9+X15))-LN(INDEX(CFD_L500!$P$1:$P$130,8+X15)))/(LN(INDEX(CFD_L500!$O$1:$O$130,9+X15))-LN(INDEX(CFD_L500!$O$1:$O$130,8+X15)))),""))</f>
        <v>0.40654446080174833</v>
      </c>
      <c r="L15" s="24">
        <f>IF(B15="","",IF(R15="","n.d.",EXP(LN(R15)+(LN(Parametri!$B$10)-LN(T15))*(LN(S15)-LN(R15))/(LN(U15)-LN(T15)))))</f>
        <v>9.384801193939369</v>
      </c>
      <c r="M15" s="23">
        <f>IF(OR(B15="",NOT(ISNUMBER($D$5))),"",$D$5*B15/Parametri!$B$10)</f>
        <v>13.794608427795874</v>
      </c>
      <c r="N15" s="38">
        <f t="shared" si="0"/>
        <v>0.46988818864957138</v>
      </c>
      <c r="O15" s="13">
        <f>IF(D15="","",Parametri!$B$10/D15)</f>
        <v>3.6130552018546334E-2</v>
      </c>
      <c r="P15" s="5" t="str">
        <f>IF(B15="","",IF(NOT(ISNUMBER(L15)),"n.d.: vₜ non raggiunta oltre x min",IF(L15&gt;Parametri!$B$7,"CFD troncato dal pavimento",IF(O15&gt;$F$5,"vₜ nel plateau/transizione","OK"))))</f>
        <v>CFD troncato dal pavimento</v>
      </c>
      <c r="Q15" s="18">
        <f>IF(B15="","",MAX(CFD_L500!$T$9:$T$108))</f>
        <v>29</v>
      </c>
      <c r="R15" s="13">
        <f>IF(OR(Q15="",Q15=0),"",INDEX(CFD_L500!$O$1:$O$130,Q15))</f>
        <v>9.2961861779999992</v>
      </c>
      <c r="S15" s="13">
        <f>IF(R15="","",INDEX(CFD_L500!$O$1:$O$130,Q15+1))</f>
        <v>9.6508456949999992</v>
      </c>
      <c r="T15" s="14">
        <f>IF(R15="","",INDEX(CFD_L500!$P$1:$P$130,Q15))</f>
        <v>0.282252473</v>
      </c>
      <c r="U15" s="14">
        <f>IF(R15="","",INDEX(CFD_L500!$P$1:$P$130,Q15+1))</f>
        <v>0.17485051200000001</v>
      </c>
      <c r="V15" s="18">
        <f>IF(OR(B15="",Parametri!$B$12&gt;MAX(CFD_L500!$O$9:$O$108)),"",IFERROR(MATCH(Parametri!$B$12,INDEX(CFD_L500!$O$9:$O$108,1):INDEX(CFD_L500!$O$9:$O$108,COUNT(CFD_L500!$O$9:$O$108)),1),""))</f>
        <v>17</v>
      </c>
      <c r="W15" s="18">
        <f>IF(OR(B15="",Parametri!$B$13&gt;MAX(CFD_L500!$O$9:$O$108)),"",IFERROR(MATCH(Parametri!$B$13,INDEX(CFD_L500!$O$9:$O$108,1):INDEX(CFD_L500!$O$9:$O$108,COUNT(CFD_L500!$O$9:$O$108)),1),""))</f>
        <v>18</v>
      </c>
      <c r="X15" s="18">
        <f>IF(OR(B15="",Parametri!$B$9&gt;MAX(CFD_L500!$O$9:$O$108)),"",IFERROR(MATCH(Parametri!$B$9,INDEX(CFD_L500!$O$9:$O$108,1):INDEX(CFD_L500!$O$9:$O$108,COUNT(CFD_L500!$O$9:$O$108)),1),""))</f>
        <v>19</v>
      </c>
    </row>
    <row r="16" spans="1:24" x14ac:dyDescent="0.25">
      <c r="A16" s="30">
        <f>Parametri!$A$17</f>
        <v>500</v>
      </c>
      <c r="B16" s="30" t="str">
        <f>IF(CFD_L500!W3="","",CFD_L500!W3)</f>
        <v/>
      </c>
      <c r="C16" s="20" t="str">
        <f>IF(B16="","",CFD_L500!W5)</f>
        <v/>
      </c>
      <c r="D16" s="20" t="str">
        <f>IF(OR(B16="",CFD_L500!W4=""),"",CFD_L500!W4)</f>
        <v/>
      </c>
      <c r="E16" s="19" t="str">
        <f>IF(D16="","",CFD_L500!W6)</f>
        <v/>
      </c>
      <c r="F16" s="23" t="str">
        <f>IF(E16="","",E16/Parametri!$C$17)</f>
        <v/>
      </c>
      <c r="G16" s="34" t="str">
        <f>IF(B16="","",IFERROR(AVERAGEIFS(CFD_L500!$Z$9:$Z$108,CFD_L500!$V$9:$V$108,"&gt;="&amp;Parametri!$E$17,CFD_L500!$V$9:$V$108,"&lt;="&amp;Parametri!$B$7),"n.d."))</f>
        <v/>
      </c>
      <c r="H16" s="34" t="str">
        <f>IF(V16="","",IFERROR(EXP(LN(INDEX(CFD_L500!$W$1:$W$130,8+V16))+(LN(Parametri!$B$12)-LN(INDEX(CFD_L500!$V$1:$V$130,8+V16)))*(LN(INDEX(CFD_L500!$W$1:$W$130,9+V16))-LN(INDEX(CFD_L500!$W$1:$W$130,8+V16)))/(LN(INDEX(CFD_L500!$V$1:$V$130,9+V16))-LN(INDEX(CFD_L500!$V$1:$V$130,8+V16))))*Parametri!$B$12/B16,""))</f>
        <v/>
      </c>
      <c r="I16" s="34" t="str">
        <f>IF(W16="","",IFERROR(EXP(LN(INDEX(CFD_L500!$W$1:$W$130,8+W16))+(LN(Parametri!$B$13)-LN(INDEX(CFD_L500!$V$1:$V$130,8+W16)))*(LN(INDEX(CFD_L500!$W$1:$W$130,9+W16))-LN(INDEX(CFD_L500!$W$1:$W$130,8+W16)))/(LN(INDEX(CFD_L500!$V$1:$V$130,9+W16))-LN(INDEX(CFD_L500!$V$1:$V$130,8+W16))))*Parametri!$B$13/B16,""))</f>
        <v/>
      </c>
      <c r="J16" s="9" t="str">
        <f>IF(OR(G16="",G16="n.d.",E16=""),"",G16*3600*E16/Parametri!$B$4)</f>
        <v/>
      </c>
      <c r="K16" s="25" t="str">
        <f>IF(X16="","",IFERROR(EXP(LN(INDEX(CFD_L500!$W$1:$W$130,8+X16))+(LN(Parametri!$B$9)-LN(INDEX(CFD_L500!$V$1:$V$130,8+X16)))*(LN(INDEX(CFD_L500!$W$1:$W$130,9+X16))-LN(INDEX(CFD_L500!$W$1:$W$130,8+X16)))/(LN(INDEX(CFD_L500!$V$1:$V$130,9+X16))-LN(INDEX(CFD_L500!$V$1:$V$130,8+X16)))),""))</f>
        <v/>
      </c>
      <c r="L16" s="24" t="str">
        <f>IF(B16="","",IF(R16="","n.d.",EXP(LN(R16)+(LN(Parametri!$B$10)-LN(T16))*(LN(S16)-LN(R16))/(LN(U16)-LN(T16)))))</f>
        <v/>
      </c>
      <c r="M16" s="23" t="str">
        <f>IF(OR(B16="",NOT(ISNUMBER($D$5))),"",$D$5*B16/Parametri!$B$10)</f>
        <v/>
      </c>
      <c r="N16" s="38" t="str">
        <f t="shared" si="0"/>
        <v/>
      </c>
      <c r="O16" s="13" t="str">
        <f>IF(D16="","",Parametri!$B$10/D16)</f>
        <v/>
      </c>
      <c r="P16" s="5" t="str">
        <f>IF(B16="","",IF(NOT(ISNUMBER(L16)),"n.d.: vₜ non raggiunta oltre x min",IF(L16&gt;Parametri!$B$7,"CFD troncato dal pavimento",IF(O16&gt;$F$5,"vₜ nel plateau/transizione","OK"))))</f>
        <v/>
      </c>
      <c r="Q16" s="18" t="str">
        <f>IF(B16="","",MAX(CFD_L500!$AA$9:$AA$108))</f>
        <v/>
      </c>
      <c r="R16" s="13" t="str">
        <f>IF(OR(Q16="",Q16=0),"",INDEX(CFD_L500!$V$1:$V$130,Q16))</f>
        <v/>
      </c>
      <c r="S16" s="13" t="str">
        <f>IF(R16="","",INDEX(CFD_L500!$V$1:$V$130,Q16+1))</f>
        <v/>
      </c>
      <c r="T16" s="14" t="str">
        <f>IF(R16="","",INDEX(CFD_L500!$W$1:$W$130,Q16))</f>
        <v/>
      </c>
      <c r="U16" s="14" t="str">
        <f>IF(R16="","",INDEX(CFD_L500!$W$1:$W$130,Q16+1))</f>
        <v/>
      </c>
      <c r="V16" s="18" t="str">
        <f>IF(OR(B16="",Parametri!$B$12&gt;MAX(CFD_L500!$V$9:$V$108)),"",IFERROR(MATCH(Parametri!$B$12,INDEX(CFD_L500!$V$9:$V$108,1):INDEX(CFD_L500!$V$9:$V$108,COUNT(CFD_L500!$V$9:$V$108)),1),""))</f>
        <v/>
      </c>
      <c r="W16" s="18" t="str">
        <f>IF(OR(B16="",Parametri!$B$13&gt;MAX(CFD_L500!$V$9:$V$108)),"",IFERROR(MATCH(Parametri!$B$13,INDEX(CFD_L500!$V$9:$V$108,1):INDEX(CFD_L500!$V$9:$V$108,COUNT(CFD_L500!$V$9:$V$108)),1),""))</f>
        <v/>
      </c>
      <c r="X16" s="18" t="str">
        <f>IF(OR(B16="",Parametri!$B$9&gt;MAX(CFD_L500!$V$9:$V$108)),"",IFERROR(MATCH(Parametri!$B$9,INDEX(CFD_L500!$V$9:$V$108,1):INDEX(CFD_L500!$V$9:$V$108,COUNT(CFD_L500!$V$9:$V$108)),1),""))</f>
        <v/>
      </c>
    </row>
    <row r="17" spans="1:24" x14ac:dyDescent="0.25">
      <c r="A17" s="30">
        <f>Parametri!$A$17</f>
        <v>500</v>
      </c>
      <c r="B17" s="30" t="str">
        <f>IF(CFD_L500!AD3="","",CFD_L500!AD3)</f>
        <v/>
      </c>
      <c r="C17" s="20" t="str">
        <f>IF(B17="","",CFD_L500!AD5)</f>
        <v/>
      </c>
      <c r="D17" s="20" t="str">
        <f>IF(OR(B17="",CFD_L500!AD4=""),"",CFD_L500!AD4)</f>
        <v/>
      </c>
      <c r="E17" s="19" t="str">
        <f>IF(D17="","",CFD_L500!AD6)</f>
        <v/>
      </c>
      <c r="F17" s="23" t="str">
        <f>IF(E17="","",E17/Parametri!$C$17)</f>
        <v/>
      </c>
      <c r="G17" s="34" t="str">
        <f>IF(B17="","",IFERROR(AVERAGEIFS(CFD_L500!$AG$9:$AG$108,CFD_L500!$AC$9:$AC$108,"&gt;="&amp;Parametri!$E$17,CFD_L500!$AC$9:$AC$108,"&lt;="&amp;Parametri!$B$7),"n.d."))</f>
        <v/>
      </c>
      <c r="H17" s="34" t="str">
        <f>IF(V17="","",IFERROR(EXP(LN(INDEX(CFD_L500!$AD$1:$AD$130,8+V17))+(LN(Parametri!$B$12)-LN(INDEX(CFD_L500!$AC$1:$AC$130,8+V17)))*(LN(INDEX(CFD_L500!$AD$1:$AD$130,9+V17))-LN(INDEX(CFD_L500!$AD$1:$AD$130,8+V17)))/(LN(INDEX(CFD_L500!$AC$1:$AC$130,9+V17))-LN(INDEX(CFD_L500!$AC$1:$AC$130,8+V17))))*Parametri!$B$12/B17,""))</f>
        <v/>
      </c>
      <c r="I17" s="34" t="str">
        <f>IF(W17="","",IFERROR(EXP(LN(INDEX(CFD_L500!$AD$1:$AD$130,8+W17))+(LN(Parametri!$B$13)-LN(INDEX(CFD_L500!$AC$1:$AC$130,8+W17)))*(LN(INDEX(CFD_L500!$AD$1:$AD$130,9+W17))-LN(INDEX(CFD_L500!$AD$1:$AD$130,8+W17)))/(LN(INDEX(CFD_L500!$AC$1:$AC$130,9+W17))-LN(INDEX(CFD_L500!$AC$1:$AC$130,8+W17))))*Parametri!$B$13/B17,""))</f>
        <v/>
      </c>
      <c r="J17" s="9" t="str">
        <f>IF(OR(G17="",G17="n.d.",E17=""),"",G17*3600*E17/Parametri!$B$4)</f>
        <v/>
      </c>
      <c r="K17" s="25" t="str">
        <f>IF(X17="","",IFERROR(EXP(LN(INDEX(CFD_L500!$AD$1:$AD$130,8+X17))+(LN(Parametri!$B$9)-LN(INDEX(CFD_L500!$AC$1:$AC$130,8+X17)))*(LN(INDEX(CFD_L500!$AD$1:$AD$130,9+X17))-LN(INDEX(CFD_L500!$AD$1:$AD$130,8+X17)))/(LN(INDEX(CFD_L500!$AC$1:$AC$130,9+X17))-LN(INDEX(CFD_L500!$AC$1:$AC$130,8+X17)))),""))</f>
        <v/>
      </c>
      <c r="L17" s="24" t="str">
        <f>IF(B17="","",IF(R17="","n.d.",EXP(LN(R17)+(LN(Parametri!$B$10)-LN(T17))*(LN(S17)-LN(R17))/(LN(U17)-LN(T17)))))</f>
        <v/>
      </c>
      <c r="M17" s="23" t="str">
        <f>IF(OR(B17="",NOT(ISNUMBER($D$5))),"",$D$5*B17/Parametri!$B$10)</f>
        <v/>
      </c>
      <c r="N17" s="38" t="str">
        <f t="shared" si="0"/>
        <v/>
      </c>
      <c r="O17" s="13" t="str">
        <f>IF(D17="","",Parametri!$B$10/D17)</f>
        <v/>
      </c>
      <c r="P17" s="5" t="str">
        <f>IF(B17="","",IF(NOT(ISNUMBER(L17)),"n.d.: vₜ non raggiunta oltre x min",IF(L17&gt;Parametri!$B$7,"CFD troncato dal pavimento",IF(O17&gt;$F$5,"vₜ nel plateau/transizione","OK"))))</f>
        <v/>
      </c>
      <c r="Q17" s="18" t="str">
        <f>IF(B17="","",MAX(CFD_L500!$AH$9:$AH$108))</f>
        <v/>
      </c>
      <c r="R17" s="13" t="str">
        <f>IF(OR(Q17="",Q17=0),"",INDEX(CFD_L500!$AC$1:$AC$130,Q17))</f>
        <v/>
      </c>
      <c r="S17" s="13" t="str">
        <f>IF(R17="","",INDEX(CFD_L500!$AC$1:$AC$130,Q17+1))</f>
        <v/>
      </c>
      <c r="T17" s="14" t="str">
        <f>IF(R17="","",INDEX(CFD_L500!$AD$1:$AD$130,Q17))</f>
        <v/>
      </c>
      <c r="U17" s="14" t="str">
        <f>IF(R17="","",INDEX(CFD_L500!$AD$1:$AD$130,Q17+1))</f>
        <v/>
      </c>
      <c r="V17" s="18" t="str">
        <f>IF(OR(B17="",Parametri!$B$12&gt;MAX(CFD_L500!$AC$9:$AC$108)),"",IFERROR(MATCH(Parametri!$B$12,INDEX(CFD_L500!$AC$9:$AC$108,1):INDEX(CFD_L500!$AC$9:$AC$108,COUNT(CFD_L500!$AC$9:$AC$108)),1),""))</f>
        <v/>
      </c>
      <c r="W17" s="18" t="str">
        <f>IF(OR(B17="",Parametri!$B$13&gt;MAX(CFD_L500!$AC$9:$AC$108)),"",IFERROR(MATCH(Parametri!$B$13,INDEX(CFD_L500!$AC$9:$AC$108,1):INDEX(CFD_L500!$AC$9:$AC$108,COUNT(CFD_L500!$AC$9:$AC$108)),1),""))</f>
        <v/>
      </c>
      <c r="X17" s="18" t="str">
        <f>IF(OR(B17="",Parametri!$B$9&gt;MAX(CFD_L500!$AC$9:$AC$108)),"",IFERROR(MATCH(Parametri!$B$9,INDEX(CFD_L500!$AC$9:$AC$108,1):INDEX(CFD_L500!$AC$9:$AC$108,COUNT(CFD_L500!$AC$9:$AC$108)),1),""))</f>
        <v/>
      </c>
    </row>
    <row r="18" spans="1:24" x14ac:dyDescent="0.25">
      <c r="A18" s="30">
        <f>Parametri!$A$18</f>
        <v>1000</v>
      </c>
      <c r="B18" s="30">
        <f>IF(CFD_L1000!B3="","",CFD_L1000!B3)</f>
        <v>80</v>
      </c>
      <c r="C18" s="20">
        <f>IF(B18="","",CFD_L1000!B5)</f>
        <v>0.55555555555555558</v>
      </c>
      <c r="D18" s="20">
        <f>IF(OR(B18="",CFD_L1000!B4=""),"",CFD_L1000!B4)</f>
        <v>1.0273762150000001</v>
      </c>
      <c r="E18" s="19">
        <f>IF(D18="","",CFD_L1000!B6)</f>
        <v>2.1630072701480849E-2</v>
      </c>
      <c r="F18" s="23">
        <f>IF(E18="","",E18/Parametri!$C$18)</f>
        <v>0.54075181753702117</v>
      </c>
      <c r="G18" s="34">
        <f>IF(B18="","",IFERROR(AVERAGEIFS(CFD_L1000!$E$9:$E$108,CFD_L1000!$A$9:$A$108,"&gt;="&amp;Parametri!$E$18,CFD_L1000!$A$9:$A$108,"&lt;="&amp;Parametri!$B$7),"n.d."))</f>
        <v>9.413879487556993E-3</v>
      </c>
      <c r="H18" s="34">
        <f>IF(V18="","",IFERROR(EXP(LN(INDEX(CFD_L1000!$B$1:$B$130,8+V18))+(LN(Parametri!$B$12)-LN(INDEX(CFD_L1000!$A$1:$A$130,8+V18)))*(LN(INDEX(CFD_L1000!$B$1:$B$130,9+V18))-LN(INDEX(CFD_L1000!$B$1:$B$130,8+V18)))/(LN(INDEX(CFD_L1000!$A$1:$A$130,9+V18))-LN(INDEX(CFD_L1000!$A$1:$A$130,8+V18))))*Parametri!$B$12/B18,""))</f>
        <v>9.256548961216934E-3</v>
      </c>
      <c r="I18" s="34">
        <f>IF(W18="","",IFERROR(EXP(LN(INDEX(CFD_L1000!$B$1:$B$130,8+W18))+(LN(Parametri!$B$13)-LN(INDEX(CFD_L1000!$A$1:$A$130,8+W18)))*(LN(INDEX(CFD_L1000!$B$1:$B$130,9+W18))-LN(INDEX(CFD_L1000!$B$1:$B$130,8+W18)))/(LN(INDEX(CFD_L1000!$A$1:$A$130,9+W18))-LN(INDEX(CFD_L1000!$A$1:$A$130,8+W18))))*Parametri!$B$13/B18,""))</f>
        <v>9.5301431910851005E-3</v>
      </c>
      <c r="J18" s="9">
        <f>IF(OR(G18="",G18="n.d.",E18=""),"",G18*3600*E18/Parametri!$B$4)</f>
        <v>18.32606079469533</v>
      </c>
      <c r="K18" s="25">
        <f>IF(X18="","",IFERROR(EXP(LN(INDEX(CFD_L1000!$B$1:$B$130,8+X18))+(LN(Parametri!$B$9)-LN(INDEX(CFD_L1000!$A$1:$A$130,8+X18)))*(LN(INDEX(CFD_L1000!$B$1:$B$130,9+X18))-LN(INDEX(CFD_L1000!$B$1:$B$130,8+X18)))/(LN(INDEX(CFD_L1000!$A$1:$A$130,9+X18))-LN(INDEX(CFD_L1000!$A$1:$A$130,8+X18)))),""))</f>
        <v>9.1843356660571349E-2</v>
      </c>
      <c r="L18" s="24">
        <f>IF(B18="","",IF(R18="","n.d.",EXP(LN(R18)+(LN(Parametri!$B$10)-LN(T18))*(LN(S18)-LN(R18))/(LN(U18)-LN(T18)))))</f>
        <v>0.44086212535821795</v>
      </c>
      <c r="M18" s="37">
        <f>IF(OR(B18="",NOT(ISNUMBER($D$6))),"",$D$6*B18/Parametri!$B$10)</f>
        <v>3.1012998891569077</v>
      </c>
      <c r="N18" s="38">
        <f t="shared" si="0"/>
        <v>6.0346253641928946</v>
      </c>
      <c r="O18" s="13">
        <f>IF(D18="","",Parametri!$B$10/D18)</f>
        <v>0.24333831789165955</v>
      </c>
      <c r="P18" s="5" t="str">
        <f>IF(B18="","",IF(NOT(ISNUMBER(L18)),"n.d.: vₜ non raggiunta oltre x min",IF(L18&gt;Parametri!$B$7,"CFD troncato dal pavimento",IF(O18&gt;$F$6,"vₜ nel plateau/transizione","OK"))))</f>
        <v>vₜ nel plateau/transizione</v>
      </c>
      <c r="Q18" s="18">
        <f>IF(B18="","",MAX(CFD_L1000!$F$9:$F$108))</f>
        <v>24</v>
      </c>
      <c r="R18" s="13">
        <f>IF(OR(Q18="",Q18=0),"",INDEX(CFD_L1000!$A$1:$A$130,Q18))</f>
        <v>0.38241034000000002</v>
      </c>
      <c r="S18" s="13">
        <f>IF(R18="","",INDEX(CFD_L1000!$A$1:$A$130,Q18+1))</f>
        <v>0.54791811400000001</v>
      </c>
      <c r="T18" s="14">
        <f>IF(R18="","",INDEX(CFD_L1000!$B$1:$B$130,Q18))</f>
        <v>0.27328448300000002</v>
      </c>
      <c r="U18" s="14">
        <f>IF(R18="","",INDEX(CFD_L1000!$B$1:$B$130,Q18+1))</f>
        <v>0.21818755000000001</v>
      </c>
      <c r="V18" s="18">
        <f>IF(OR(B18="",Parametri!$B$12&gt;MAX(CFD_L1000!$A$9:$A$108)),"",IFERROR(MATCH(Parametri!$B$12,INDEX(CFD_L1000!$A$9:$A$108,1):INDEX(CFD_L1000!$A$9:$A$108,COUNT(CFD_L1000!$A$9:$A$108)),1),""))</f>
        <v>22</v>
      </c>
      <c r="W18" s="18">
        <f>IF(OR(B18="",Parametri!$B$13&gt;MAX(CFD_L1000!$A$9:$A$108)),"",IFERROR(MATCH(Parametri!$B$13,INDEX(CFD_L1000!$A$9:$A$108,1):INDEX(CFD_L1000!$A$9:$A$108,COUNT(CFD_L1000!$A$9:$A$108)),1),""))</f>
        <v>24</v>
      </c>
      <c r="X18" s="18">
        <f>IF(OR(B18="",Parametri!$B$9&gt;MAX(CFD_L1000!$A$9:$A$108)),"",IFERROR(MATCH(Parametri!$B$9,INDEX(CFD_L1000!$A$9:$A$108,1):INDEX(CFD_L1000!$A$9:$A$108,COUNT(CFD_L1000!$A$9:$A$108)),1),""))</f>
        <v>24</v>
      </c>
    </row>
    <row r="19" spans="1:24" x14ac:dyDescent="0.25">
      <c r="A19" s="30">
        <f>Parametri!$A$18</f>
        <v>1000</v>
      </c>
      <c r="B19" s="30">
        <f>IF(CFD_L1000!I3="","",CFD_L1000!I3)</f>
        <v>150</v>
      </c>
      <c r="C19" s="20">
        <f>IF(B19="","",CFD_L1000!I5)</f>
        <v>1.0416666666666665</v>
      </c>
      <c r="D19" s="20">
        <f>IF(OR(B19="",CFD_L1000!I4=""),"",CFD_L1000!I4)</f>
        <v>1.962604016</v>
      </c>
      <c r="E19" s="19">
        <f>IF(D19="","",CFD_L1000!I6)</f>
        <v>2.1230297261690033E-2</v>
      </c>
      <c r="F19" s="23">
        <f>IF(E19="","",E19/Parametri!$C$18)</f>
        <v>0.53075743154225086</v>
      </c>
      <c r="G19" s="34">
        <f>IF(B19="","",IFERROR(AVERAGEIFS(CFD_L1000!$L$9:$L$108,CFD_L1000!$H$9:$H$108,"&gt;="&amp;Parametri!$E$18,CFD_L1000!$H$9:$H$108,"&lt;="&amp;Parametri!$B$7),"n.d."))</f>
        <v>9.7060352725219113E-3</v>
      </c>
      <c r="H19" s="34">
        <f>IF(V19="","",IFERROR(EXP(LN(INDEX(CFD_L1000!$I$1:$I$130,8+V19))+(LN(Parametri!$B$12)-LN(INDEX(CFD_L1000!$H$1:$H$130,8+V19)))*(LN(INDEX(CFD_L1000!$I$1:$I$130,9+V19))-LN(INDEX(CFD_L1000!$I$1:$I$130,8+V19)))/(LN(INDEX(CFD_L1000!$H$1:$H$130,9+V19))-LN(INDEX(CFD_L1000!$H$1:$H$130,8+V19))))*Parametri!$B$12/B19,""))</f>
        <v>9.645481024228162E-3</v>
      </c>
      <c r="I19" s="34">
        <f>IF(W19="","",IFERROR(EXP(LN(INDEX(CFD_L1000!$I$1:$I$130,8+W19))+(LN(Parametri!$B$13)-LN(INDEX(CFD_L1000!$H$1:$H$130,8+W19)))*(LN(INDEX(CFD_L1000!$I$1:$I$130,9+W19))-LN(INDEX(CFD_L1000!$I$1:$I$130,8+W19)))/(LN(INDEX(CFD_L1000!$H$1:$H$130,9+W19))-LN(INDEX(CFD_L1000!$H$1:$H$130,8+W19))))*Parametri!$B$13/B19,""))</f>
        <v>9.6913935013630288E-3</v>
      </c>
      <c r="J19" s="9">
        <f>IF(OR(G19="",G19="n.d.",E19=""),"",G19*3600*E19/Parametri!$B$4)</f>
        <v>18.545581266127993</v>
      </c>
      <c r="K19" s="25">
        <f>IF(X19="","",IFERROR(EXP(LN(INDEX(CFD_L1000!$I$1:$I$130,8+X19))+(LN(Parametri!$B$9)-LN(INDEX(CFD_L1000!$H$1:$H$130,8+X19)))*(LN(INDEX(CFD_L1000!$I$1:$I$130,9+X19))-LN(INDEX(CFD_L1000!$I$1:$I$130,8+X19)))/(LN(INDEX(CFD_L1000!$H$1:$H$130,9+X19))-LN(INDEX(CFD_L1000!$H$1:$H$130,8+X19)))),""))</f>
        <v>0.17277515457647416</v>
      </c>
      <c r="L19" s="24">
        <f>IF(B19="","",IF(R19="","n.d.",EXP(LN(R19)+(LN(Parametri!$B$10)-LN(T19))*(LN(S19)-LN(R19))/(LN(U19)-LN(T19)))))</f>
        <v>5.8308812836563355</v>
      </c>
      <c r="M19" s="23">
        <f>IF(OR(B19="",NOT(ISNUMBER($D$6))),"",$D$6*B19/Parametri!$B$10)</f>
        <v>5.8149372921692022</v>
      </c>
      <c r="N19" s="38">
        <f t="shared" si="0"/>
        <v>-2.7344050944448917E-3</v>
      </c>
      <c r="O19" s="13">
        <f>IF(D19="","",Parametri!$B$10/D19)</f>
        <v>0.12738178357014021</v>
      </c>
      <c r="P19" s="5" t="str">
        <f>IF(B19="","",IF(NOT(ISNUMBER(L19)),"n.d.: vₜ non raggiunta oltre x min",IF(L19&gt;Parametri!$B$7,"CFD troncato dal pavimento",IF(O19&gt;$F$6,"vₜ nel plateau/transizione","OK"))))</f>
        <v>OK</v>
      </c>
      <c r="Q19" s="18">
        <f>IF(B19="","",MAX(CFD_L1000!$M$9:$M$108))</f>
        <v>32</v>
      </c>
      <c r="R19" s="13">
        <f>IF(OR(Q19="",Q19=0),"",INDEX(CFD_L1000!$H$1:$H$130,Q19))</f>
        <v>4.9858326100000001</v>
      </c>
      <c r="S19" s="13">
        <f>IF(R19="","",INDEX(CFD_L1000!$H$1:$H$130,Q19+1))</f>
        <v>6.2224703720000001</v>
      </c>
      <c r="T19" s="14">
        <f>IF(R19="","",INDEX(CFD_L1000!$I$1:$I$130,Q19))</f>
        <v>0.29014647700000001</v>
      </c>
      <c r="U19" s="14">
        <f>IF(R19="","",INDEX(CFD_L1000!$I$1:$I$130,Q19+1))</f>
        <v>0.23501162</v>
      </c>
      <c r="V19" s="18">
        <f>IF(OR(B19="",Parametri!$B$12&gt;MAX(CFD_L1000!$H$9:$H$108)),"",IFERROR(MATCH(Parametri!$B$12,INDEX(CFD_L1000!$H$9:$H$108,1):INDEX(CFD_L1000!$H$9:$H$108,COUNT(CFD_L1000!$H$9:$H$108)),1),""))</f>
        <v>24</v>
      </c>
      <c r="W19" s="18">
        <f>IF(OR(B19="",Parametri!$B$13&gt;MAX(CFD_L1000!$H$9:$H$108)),"",IFERROR(MATCH(Parametri!$B$13,INDEX(CFD_L1000!$H$9:$H$108,1):INDEX(CFD_L1000!$H$9:$H$108,COUNT(CFD_L1000!$H$9:$H$108)),1),""))</f>
        <v>26</v>
      </c>
      <c r="X19" s="18">
        <f>IF(OR(B19="",Parametri!$B$9&gt;MAX(CFD_L1000!$H$9:$H$108)),"",IFERROR(MATCH(Parametri!$B$9,INDEX(CFD_L1000!$H$9:$H$108,1):INDEX(CFD_L1000!$H$9:$H$108,COUNT(CFD_L1000!$H$9:$H$108)),1),""))</f>
        <v>26</v>
      </c>
    </row>
    <row r="20" spans="1:24" x14ac:dyDescent="0.25">
      <c r="A20" s="30">
        <f>Parametri!$A$18</f>
        <v>1000</v>
      </c>
      <c r="B20" s="30">
        <f>IF(CFD_L1000!P3="","",CFD_L1000!P3)</f>
        <v>250</v>
      </c>
      <c r="C20" s="20">
        <f>IF(B20="","",CFD_L1000!P5)</f>
        <v>1.7361111111111112</v>
      </c>
      <c r="D20" s="20">
        <f>IF(OR(B20="",CFD_L1000!P4=""),"",CFD_L1000!P4)</f>
        <v>3.3178458059999998</v>
      </c>
      <c r="E20" s="19">
        <f>IF(D20="","",CFD_L1000!P6)</f>
        <v>2.0930582222615939E-2</v>
      </c>
      <c r="F20" s="23">
        <f>IF(E20="","",E20/Parametri!$C$18)</f>
        <v>0.52326455556539841</v>
      </c>
      <c r="G20" s="34">
        <f>IF(B20="","",IFERROR(AVERAGEIFS(CFD_L1000!$S$9:$S$108,CFD_L1000!$O$9:$O$108,"&gt;="&amp;Parametri!$E$18,CFD_L1000!$O$9:$O$108,"&lt;="&amp;Parametri!$B$7),"n.d."))</f>
        <v>9.9547717007671069E-3</v>
      </c>
      <c r="H20" s="34">
        <f>IF(V20="","",IFERROR(EXP(LN(INDEX(CFD_L1000!$P$1:$P$130,8+V20))+(LN(Parametri!$B$12)-LN(INDEX(CFD_L1000!$O$1:$O$130,8+V20)))*(LN(INDEX(CFD_L1000!$P$1:$P$130,9+V20))-LN(INDEX(CFD_L1000!$P$1:$P$130,8+V20)))/(LN(INDEX(CFD_L1000!$O$1:$O$130,9+V20))-LN(INDEX(CFD_L1000!$O$1:$O$130,8+V20))))*Parametri!$B$12/B20,""))</f>
        <v>9.9355495996392013E-3</v>
      </c>
      <c r="I20" s="34">
        <f>IF(W20="","",IFERROR(EXP(LN(INDEX(CFD_L1000!$P$1:$P$130,8+W20))+(LN(Parametri!$B$13)-LN(INDEX(CFD_L1000!$O$1:$O$130,8+W20)))*(LN(INDEX(CFD_L1000!$P$1:$P$130,9+W20))-LN(INDEX(CFD_L1000!$P$1:$P$130,8+W20)))/(LN(INDEX(CFD_L1000!$O$1:$O$130,9+W20))-LN(INDEX(CFD_L1000!$O$1:$O$130,8+W20))))*Parametri!$B$13/B20,""))</f>
        <v>9.9026887930143137E-3</v>
      </c>
      <c r="J20" s="9">
        <f>IF(OR(G20="",G20="n.d.",E20=""),"",G20*3600*E20/Parametri!$B$4)</f>
        <v>18.752325083124862</v>
      </c>
      <c r="K20" s="25">
        <f>IF(X20="","",IFERROR(EXP(LN(INDEX(CFD_L1000!$P$1:$P$130,8+X20))+(LN(Parametri!$B$9)-LN(INDEX(CFD_L1000!$O$1:$O$130,8+X20)))*(LN(INDEX(CFD_L1000!$P$1:$P$130,9+X20))-LN(INDEX(CFD_L1000!$P$1:$P$130,8+X20)))/(LN(INDEX(CFD_L1000!$O$1:$O$130,9+X20))-LN(INDEX(CFD_L1000!$O$1:$O$130,8+X20)))),""))</f>
        <v>0.2914359845755915</v>
      </c>
      <c r="L20" s="24">
        <f>IF(B20="","",IF(R20="","n.d.",EXP(LN(R20)+(LN(Parametri!$B$10)-LN(T20))*(LN(S20)-LN(R20))/(LN(U20)-LN(T20)))))</f>
        <v>8.8404246711956844</v>
      </c>
      <c r="M20" s="23">
        <f>IF(OR(B20="",NOT(ISNUMBER($D$6))),"",$D$6*B20/Parametri!$B$10)</f>
        <v>9.6915621536153367</v>
      </c>
      <c r="N20" s="38">
        <f t="shared" si="0"/>
        <v>9.6277895471794661E-2</v>
      </c>
      <c r="O20" s="13">
        <f>IF(D20="","",Parametri!$B$10/D20)</f>
        <v>7.5350096001417372E-2</v>
      </c>
      <c r="P20" s="5" t="str">
        <f>IF(B20="","",IF(NOT(ISNUMBER(L20)),"n.d.: vₜ non raggiunta oltre x min",IF(L20&gt;Parametri!$B$7,"CFD troncato dal pavimento",IF(O20&gt;$F$6,"vₜ nel plateau/transizione","OK"))))</f>
        <v>CFD troncato dal pavimento</v>
      </c>
      <c r="Q20" s="18">
        <f>IF(B20="","",MAX(CFD_L1000!$T$9:$T$108))</f>
        <v>36</v>
      </c>
      <c r="R20" s="13">
        <f>IF(OR(Q20="",Q20=0),"",INDEX(CFD_L1000!$O$1:$O$130,Q20))</f>
        <v>8.6814430169999994</v>
      </c>
      <c r="S20" s="13">
        <f>IF(R20="","",INDEX(CFD_L1000!$O$1:$O$130,Q20+1))</f>
        <v>9.1306784039999993</v>
      </c>
      <c r="T20" s="14">
        <f>IF(R20="","",INDEX(CFD_L1000!$P$1:$P$130,Q20))</f>
        <v>0.267309505</v>
      </c>
      <c r="U20" s="14">
        <f>IF(R20="","",INDEX(CFD_L1000!$P$1:$P$130,Q20+1))</f>
        <v>0.221912899</v>
      </c>
      <c r="V20" s="18">
        <f>IF(OR(B20="",Parametri!$B$12&gt;MAX(CFD_L1000!$O$9:$O$108)),"",IFERROR(MATCH(Parametri!$B$12,INDEX(CFD_L1000!$O$9:$O$108,1):INDEX(CFD_L1000!$O$9:$O$108,COUNT(CFD_L1000!$O$9:$O$108)),1),""))</f>
        <v>25</v>
      </c>
      <c r="W20" s="18">
        <f>IF(OR(B20="",Parametri!$B$13&gt;MAX(CFD_L1000!$O$9:$O$108)),"",IFERROR(MATCH(Parametri!$B$13,INDEX(CFD_L1000!$O$9:$O$108,1):INDEX(CFD_L1000!$O$9:$O$108,COUNT(CFD_L1000!$O$9:$O$108)),1),""))</f>
        <v>26</v>
      </c>
      <c r="X20" s="18">
        <f>IF(OR(B20="",Parametri!$B$9&gt;MAX(CFD_L1000!$O$9:$O$108)),"",IFERROR(MATCH(Parametri!$B$9,INDEX(CFD_L1000!$O$9:$O$108,1):INDEX(CFD_L1000!$O$9:$O$108,COUNT(CFD_L1000!$O$9:$O$108)),1),""))</f>
        <v>27</v>
      </c>
    </row>
    <row r="21" spans="1:24" x14ac:dyDescent="0.25">
      <c r="A21" s="30">
        <f>Parametri!$A$18</f>
        <v>1000</v>
      </c>
      <c r="B21" s="30" t="str">
        <f>IF(CFD_L1000!W3="","",CFD_L1000!W3)</f>
        <v/>
      </c>
      <c r="C21" s="20" t="str">
        <f>IF(B21="","",CFD_L1000!W5)</f>
        <v/>
      </c>
      <c r="D21" s="20" t="str">
        <f>IF(OR(B21="",CFD_L1000!W4=""),"",CFD_L1000!W4)</f>
        <v/>
      </c>
      <c r="E21" s="19" t="str">
        <f>IF(D21="","",CFD_L1000!W6)</f>
        <v/>
      </c>
      <c r="F21" s="23" t="str">
        <f>IF(E21="","",E21/Parametri!$C$18)</f>
        <v/>
      </c>
      <c r="G21" s="34" t="str">
        <f>IF(B21="","",IFERROR(AVERAGEIFS(CFD_L1000!$Z$9:$Z$108,CFD_L1000!$V$9:$V$108,"&gt;="&amp;Parametri!$E$18,CFD_L1000!$V$9:$V$108,"&lt;="&amp;Parametri!$B$7),"n.d."))</f>
        <v/>
      </c>
      <c r="H21" s="34" t="str">
        <f>IF(V21="","",IFERROR(EXP(LN(INDEX(CFD_L1000!$W$1:$W$130,8+V21))+(LN(Parametri!$B$12)-LN(INDEX(CFD_L1000!$V$1:$V$130,8+V21)))*(LN(INDEX(CFD_L1000!$W$1:$W$130,9+V21))-LN(INDEX(CFD_L1000!$W$1:$W$130,8+V21)))/(LN(INDEX(CFD_L1000!$V$1:$V$130,9+V21))-LN(INDEX(CFD_L1000!$V$1:$V$130,8+V21))))*Parametri!$B$12/B21,""))</f>
        <v/>
      </c>
      <c r="I21" s="34" t="str">
        <f>IF(W21="","",IFERROR(EXP(LN(INDEX(CFD_L1000!$W$1:$W$130,8+W21))+(LN(Parametri!$B$13)-LN(INDEX(CFD_L1000!$V$1:$V$130,8+W21)))*(LN(INDEX(CFD_L1000!$W$1:$W$130,9+W21))-LN(INDEX(CFD_L1000!$W$1:$W$130,8+W21)))/(LN(INDEX(CFD_L1000!$V$1:$V$130,9+W21))-LN(INDEX(CFD_L1000!$V$1:$V$130,8+W21))))*Parametri!$B$13/B21,""))</f>
        <v/>
      </c>
      <c r="J21" s="9" t="str">
        <f>IF(OR(G21="",G21="n.d.",E21=""),"",G21*3600*E21/Parametri!$B$4)</f>
        <v/>
      </c>
      <c r="K21" s="25" t="str">
        <f>IF(X21="","",IFERROR(EXP(LN(INDEX(CFD_L1000!$W$1:$W$130,8+X21))+(LN(Parametri!$B$9)-LN(INDEX(CFD_L1000!$V$1:$V$130,8+X21)))*(LN(INDEX(CFD_L1000!$W$1:$W$130,9+X21))-LN(INDEX(CFD_L1000!$W$1:$W$130,8+X21)))/(LN(INDEX(CFD_L1000!$V$1:$V$130,9+X21))-LN(INDEX(CFD_L1000!$V$1:$V$130,8+X21)))),""))</f>
        <v/>
      </c>
      <c r="L21" s="24" t="str">
        <f>IF(B21="","",IF(R21="","n.d.",EXP(LN(R21)+(LN(Parametri!$B$10)-LN(T21))*(LN(S21)-LN(R21))/(LN(U21)-LN(T21)))))</f>
        <v/>
      </c>
      <c r="M21" s="23" t="str">
        <f>IF(OR(B21="",NOT(ISNUMBER($D$6))),"",$D$6*B21/Parametri!$B$10)</f>
        <v/>
      </c>
      <c r="N21" s="38" t="str">
        <f t="shared" si="0"/>
        <v/>
      </c>
      <c r="O21" s="13" t="str">
        <f>IF(D21="","",Parametri!$B$10/D21)</f>
        <v/>
      </c>
      <c r="P21" s="5" t="str">
        <f>IF(B21="","",IF(NOT(ISNUMBER(L21)),"n.d.: vₜ non raggiunta oltre x min",IF(L21&gt;Parametri!$B$7,"CFD troncato dal pavimento",IF(O21&gt;$F$6,"vₜ nel plateau/transizione","OK"))))</f>
        <v/>
      </c>
      <c r="Q21" s="18" t="str">
        <f>IF(B21="","",MAX(CFD_L1000!$AA$9:$AA$108))</f>
        <v/>
      </c>
      <c r="R21" s="13" t="str">
        <f>IF(OR(Q21="",Q21=0),"",INDEX(CFD_L1000!$V$1:$V$130,Q21))</f>
        <v/>
      </c>
      <c r="S21" s="13" t="str">
        <f>IF(R21="","",INDEX(CFD_L1000!$V$1:$V$130,Q21+1))</f>
        <v/>
      </c>
      <c r="T21" s="14" t="str">
        <f>IF(R21="","",INDEX(CFD_L1000!$W$1:$W$130,Q21))</f>
        <v/>
      </c>
      <c r="U21" s="14" t="str">
        <f>IF(R21="","",INDEX(CFD_L1000!$W$1:$W$130,Q21+1))</f>
        <v/>
      </c>
      <c r="V21" s="18" t="str">
        <f>IF(OR(B21="",Parametri!$B$12&gt;MAX(CFD_L1000!$V$9:$V$108)),"",IFERROR(MATCH(Parametri!$B$12,INDEX(CFD_L1000!$V$9:$V$108,1):INDEX(CFD_L1000!$V$9:$V$108,COUNT(CFD_L1000!$V$9:$V$108)),1),""))</f>
        <v/>
      </c>
      <c r="W21" s="18" t="str">
        <f>IF(OR(B21="",Parametri!$B$13&gt;MAX(CFD_L1000!$V$9:$V$108)),"",IFERROR(MATCH(Parametri!$B$13,INDEX(CFD_L1000!$V$9:$V$108,1):INDEX(CFD_L1000!$V$9:$V$108,COUNT(CFD_L1000!$V$9:$V$108)),1),""))</f>
        <v/>
      </c>
      <c r="X21" s="18" t="str">
        <f>IF(OR(B21="",Parametri!$B$9&gt;MAX(CFD_L1000!$V$9:$V$108)),"",IFERROR(MATCH(Parametri!$B$9,INDEX(CFD_L1000!$V$9:$V$108,1):INDEX(CFD_L1000!$V$9:$V$108,COUNT(CFD_L1000!$V$9:$V$108)),1),""))</f>
        <v/>
      </c>
    </row>
    <row r="22" spans="1:24" x14ac:dyDescent="0.25">
      <c r="A22" s="30">
        <f>Parametri!$A$18</f>
        <v>1000</v>
      </c>
      <c r="B22" s="30" t="str">
        <f>IF(CFD_L1000!AD3="","",CFD_L1000!AD3)</f>
        <v/>
      </c>
      <c r="C22" s="20" t="str">
        <f>IF(B22="","",CFD_L1000!AD5)</f>
        <v/>
      </c>
      <c r="D22" s="20" t="str">
        <f>IF(OR(B22="",CFD_L1000!AD4=""),"",CFD_L1000!AD4)</f>
        <v/>
      </c>
      <c r="E22" s="19" t="str">
        <f>IF(D22="","",CFD_L1000!AD6)</f>
        <v/>
      </c>
      <c r="F22" s="23" t="str">
        <f>IF(E22="","",E22/Parametri!$C$18)</f>
        <v/>
      </c>
      <c r="G22" s="34" t="str">
        <f>IF(B22="","",IFERROR(AVERAGEIFS(CFD_L1000!$AG$9:$AG$108,CFD_L1000!$AC$9:$AC$108,"&gt;="&amp;Parametri!$E$18,CFD_L1000!$AC$9:$AC$108,"&lt;="&amp;Parametri!$B$7),"n.d."))</f>
        <v/>
      </c>
      <c r="H22" s="34" t="str">
        <f>IF(V22="","",IFERROR(EXP(LN(INDEX(CFD_L1000!$AD$1:$AD$130,8+V22))+(LN(Parametri!$B$12)-LN(INDEX(CFD_L1000!$AC$1:$AC$130,8+V22)))*(LN(INDEX(CFD_L1000!$AD$1:$AD$130,9+V22))-LN(INDEX(CFD_L1000!$AD$1:$AD$130,8+V22)))/(LN(INDEX(CFD_L1000!$AC$1:$AC$130,9+V22))-LN(INDEX(CFD_L1000!$AC$1:$AC$130,8+V22))))*Parametri!$B$12/B22,""))</f>
        <v/>
      </c>
      <c r="I22" s="34" t="str">
        <f>IF(W22="","",IFERROR(EXP(LN(INDEX(CFD_L1000!$AD$1:$AD$130,8+W22))+(LN(Parametri!$B$13)-LN(INDEX(CFD_L1000!$AC$1:$AC$130,8+W22)))*(LN(INDEX(CFD_L1000!$AD$1:$AD$130,9+W22))-LN(INDEX(CFD_L1000!$AD$1:$AD$130,8+W22)))/(LN(INDEX(CFD_L1000!$AC$1:$AC$130,9+W22))-LN(INDEX(CFD_L1000!$AC$1:$AC$130,8+W22))))*Parametri!$B$13/B22,""))</f>
        <v/>
      </c>
      <c r="J22" s="9" t="str">
        <f>IF(OR(G22="",G22="n.d.",E22=""),"",G22*3600*E22/Parametri!$B$4)</f>
        <v/>
      </c>
      <c r="K22" s="25" t="str">
        <f>IF(X22="","",IFERROR(EXP(LN(INDEX(CFD_L1000!$AD$1:$AD$130,8+X22))+(LN(Parametri!$B$9)-LN(INDEX(CFD_L1000!$AC$1:$AC$130,8+X22)))*(LN(INDEX(CFD_L1000!$AD$1:$AD$130,9+X22))-LN(INDEX(CFD_L1000!$AD$1:$AD$130,8+X22)))/(LN(INDEX(CFD_L1000!$AC$1:$AC$130,9+X22))-LN(INDEX(CFD_L1000!$AC$1:$AC$130,8+X22)))),""))</f>
        <v/>
      </c>
      <c r="L22" s="24" t="str">
        <f>IF(B22="","",IF(R22="","n.d.",EXP(LN(R22)+(LN(Parametri!$B$10)-LN(T22))*(LN(S22)-LN(R22))/(LN(U22)-LN(T22)))))</f>
        <v/>
      </c>
      <c r="M22" s="23" t="str">
        <f>IF(OR(B22="",NOT(ISNUMBER($D$6))),"",$D$6*B22/Parametri!$B$10)</f>
        <v/>
      </c>
      <c r="N22" s="38" t="str">
        <f t="shared" si="0"/>
        <v/>
      </c>
      <c r="O22" s="13" t="str">
        <f>IF(D22="","",Parametri!$B$10/D22)</f>
        <v/>
      </c>
      <c r="P22" s="5" t="str">
        <f>IF(B22="","",IF(NOT(ISNUMBER(L22)),"n.d.: vₜ non raggiunta oltre x min",IF(L22&gt;Parametri!$B$7,"CFD troncato dal pavimento",IF(O22&gt;$F$6,"vₜ nel plateau/transizione","OK"))))</f>
        <v/>
      </c>
      <c r="Q22" s="18" t="str">
        <f>IF(B22="","",MAX(CFD_L1000!$AH$9:$AH$108))</f>
        <v/>
      </c>
      <c r="R22" s="13" t="str">
        <f>IF(OR(Q22="",Q22=0),"",INDEX(CFD_L1000!$AC$1:$AC$130,Q22))</f>
        <v/>
      </c>
      <c r="S22" s="13" t="str">
        <f>IF(R22="","",INDEX(CFD_L1000!$AC$1:$AC$130,Q22+1))</f>
        <v/>
      </c>
      <c r="T22" s="14" t="str">
        <f>IF(R22="","",INDEX(CFD_L1000!$AD$1:$AD$130,Q22))</f>
        <v/>
      </c>
      <c r="U22" s="14" t="str">
        <f>IF(R22="","",INDEX(CFD_L1000!$AD$1:$AD$130,Q22+1))</f>
        <v/>
      </c>
      <c r="V22" s="18" t="str">
        <f>IF(OR(B22="",Parametri!$B$12&gt;MAX(CFD_L1000!$AC$9:$AC$108)),"",IFERROR(MATCH(Parametri!$B$12,INDEX(CFD_L1000!$AC$9:$AC$108,1):INDEX(CFD_L1000!$AC$9:$AC$108,COUNT(CFD_L1000!$AC$9:$AC$108)),1),""))</f>
        <v/>
      </c>
      <c r="W22" s="18" t="str">
        <f>IF(OR(B22="",Parametri!$B$13&gt;MAX(CFD_L1000!$AC$9:$AC$108)),"",IFERROR(MATCH(Parametri!$B$13,INDEX(CFD_L1000!$AC$9:$AC$108,1):INDEX(CFD_L1000!$AC$9:$AC$108,COUNT(CFD_L1000!$AC$9:$AC$108)),1),""))</f>
        <v/>
      </c>
      <c r="X22" s="18" t="str">
        <f>IF(OR(B22="",Parametri!$B$9&gt;MAX(CFD_L1000!$AC$9:$AC$108)),"",IFERROR(MATCH(Parametri!$B$9,INDEX(CFD_L1000!$AC$9:$AC$108,1):INDEX(CFD_L1000!$AC$9:$AC$108,COUNT(CFD_L1000!$AC$9:$AC$108)),1),""))</f>
        <v/>
      </c>
    </row>
    <row r="23" spans="1:24" x14ac:dyDescent="0.25">
      <c r="A23" s="30">
        <f>Parametri!$A$19</f>
        <v>1500</v>
      </c>
      <c r="B23" s="30">
        <f>IF(CFD_L1500!B3="","",CFD_L1500!B3)</f>
        <v>80</v>
      </c>
      <c r="C23" s="20">
        <f>IF(B23="","",CFD_L1500!B5)</f>
        <v>0.37037037037037041</v>
      </c>
      <c r="D23" s="20">
        <f>IF(OR(B23="",CFD_L1500!B4=""),"",CFD_L1500!B4)</f>
        <v>0.77381648000000003</v>
      </c>
      <c r="E23" s="19">
        <f>IF(D23="","",CFD_L1500!B6)</f>
        <v>2.8717690559164909E-2</v>
      </c>
      <c r="F23" s="23">
        <f>IF(E23="","",E23/Parametri!$C$19)</f>
        <v>0.47862817598608182</v>
      </c>
      <c r="G23" s="34">
        <f>IF(B23="","",IFERROR(AVERAGEIFS(CFD_L1500!$E$9:$E$108,CFD_L1500!$A$9:$A$108,"&gt;="&amp;Parametri!$E$19,CFD_L1500!$A$9:$A$108,"&lt;="&amp;Parametri!$B$7),"n.d."))</f>
        <v>6.8087157753895346E-3</v>
      </c>
      <c r="H23" s="34">
        <f>IF(V23="","",IFERROR(EXP(LN(INDEX(CFD_L1500!$B$1:$B$130,8+V23))+(LN(Parametri!$B$12)-LN(INDEX(CFD_L1500!$A$1:$A$130,8+V23)))*(LN(INDEX(CFD_L1500!$B$1:$B$130,9+V23))-LN(INDEX(CFD_L1500!$B$1:$B$130,8+V23)))/(LN(INDEX(CFD_L1500!$A$1:$A$130,9+V23))-LN(INDEX(CFD_L1500!$A$1:$A$130,8+V23))))*Parametri!$B$12/B23,""))</f>
        <v>6.160132185203086E-3</v>
      </c>
      <c r="I23" s="34">
        <f>IF(W23="","",IFERROR(EXP(LN(INDEX(CFD_L1500!$B$1:$B$130,8+W23))+(LN(Parametri!$B$13)-LN(INDEX(CFD_L1500!$A$1:$A$130,8+W23)))*(LN(INDEX(CFD_L1500!$B$1:$B$130,9+W23))-LN(INDEX(CFD_L1500!$B$1:$B$130,8+W23)))/(LN(INDEX(CFD_L1500!$A$1:$A$130,9+W23))-LN(INDEX(CFD_L1500!$A$1:$A$130,8+W23))))*Parametri!$B$13/B23,""))</f>
        <v>6.7769393155596019E-3</v>
      </c>
      <c r="J23" s="9">
        <f>IF(OR(G23="",G23="n.d.",E23=""),"",G23*3600*E23/Parametri!$B$4)</f>
        <v>17.597753346864707</v>
      </c>
      <c r="K23" s="25">
        <f>IF(X23="","",IFERROR(EXP(LN(INDEX(CFD_L1500!$B$1:$B$130,8+X23))+(LN(Parametri!$B$9)-LN(INDEX(CFD_L1500!$A$1:$A$130,8+X23)))*(LN(INDEX(CFD_L1500!$B$1:$B$130,9+X23))-LN(INDEX(CFD_L1500!$B$1:$B$130,8+X23)))/(LN(INDEX(CFD_L1500!$A$1:$A$130,9+X23))-LN(INDEX(CFD_L1500!$A$1:$A$130,8+X23)))),""))</f>
        <v>6.5460762608549966E-2</v>
      </c>
      <c r="L23" s="24">
        <f>IF(B23="","",IF(R23="","n.d.",EXP(LN(R23)+(LN(Parametri!$B$10)-LN(T23))*(LN(S23)-LN(R23))/(LN(U23)-LN(T23)))))</f>
        <v>0.49233482612868829</v>
      </c>
      <c r="M23" s="23">
        <f>IF(OR(B23="",NOT(ISNUMBER($D$7))),"",$D$7*B23/Parametri!$B$10)</f>
        <v>2.1959712676689436</v>
      </c>
      <c r="N23" s="38">
        <f t="shared" si="0"/>
        <v>3.4603208043116425</v>
      </c>
      <c r="O23" s="13">
        <f>IF(D23="","",Parametri!$B$10/D23)</f>
        <v>0.32307401879060521</v>
      </c>
      <c r="P23" s="5" t="str">
        <f>IF(B23="","",IF(NOT(ISNUMBER(L23)),"n.d.: vₜ non raggiunta oltre x min",IF(L23&gt;Parametri!$B$7,"CFD troncato dal pavimento",IF(O23&gt;$F$7,"vₜ nel plateau/transizione","OK"))))</f>
        <v>vₜ nel plateau/transizione</v>
      </c>
      <c r="Q23" s="18">
        <f>IF(B23="","",MAX(CFD_L1500!$F$9:$F$108))</f>
        <v>24</v>
      </c>
      <c r="R23" s="13">
        <f>IF(OR(Q23="",Q23=0),"",INDEX(CFD_L1500!$A$1:$A$130,Q23))</f>
        <v>0.46516420000000003</v>
      </c>
      <c r="S23" s="13">
        <f>IF(R23="","",INDEX(CFD_L1500!$A$1:$A$130,Q23+1))</f>
        <v>0.54791809999999996</v>
      </c>
      <c r="T23" s="14">
        <f>IF(R23="","",INDEX(CFD_L1500!$B$1:$B$130,Q23))</f>
        <v>0.27883857000000001</v>
      </c>
      <c r="U23" s="14">
        <f>IF(R23="","",INDEX(CFD_L1500!$B$1:$B$130,Q23+1))</f>
        <v>0.203517539</v>
      </c>
      <c r="V23" s="18">
        <f>IF(OR(B23="",Parametri!$B$12&gt;MAX(CFD_L1500!$A$9:$A$108)),"",IFERROR(MATCH(Parametri!$B$12,INDEX(CFD_L1500!$A$9:$A$108,1):INDEX(CFD_L1500!$A$9:$A$108,COUNT(CFD_L1500!$A$9:$A$108)),1),""))</f>
        <v>25</v>
      </c>
      <c r="W23" s="18">
        <f>IF(OR(B23="",Parametri!$B$13&gt;MAX(CFD_L1500!$A$9:$A$108)),"",IFERROR(MATCH(Parametri!$B$13,INDEX(CFD_L1500!$A$9:$A$108,1):INDEX(CFD_L1500!$A$9:$A$108,COUNT(CFD_L1500!$A$9:$A$108)),1),""))</f>
        <v>26</v>
      </c>
      <c r="X23" s="18">
        <f>IF(OR(B23="",Parametri!$B$9&gt;MAX(CFD_L1500!$A$9:$A$108)),"",IFERROR(MATCH(Parametri!$B$9,INDEX(CFD_L1500!$A$9:$A$108,1):INDEX(CFD_L1500!$A$9:$A$108,COUNT(CFD_L1500!$A$9:$A$108)),1),""))</f>
        <v>26</v>
      </c>
    </row>
    <row r="24" spans="1:24" x14ac:dyDescent="0.25">
      <c r="A24" s="30">
        <f>Parametri!$A$19</f>
        <v>1500</v>
      </c>
      <c r="B24" s="30">
        <f>IF(CFD_L1500!I3="","",CFD_L1500!I3)</f>
        <v>150</v>
      </c>
      <c r="C24" s="20">
        <f>IF(B24="","",CFD_L1500!I5)</f>
        <v>0.69444444444444442</v>
      </c>
      <c r="D24" s="20">
        <f>IF(OR(B24="",CFD_L1500!I4=""),"",CFD_L1500!I4)</f>
        <v>1.4163390280000001</v>
      </c>
      <c r="E24" s="19">
        <f>IF(D24="","",CFD_L1500!I6)</f>
        <v>2.9418568466268842E-2</v>
      </c>
      <c r="F24" s="23">
        <f>IF(E24="","",E24/Parametri!$C$19)</f>
        <v>0.49030947443781403</v>
      </c>
      <c r="G24" s="34">
        <f>IF(B24="","",IFERROR(AVERAGEIFS(CFD_L1500!$L$9:$L$108,CFD_L1500!$H$9:$H$108,"&gt;="&amp;Parametri!$E$19,CFD_L1500!$H$9:$H$108,"&lt;="&amp;Parametri!$B$7),"n.d."))</f>
        <v>6.990323010915781E-3</v>
      </c>
      <c r="H24" s="34">
        <f>IF(V24="","",IFERROR(EXP(LN(INDEX(CFD_L1500!$I$1:$I$130,8+V24))+(LN(Parametri!$B$12)-LN(INDEX(CFD_L1500!$H$1:$H$130,8+V24)))*(LN(INDEX(CFD_L1500!$I$1:$I$130,9+V24))-LN(INDEX(CFD_L1500!$I$1:$I$130,8+V24)))/(LN(INDEX(CFD_L1500!$H$1:$H$130,9+V24))-LN(INDEX(CFD_L1500!$H$1:$H$130,8+V24))))*Parametri!$B$12/B24,""))</f>
        <v>6.3601492212448738E-3</v>
      </c>
      <c r="I24" s="34">
        <f>IF(W24="","",IFERROR(EXP(LN(INDEX(CFD_L1500!$I$1:$I$130,8+W24))+(LN(Parametri!$B$13)-LN(INDEX(CFD_L1500!$H$1:$H$130,8+W24)))*(LN(INDEX(CFD_L1500!$I$1:$I$130,9+W24))-LN(INDEX(CFD_L1500!$I$1:$I$130,8+W24)))/(LN(INDEX(CFD_L1500!$H$1:$H$130,9+W24))-LN(INDEX(CFD_L1500!$H$1:$H$130,8+W24))))*Parametri!$B$13/B24,""))</f>
        <v>6.9016250094628808E-3</v>
      </c>
      <c r="J24" s="9">
        <f>IF(OR(G24="",G24="n.d.",E24=""),"",G24*3600*E24/Parametri!$B$4)</f>
        <v>18.508076648816441</v>
      </c>
      <c r="K24" s="25">
        <f>IF(X24="","",IFERROR(EXP(LN(INDEX(CFD_L1500!$I$1:$I$130,8+X24))+(LN(Parametri!$B$9)-LN(INDEX(CFD_L1500!$H$1:$H$130,8+X24)))*(LN(INDEX(CFD_L1500!$I$1:$I$130,9+X24))-LN(INDEX(CFD_L1500!$I$1:$I$130,8+X24)))/(LN(INDEX(CFD_L1500!$H$1:$H$130,9+X24))-LN(INDEX(CFD_L1500!$H$1:$H$130,8+X24)))),""))</f>
        <v>0.12683844926046731</v>
      </c>
      <c r="L24" s="24">
        <f>IF(B24="","",IF(R24="","n.d.",EXP(LN(R24)+(LN(Parametri!$B$10)-LN(T24))*(LN(S24)-LN(R24))/(LN(U24)-LN(T24)))))</f>
        <v>1.2750894780824802</v>
      </c>
      <c r="M24" s="23">
        <f>IF(OR(B24="",NOT(ISNUMBER($D$7))),"",$D$7*B24/Parametri!$B$10)</f>
        <v>4.117446126879269</v>
      </c>
      <c r="N24" s="38">
        <f t="shared" si="0"/>
        <v>2.2291428936196813</v>
      </c>
      <c r="O24" s="13">
        <f>IF(D24="","",Parametri!$B$10/D24)</f>
        <v>0.17651141079761307</v>
      </c>
      <c r="P24" s="5" t="str">
        <f>IF(B24="","",IF(NOT(ISNUMBER(L24)),"n.d.: vₜ non raggiunta oltre x min",IF(L24&gt;Parametri!$B$7,"CFD troncato dal pavimento",IF(O24&gt;$F$7,"vₜ nel plateau/transizione","OK"))))</f>
        <v>vₜ nel plateau/transizione</v>
      </c>
      <c r="Q24" s="18">
        <f>IF(B24="","",MAX(CFD_L1500!$M$9:$M$108))</f>
        <v>29</v>
      </c>
      <c r="R24" s="13">
        <f>IF(OR(Q24="",Q24=0),"",INDEX(CFD_L1500!$H$1:$H$130,Q24))</f>
        <v>0.90257759999999998</v>
      </c>
      <c r="S24" s="13">
        <f>IF(R24="","",INDEX(CFD_L1500!$H$1:$H$130,Q24+1))</f>
        <v>1.3281689999999999</v>
      </c>
      <c r="T24" s="14">
        <f>IF(R24="","",INDEX(CFD_L1500!$I$1:$I$130,Q24))</f>
        <v>0.27915041400000001</v>
      </c>
      <c r="U24" s="14">
        <f>IF(R24="","",INDEX(CFD_L1500!$I$1:$I$130,Q24+1))</f>
        <v>0.24676643100000001</v>
      </c>
      <c r="V24" s="18">
        <f>IF(OR(B24="",Parametri!$B$12&gt;MAX(CFD_L1500!$H$9:$H$108)),"",IFERROR(MATCH(Parametri!$B$12,INDEX(CFD_L1500!$H$9:$H$108,1):INDEX(CFD_L1500!$H$9:$H$108,COUNT(CFD_L1500!$H$9:$H$108)),1),""))</f>
        <v>26</v>
      </c>
      <c r="W24" s="18">
        <f>IF(OR(B24="",Parametri!$B$13&gt;MAX(CFD_L1500!$H$9:$H$108)),"",IFERROR(MATCH(Parametri!$B$13,INDEX(CFD_L1500!$H$9:$H$108,1):INDEX(CFD_L1500!$H$9:$H$108,COUNT(CFD_L1500!$H$9:$H$108)),1),""))</f>
        <v>26</v>
      </c>
      <c r="X24" s="18">
        <f>IF(OR(B24="",Parametri!$B$9&gt;MAX(CFD_L1500!$H$9:$H$108)),"",IFERROR(MATCH(Parametri!$B$9,INDEX(CFD_L1500!$H$9:$H$108,1):INDEX(CFD_L1500!$H$9:$H$108,COUNT(CFD_L1500!$H$9:$H$108)),1),""))</f>
        <v>27</v>
      </c>
    </row>
    <row r="25" spans="1:24" x14ac:dyDescent="0.25">
      <c r="A25" s="30">
        <f>Parametri!$A$19</f>
        <v>1500</v>
      </c>
      <c r="B25" s="30">
        <f>IF(CFD_L1500!P3="","",CFD_L1500!P3)</f>
        <v>250</v>
      </c>
      <c r="C25" s="20">
        <f>IF(B25="","",CFD_L1500!P5)</f>
        <v>1.1574074074074074</v>
      </c>
      <c r="D25" s="20">
        <f>IF(OR(B25="",CFD_L1500!P4=""),"",CFD_L1500!P4)</f>
        <v>2.388173777</v>
      </c>
      <c r="E25" s="19">
        <f>IF(D25="","",CFD_L1500!P6)</f>
        <v>2.90784720581263E-2</v>
      </c>
      <c r="F25" s="23">
        <f>IF(E25="","",E25/Parametri!$C$19)</f>
        <v>0.48464120096877167</v>
      </c>
      <c r="G25" s="34">
        <f>IF(B25="","",IFERROR(AVERAGEIFS(CFD_L1500!$S$9:$S$108,CFD_L1500!$O$9:$O$108,"&gt;="&amp;Parametri!$E$19,CFD_L1500!$O$9:$O$108,"&lt;="&amp;Parametri!$B$7),"n.d."))</f>
        <v>6.9718386352298116E-3</v>
      </c>
      <c r="H25" s="34">
        <f>IF(V25="","",IFERROR(EXP(LN(INDEX(CFD_L1500!$P$1:$P$130,8+V25))+(LN(Parametri!$B$12)-LN(INDEX(CFD_L1500!$O$1:$O$130,8+V25)))*(LN(INDEX(CFD_L1500!$P$1:$P$130,9+V25))-LN(INDEX(CFD_L1500!$P$1:$P$130,8+V25)))/(LN(INDEX(CFD_L1500!$O$1:$O$130,9+V25))-LN(INDEX(CFD_L1500!$O$1:$O$130,8+V25))))*Parametri!$B$12/B25,""))</f>
        <v>6.4114662418632094E-3</v>
      </c>
      <c r="I25" s="34">
        <f>IF(W25="","",IFERROR(EXP(LN(INDEX(CFD_L1500!$P$1:$P$130,8+W25))+(LN(Parametri!$B$13)-LN(INDEX(CFD_L1500!$O$1:$O$130,8+W25)))*(LN(INDEX(CFD_L1500!$P$1:$P$130,9+W25))-LN(INDEX(CFD_L1500!$P$1:$P$130,8+W25)))/(LN(INDEX(CFD_L1500!$O$1:$O$130,9+W25))-LN(INDEX(CFD_L1500!$O$1:$O$130,8+W25))))*Parametri!$B$13/B25,""))</f>
        <v>6.9551805441026883E-3</v>
      </c>
      <c r="J25" s="9">
        <f>IF(OR(G25="",G25="n.d.",E25=""),"",G25*3600*E25/Parametri!$B$4)</f>
        <v>18.245737345346594</v>
      </c>
      <c r="K25" s="25">
        <f>IF(X25="","",IFERROR(EXP(LN(INDEX(CFD_L1500!$P$1:$P$130,8+X25))+(LN(Parametri!$B$9)-LN(INDEX(CFD_L1500!$O$1:$O$130,8+X25)))*(LN(INDEX(CFD_L1500!$P$1:$P$130,9+X25))-LN(INDEX(CFD_L1500!$P$1:$P$130,8+X25)))/(LN(INDEX(CFD_L1500!$O$1:$O$130,9+X25))-LN(INDEX(CFD_L1500!$O$1:$O$130,8+X25)))),""))</f>
        <v>0.20665831604168394</v>
      </c>
      <c r="L25" s="24">
        <f>IF(B25="","",IF(R25="","n.d.",EXP(LN(R25)+(LN(Parametri!$B$10)-LN(T25))*(LN(S25)-LN(R25))/(LN(U25)-LN(T25)))))</f>
        <v>6.832123166341284</v>
      </c>
      <c r="M25" s="23">
        <f>IF(OR(B25="",NOT(ISNUMBER($D$7))),"",$D$7*B25/Parametri!$B$10)</f>
        <v>6.8624102114654484</v>
      </c>
      <c r="N25" s="38">
        <f t="shared" si="0"/>
        <v>4.4330355859762971E-3</v>
      </c>
      <c r="O25" s="13">
        <f>IF(D25="","",Parametri!$B$10/D25)</f>
        <v>0.10468249940925467</v>
      </c>
      <c r="P25" s="5" t="str">
        <f>IF(B25="","",IF(NOT(ISNUMBER(L25)),"n.d.: vₜ non raggiunta oltre x min",IF(L25&gt;Parametri!$B$7,"CFD troncato dal pavimento",IF(O25&gt;$F$7,"vₜ nel plateau/transizione","OK"))))</f>
        <v>OK</v>
      </c>
      <c r="Q25" s="18">
        <f>IF(B25="","",MAX(CFD_L1500!$T$9:$T$108))</f>
        <v>31</v>
      </c>
      <c r="R25" s="13">
        <f>IF(OR(Q25="",Q25=0),"",INDEX(CFD_L1500!$O$1:$O$130,Q25))</f>
        <v>4.9858326000000002</v>
      </c>
      <c r="S25" s="13">
        <f>IF(R25="","",INDEX(CFD_L1500!$O$1:$O$130,Q25+1))</f>
        <v>7.5465325999999999</v>
      </c>
      <c r="T25" s="14">
        <f>IF(R25="","",INDEX(CFD_L1500!$P$1:$P$130,Q25))</f>
        <v>0.32129860500000001</v>
      </c>
      <c r="U25" s="14">
        <f>IF(R25="","",INDEX(CFD_L1500!$P$1:$P$130,Q25+1))</f>
        <v>0.23096165499999999</v>
      </c>
      <c r="V25" s="18">
        <f>IF(OR(B25="",Parametri!$B$12&gt;MAX(CFD_L1500!$O$9:$O$108)),"",IFERROR(MATCH(Parametri!$B$12,INDEX(CFD_L1500!$O$9:$O$108,1):INDEX(CFD_L1500!$O$9:$O$108,COUNT(CFD_L1500!$O$9:$O$108)),1),""))</f>
        <v>23</v>
      </c>
      <c r="W25" s="18">
        <f>IF(OR(B25="",Parametri!$B$13&gt;MAX(CFD_L1500!$O$9:$O$108)),"",IFERROR(MATCH(Parametri!$B$13,INDEX(CFD_L1500!$O$9:$O$108,1):INDEX(CFD_L1500!$O$9:$O$108,COUNT(CFD_L1500!$O$9:$O$108)),1),""))</f>
        <v>24</v>
      </c>
      <c r="X25" s="18">
        <f>IF(OR(B25="",Parametri!$B$9&gt;MAX(CFD_L1500!$O$9:$O$108)),"",IFERROR(MATCH(Parametri!$B$9,INDEX(CFD_L1500!$O$9:$O$108,1):INDEX(CFD_L1500!$O$9:$O$108,COUNT(CFD_L1500!$O$9:$O$108)),1),""))</f>
        <v>24</v>
      </c>
    </row>
    <row r="26" spans="1:24" x14ac:dyDescent="0.25">
      <c r="A26" s="30">
        <f>Parametri!$A$19</f>
        <v>1500</v>
      </c>
      <c r="B26" s="30">
        <f>IF(CFD_L1500!W3="","",CFD_L1500!W3)</f>
        <v>300</v>
      </c>
      <c r="C26" s="20">
        <f>IF(B26="","",CFD_L1500!W5)</f>
        <v>1.3888888888888888</v>
      </c>
      <c r="D26" s="20">
        <f>IF(OR(B26="",CFD_L1500!W4=""),"",CFD_L1500!W4)</f>
        <v>2.887772</v>
      </c>
      <c r="E26" s="19">
        <f>IF(D26="","",CFD_L1500!W6)</f>
        <v>2.8857310526361958E-2</v>
      </c>
      <c r="F26" s="23">
        <f>IF(E26="","",E26/Parametri!$C$19)</f>
        <v>0.480955175439366</v>
      </c>
      <c r="G26" s="34">
        <f>IF(B26="","",IFERROR(AVERAGEIFS(CFD_L1500!$Z$9:$Z$108,CFD_L1500!$V$9:$V$108,"&gt;="&amp;Parametri!$E$19,CFD_L1500!$V$9:$V$108,"&lt;="&amp;Parametri!$B$7),"n.d."))</f>
        <v>6.6787634243266683E-3</v>
      </c>
      <c r="H26" s="34">
        <f>IF(V26="","",IFERROR(EXP(LN(INDEX(CFD_L1500!$W$1:$W$130,8+V26))+(LN(Parametri!$B$12)-LN(INDEX(CFD_L1500!$V$1:$V$130,8+V26)))*(LN(INDEX(CFD_L1500!$W$1:$W$130,9+V26))-LN(INDEX(CFD_L1500!$W$1:$W$130,8+V26)))/(LN(INDEX(CFD_L1500!$V$1:$V$130,9+V26))-LN(INDEX(CFD_L1500!$V$1:$V$130,8+V26))))*Parametri!$B$12/B26,""))</f>
        <v>6.1467173079717092E-3</v>
      </c>
      <c r="I26" s="34">
        <f>IF(W26="","",IFERROR(EXP(LN(INDEX(CFD_L1500!$W$1:$W$130,8+W26))+(LN(Parametri!$B$13)-LN(INDEX(CFD_L1500!$V$1:$V$130,8+W26)))*(LN(INDEX(CFD_L1500!$W$1:$W$130,9+W26))-LN(INDEX(CFD_L1500!$W$1:$W$130,8+W26)))/(LN(INDEX(CFD_L1500!$V$1:$V$130,9+W26))-LN(INDEX(CFD_L1500!$V$1:$V$130,8+W26))))*Parametri!$B$13/B26,""))</f>
        <v>6.6691895631648445E-3</v>
      </c>
      <c r="J26" s="9">
        <f>IF(OR(G26="",G26="n.d.",E26=""),"",G26*3600*E26/Parametri!$B$4)</f>
        <v>17.345803506111288</v>
      </c>
      <c r="K26" s="25">
        <f>IF(X26="","",IFERROR(EXP(LN(INDEX(CFD_L1500!$W$1:$W$130,8+X26))+(LN(Parametri!$B$9)-LN(INDEX(CFD_L1500!$V$1:$V$130,8+X26)))*(LN(INDEX(CFD_L1500!$W$1:$W$130,9+X26))-LN(INDEX(CFD_L1500!$W$1:$W$130,8+X26)))/(LN(INDEX(CFD_L1500!$V$1:$V$130,9+X26))-LN(INDEX(CFD_L1500!$V$1:$V$130,8+X26)))),""))</f>
        <v>0.23732331393607348</v>
      </c>
      <c r="L26" s="24">
        <f>IF(B26="","",IF(R26="","n.d.",EXP(LN(R26)+(LN(Parametri!$B$10)-LN(T26))*(LN(S26)-LN(R26))/(LN(U26)-LN(T26)))))</f>
        <v>7.8932437565341411</v>
      </c>
      <c r="M26" s="23">
        <f>IF(OR(B26="",NOT(ISNUMBER($D$7))),"",$D$7*B26/Parametri!$B$10)</f>
        <v>8.2348922537585381</v>
      </c>
      <c r="N26" s="38">
        <f t="shared" si="0"/>
        <v>4.3283662301899062E-2</v>
      </c>
      <c r="O26" s="13">
        <f>IF(D26="","",Parametri!$B$10/D26)</f>
        <v>8.6571931579085881E-2</v>
      </c>
      <c r="P26" s="5" t="str">
        <f>IF(B26="","",IF(NOT(ISNUMBER(L26)),"n.d.: vₜ non raggiunta oltre x min",IF(L26&gt;Parametri!$B$7,"CFD troncato dal pavimento",IF(O26&gt;$F$7,"vₜ nel plateau/transizione","OK"))))</f>
        <v>OK</v>
      </c>
      <c r="Q26" s="18">
        <f>IF(B26="","",MAX(CFD_L1500!$AA$9:$AA$108))</f>
        <v>33</v>
      </c>
      <c r="R26" s="13">
        <f>IF(OR(Q26="",Q26=0),"",INDEX(CFD_L1500!$V$1:$V$130,Q26))</f>
        <v>7.5701770000000002</v>
      </c>
      <c r="S26" s="13">
        <f>IF(R26="","",INDEX(CFD_L1500!$V$1:$V$130,Q26+1))</f>
        <v>8.6577990000000007</v>
      </c>
      <c r="T26" s="14">
        <f>IF(R26="","",INDEX(CFD_L1500!$W$1:$W$130,Q26))</f>
        <v>0.26467400000000002</v>
      </c>
      <c r="U26" s="14">
        <f>IF(R26="","",INDEX(CFD_L1500!$W$1:$W$130,Q26+1))</f>
        <v>0.220363</v>
      </c>
      <c r="V26" s="18">
        <f>IF(OR(B26="",Parametri!$B$12&gt;MAX(CFD_L1500!$V$9:$V$108)),"",IFERROR(MATCH(Parametri!$B$12,INDEX(CFD_L1500!$V$9:$V$108,1):INDEX(CFD_L1500!$V$9:$V$108,COUNT(CFD_L1500!$V$9:$V$108)),1),""))</f>
        <v>24</v>
      </c>
      <c r="W26" s="18">
        <f>IF(OR(B26="",Parametri!$B$13&gt;MAX(CFD_L1500!$V$9:$V$108)),"",IFERROR(MATCH(Parametri!$B$13,INDEX(CFD_L1500!$V$9:$V$108,1):INDEX(CFD_L1500!$V$9:$V$108,COUNT(CFD_L1500!$V$9:$V$108)),1),""))</f>
        <v>25</v>
      </c>
      <c r="X26" s="18">
        <f>IF(OR(B26="",Parametri!$B$9&gt;MAX(CFD_L1500!$V$9:$V$108)),"",IFERROR(MATCH(Parametri!$B$9,INDEX(CFD_L1500!$V$9:$V$108,1):INDEX(CFD_L1500!$V$9:$V$108,COUNT(CFD_L1500!$V$9:$V$108)),1),""))</f>
        <v>25</v>
      </c>
    </row>
    <row r="27" spans="1:24" x14ac:dyDescent="0.25">
      <c r="A27" s="30">
        <f>Parametri!$A$19</f>
        <v>1500</v>
      </c>
      <c r="B27" s="30" t="str">
        <f>IF(CFD_L1500!AD3="","",CFD_L1500!AD3)</f>
        <v/>
      </c>
      <c r="C27" s="20" t="str">
        <f>IF(B27="","",CFD_L1500!AD5)</f>
        <v/>
      </c>
      <c r="D27" s="20" t="str">
        <f>IF(OR(B27="",CFD_L1500!AD4=""),"",CFD_L1500!AD4)</f>
        <v/>
      </c>
      <c r="E27" s="19" t="str">
        <f>IF(D27="","",CFD_L1500!AD6)</f>
        <v/>
      </c>
      <c r="F27" s="23" t="str">
        <f>IF(E27="","",E27/Parametri!$C$19)</f>
        <v/>
      </c>
      <c r="G27" s="34" t="str">
        <f>IF(B27="","",IFERROR(AVERAGEIFS(CFD_L1500!$AG$9:$AG$108,CFD_L1500!$AC$9:$AC$108,"&gt;="&amp;Parametri!$E$19,CFD_L1500!$AC$9:$AC$108,"&lt;="&amp;Parametri!$B$7),"n.d."))</f>
        <v/>
      </c>
      <c r="H27" s="34" t="str">
        <f>IF(V27="","",IFERROR(EXP(LN(INDEX(CFD_L1500!$AD$1:$AD$130,8+V27))+(LN(Parametri!$B$12)-LN(INDEX(CFD_L1500!$AC$1:$AC$130,8+V27)))*(LN(INDEX(CFD_L1500!$AD$1:$AD$130,9+V27))-LN(INDEX(CFD_L1500!$AD$1:$AD$130,8+V27)))/(LN(INDEX(CFD_L1500!$AC$1:$AC$130,9+V27))-LN(INDEX(CFD_L1500!$AC$1:$AC$130,8+V27))))*Parametri!$B$12/B27,""))</f>
        <v/>
      </c>
      <c r="I27" s="34" t="str">
        <f>IF(W27="","",IFERROR(EXP(LN(INDEX(CFD_L1500!$AD$1:$AD$130,8+W27))+(LN(Parametri!$B$13)-LN(INDEX(CFD_L1500!$AC$1:$AC$130,8+W27)))*(LN(INDEX(CFD_L1500!$AD$1:$AD$130,9+W27))-LN(INDEX(CFD_L1500!$AD$1:$AD$130,8+W27)))/(LN(INDEX(CFD_L1500!$AC$1:$AC$130,9+W27))-LN(INDEX(CFD_L1500!$AC$1:$AC$130,8+W27))))*Parametri!$B$13/B27,""))</f>
        <v/>
      </c>
      <c r="J27" s="9" t="str">
        <f>IF(OR(G27="",G27="n.d.",E27=""),"",G27*3600*E27/Parametri!$B$4)</f>
        <v/>
      </c>
      <c r="K27" s="25" t="str">
        <f>IF(X27="","",IFERROR(EXP(LN(INDEX(CFD_L1500!$AD$1:$AD$130,8+X27))+(LN(Parametri!$B$9)-LN(INDEX(CFD_L1500!$AC$1:$AC$130,8+X27)))*(LN(INDEX(CFD_L1500!$AD$1:$AD$130,9+X27))-LN(INDEX(CFD_L1500!$AD$1:$AD$130,8+X27)))/(LN(INDEX(CFD_L1500!$AC$1:$AC$130,9+X27))-LN(INDEX(CFD_L1500!$AC$1:$AC$130,8+X27)))),""))</f>
        <v/>
      </c>
      <c r="L27" s="24" t="str">
        <f>IF(B27="","",IF(R27="","n.d.",EXP(LN(R27)+(LN(Parametri!$B$10)-LN(T27))*(LN(S27)-LN(R27))/(LN(U27)-LN(T27)))))</f>
        <v/>
      </c>
      <c r="M27" s="23" t="str">
        <f>IF(OR(B27="",NOT(ISNUMBER($D$7))),"",$D$7*B27/Parametri!$B$10)</f>
        <v/>
      </c>
      <c r="N27" s="38" t="str">
        <f t="shared" si="0"/>
        <v/>
      </c>
      <c r="O27" s="13" t="str">
        <f>IF(D27="","",Parametri!$B$10/D27)</f>
        <v/>
      </c>
      <c r="P27" s="5" t="str">
        <f>IF(B27="","",IF(NOT(ISNUMBER(L27)),"n.d.: vₜ non raggiunta oltre x min",IF(L27&gt;Parametri!$B$7,"CFD troncato dal pavimento",IF(O27&gt;$F$7,"vₜ nel plateau/transizione","OK"))))</f>
        <v/>
      </c>
      <c r="Q27" s="18" t="str">
        <f>IF(B27="","",MAX(CFD_L1500!$AH$9:$AH$108))</f>
        <v/>
      </c>
      <c r="R27" s="13" t="str">
        <f>IF(OR(Q27="",Q27=0),"",INDEX(CFD_L1500!$AC$1:$AC$130,Q27))</f>
        <v/>
      </c>
      <c r="S27" s="13" t="str">
        <f>IF(R27="","",INDEX(CFD_L1500!$AC$1:$AC$130,Q27+1))</f>
        <v/>
      </c>
      <c r="T27" s="14" t="str">
        <f>IF(R27="","",INDEX(CFD_L1500!$AD$1:$AD$130,Q27))</f>
        <v/>
      </c>
      <c r="U27" s="14" t="str">
        <f>IF(R27="","",INDEX(CFD_L1500!$AD$1:$AD$130,Q27+1))</f>
        <v/>
      </c>
      <c r="V27" s="18" t="str">
        <f>IF(OR(B27="",Parametri!$B$12&gt;MAX(CFD_L1500!$AC$9:$AC$108)),"",IFERROR(MATCH(Parametri!$B$12,INDEX(CFD_L1500!$AC$9:$AC$108,1):INDEX(CFD_L1500!$AC$9:$AC$108,COUNT(CFD_L1500!$AC$9:$AC$108)),1),""))</f>
        <v/>
      </c>
      <c r="W27" s="18" t="str">
        <f>IF(OR(B27="",Parametri!$B$13&gt;MAX(CFD_L1500!$AC$9:$AC$108)),"",IFERROR(MATCH(Parametri!$B$13,INDEX(CFD_L1500!$AC$9:$AC$108,1):INDEX(CFD_L1500!$AC$9:$AC$108,COUNT(CFD_L1500!$AC$9:$AC$108)),1),""))</f>
        <v/>
      </c>
      <c r="X27" s="18" t="str">
        <f>IF(OR(B27="",Parametri!$B$9&gt;MAX(CFD_L1500!$AC$9:$AC$108)),"",IFERROR(MATCH(Parametri!$B$9,INDEX(CFD_L1500!$AC$9:$AC$108,1):INDEX(CFD_L1500!$AC$9:$AC$108,COUNT(CFD_L1500!$AC$9:$AC$108)),1),""))</f>
        <v/>
      </c>
    </row>
    <row r="29" spans="1:24" x14ac:dyDescent="0.25">
      <c r="A29" s="3" t="s">
        <v>172</v>
      </c>
    </row>
  </sheetData>
  <conditionalFormatting sqref="A13:P27">
    <cfRule type="expression" dxfId="36" priority="2">
      <formula>$B13&lt;&gt;""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2"/>
  <sheetViews>
    <sheetView topLeftCell="A42" zoomScaleNormal="100" workbookViewId="0">
      <selection activeCell="O61" sqref="O61"/>
    </sheetView>
  </sheetViews>
  <sheetFormatPr defaultColWidth="8.7109375" defaultRowHeight="15" x14ac:dyDescent="0.25"/>
  <cols>
    <col min="1" max="1" width="10" customWidth="1"/>
    <col min="2" max="6" width="16" customWidth="1"/>
    <col min="7" max="8" width="14" customWidth="1"/>
    <col min="9" max="13" width="8" customWidth="1"/>
  </cols>
  <sheetData>
    <row r="1" spans="1:13" ht="18" customHeight="1" x14ac:dyDescent="0.25">
      <c r="A1" s="2" t="s">
        <v>173</v>
      </c>
    </row>
    <row r="2" spans="1:13" x14ac:dyDescent="0.25">
      <c r="A2" s="3" t="s">
        <v>174</v>
      </c>
    </row>
    <row r="4" spans="1:13" ht="25.5" customHeight="1" x14ac:dyDescent="0.25">
      <c r="A4" s="39" t="s">
        <v>175</v>
      </c>
      <c r="B4" s="40"/>
      <c r="C4" s="40"/>
      <c r="D4" s="40"/>
      <c r="E4" s="40"/>
      <c r="F4" s="40"/>
      <c r="G4" s="40"/>
      <c r="H4" s="40"/>
    </row>
    <row r="5" spans="1:13" ht="31.5" customHeight="1" x14ac:dyDescent="0.25">
      <c r="A5" s="4" t="s">
        <v>176</v>
      </c>
      <c r="B5" s="4" t="str">
        <f>IF(CFD_L500!B3="","Q1","vₓ/v₀ (Q="&amp;CFD_L500!B3&amp;")")</f>
        <v>vₓ/v₀ (Q=80)</v>
      </c>
      <c r="C5" s="4" t="str">
        <f>IF(CFD_L500!I3="","Q2","vₓ/v₀ (Q="&amp;CFD_L500!I3&amp;")")</f>
        <v>vₓ/v₀ (Q=150)</v>
      </c>
      <c r="D5" s="4" t="str">
        <f>IF(CFD_L500!P3="","Q3","vₓ/v₀ (Q="&amp;CFD_L500!P3&amp;")")</f>
        <v>vₓ/v₀ (Q=250)</v>
      </c>
      <c r="E5" s="4" t="str">
        <f>IF(CFD_L500!W3="","Q4","vₓ/v₀ (Q="&amp;CFD_L500!W3&amp;")")</f>
        <v>Q4</v>
      </c>
      <c r="F5" s="4" t="str">
        <f>IF(CFD_L500!AD3="","Q5","vₓ/v₀ (Q="&amp;CFD_L500!AD3&amp;")")</f>
        <v>Q5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 spans="1:13" x14ac:dyDescent="0.25">
      <c r="A6" s="9">
        <v>0.5</v>
      </c>
      <c r="B6" s="13">
        <f>IF(I6="","",IFERROR(EXP(LN(INDEX(CFD_L500!$B$1:$B$130,8+I6))+(LN($A6)-LN(INDEX(CFD_L500!$A$1:$A$130,8+I6)))*(LN(INDEX(CFD_L500!$B$1:$B$130,9+I6))-LN(INDEX(CFD_L500!$B$1:$B$130,8+I6)))/(LN(INDEX(CFD_L500!$A$1:$A$130,9+I6))-LN(INDEX(CFD_L500!$A$1:$A$130,8+I6))))/CFD_L500!$B$4,""))</f>
        <v>0.22937343950010469</v>
      </c>
      <c r="C6" s="13">
        <f>IF(J6="","",IFERROR(EXP(LN(INDEX(CFD_L500!$I$1:$I$130,8+J6))+(LN($A6)-LN(INDEX(CFD_L500!$H$1:$H$130,8+J6)))*(LN(INDEX(CFD_L500!$I$1:$I$130,9+J6))-LN(INDEX(CFD_L500!$I$1:$I$130,8+J6)))/(LN(INDEX(CFD_L500!$H$1:$H$130,9+J6))-LN(INDEX(CFD_L500!$H$1:$H$130,8+J6))))/CFD_L500!$I$4,""))</f>
        <v>0.2314758087968796</v>
      </c>
      <c r="D6" s="13">
        <f>IF(K6="","",IFERROR(EXP(LN(INDEX(CFD_L500!$P$1:$P$130,8+K6))+(LN($A6)-LN(INDEX(CFD_L500!$O$1:$O$130,8+K6)))*(LN(INDEX(CFD_L500!$P$1:$P$130,9+K6))-LN(INDEX(CFD_L500!$P$1:$P$130,8+K6)))/(LN(INDEX(CFD_L500!$O$1:$O$130,9+K6))-LN(INDEX(CFD_L500!$O$1:$O$130,8+K6))))/CFD_L500!$P$4,""))</f>
        <v>0.22238782642778543</v>
      </c>
      <c r="E6" s="13" t="str">
        <f>IF(L6="","",IFERROR(EXP(LN(INDEX(CFD_L500!$W$1:$W$130,8+L6))+(LN($A6)-LN(INDEX(CFD_L500!$V$1:$V$130,8+L6)))*(LN(INDEX(CFD_L500!$W$1:$W$130,9+L6))-LN(INDEX(CFD_L500!$W$1:$W$130,8+L6)))/(LN(INDEX(CFD_L500!$V$1:$V$130,9+L6))-LN(INDEX(CFD_L500!$V$1:$V$130,8+L6))))/CFD_L500!$W$4,""))</f>
        <v/>
      </c>
      <c r="F6" s="13" t="str">
        <f>IF(M6="","",IFERROR(EXP(LN(INDEX(CFD_L500!$AD$1:$AD$130,8+M6))+(LN($A6)-LN(INDEX(CFD_L500!$AC$1:$AC$130,8+M6)))*(LN(INDEX(CFD_L500!$AD$1:$AD$130,9+M6))-LN(INDEX(CFD_L500!$AD$1:$AD$130,8+M6)))/(LN(INDEX(CFD_L500!$AC$1:$AC$130,9+M6))-LN(INDEX(CFD_L500!$AC$1:$AC$130,8+M6))))/CFD_L500!$AD$4,""))</f>
        <v/>
      </c>
      <c r="G6" s="25">
        <f t="shared" ref="G6:G24" si="0">IFERROR(AVERAGE(B6:F6),"")</f>
        <v>0.22774569157492322</v>
      </c>
      <c r="H6" s="38">
        <f t="shared" ref="H6:H24" si="1">IFERROR((MAX(B6:F6)-MIN(B6:F6))/G6,"")</f>
        <v>3.9904080319800139E-2</v>
      </c>
      <c r="I6" s="18">
        <f>IF(OR(CFD_L500!$B$3="",$A6&gt;MAX(CFD_L500!$A$9:$A$108)),"",IFERROR(MATCH($A6,INDEX(CFD_L500!$A$9:$A$108,1):INDEX(CFD_L500!$A$9:$A$108,COUNT(CFD_L500!$A$9:$A$108)),1),""))</f>
        <v>10</v>
      </c>
      <c r="J6" s="18">
        <f>IF(OR(CFD_L500!$I$3="",$A6&gt;MAX(CFD_L500!$H$9:$H$108)),"",IFERROR(MATCH($A6,INDEX(CFD_L500!$H$9:$H$108,1):INDEX(CFD_L500!$H$9:$H$108,COUNT(CFD_L500!$H$9:$H$108)),1),""))</f>
        <v>12</v>
      </c>
      <c r="K6" s="18">
        <f>IF(OR(CFD_L500!$P$3="",$A6&gt;MAX(CFD_L500!$O$9:$O$108)),"",IFERROR(MATCH($A6,INDEX(CFD_L500!$O$9:$O$108,1):INDEX(CFD_L500!$O$9:$O$108,COUNT(CFD_L500!$O$9:$O$108)),1),""))</f>
        <v>12</v>
      </c>
      <c r="L6" s="18" t="str">
        <f>IF(OR(CFD_L500!$W$3="",$A6&gt;MAX(CFD_L500!$V$9:$V$108)),"",IFERROR(MATCH($A6,INDEX(CFD_L500!$V$9:$V$108,1):INDEX(CFD_L500!$V$9:$V$108,COUNT(CFD_L500!$V$9:$V$108)),1),""))</f>
        <v/>
      </c>
      <c r="M6" s="18" t="str">
        <f>IF(OR(CFD_L500!$AD$3="",$A6&gt;MAX(CFD_L500!$AC$9:$AC$108)),"",IFERROR(MATCH($A6,INDEX(CFD_L500!$AC$9:$AC$108,1):INDEX(CFD_L500!$AC$9:$AC$108,COUNT(CFD_L500!$AC$9:$AC$108)),1),""))</f>
        <v/>
      </c>
    </row>
    <row r="7" spans="1:13" x14ac:dyDescent="0.25">
      <c r="A7" s="9">
        <v>1</v>
      </c>
      <c r="B7" s="13">
        <f>IF(I7="","",IFERROR(EXP(LN(INDEX(CFD_L500!$B$1:$B$130,8+I7))+(LN($A7)-LN(INDEX(CFD_L500!$A$1:$A$130,8+I7)))*(LN(INDEX(CFD_L500!$B$1:$B$130,9+I7))-LN(INDEX(CFD_L500!$B$1:$B$130,8+I7)))/(LN(INDEX(CFD_L500!$A$1:$A$130,9+I7))-LN(INDEX(CFD_L500!$A$1:$A$130,8+I7))))/CFD_L500!$B$4,""))</f>
        <v>0.21738423905166543</v>
      </c>
      <c r="C7" s="13">
        <f>IF(J7="","",IFERROR(EXP(LN(INDEX(CFD_L500!$I$1:$I$130,8+J7))+(LN($A7)-LN(INDEX(CFD_L500!$H$1:$H$130,8+J7)))*(LN(INDEX(CFD_L500!$I$1:$I$130,9+J7))-LN(INDEX(CFD_L500!$I$1:$I$130,8+J7)))/(LN(INDEX(CFD_L500!$H$1:$H$130,9+J7))-LN(INDEX(CFD_L500!$H$1:$H$130,8+J7))))/CFD_L500!$I$4,""))</f>
        <v>0.20702699206774899</v>
      </c>
      <c r="D7" s="13">
        <f>IF(K7="","",IFERROR(EXP(LN(INDEX(CFD_L500!$P$1:$P$130,8+K7))+(LN($A7)-LN(INDEX(CFD_L500!$O$1:$O$130,8+K7)))*(LN(INDEX(CFD_L500!$P$1:$P$130,9+K7))-LN(INDEX(CFD_L500!$P$1:$P$130,8+K7)))/(LN(INDEX(CFD_L500!$O$1:$O$130,9+K7))-LN(INDEX(CFD_L500!$O$1:$O$130,8+K7))))/CFD_L500!$P$4,""))</f>
        <v>0.21414362913987184</v>
      </c>
      <c r="E7" s="13" t="str">
        <f>IF(L7="","",IFERROR(EXP(LN(INDEX(CFD_L500!$W$1:$W$130,8+L7))+(LN($A7)-LN(INDEX(CFD_L500!$V$1:$V$130,8+L7)))*(LN(INDEX(CFD_L500!$W$1:$W$130,9+L7))-LN(INDEX(CFD_L500!$W$1:$W$130,8+L7)))/(LN(INDEX(CFD_L500!$V$1:$V$130,9+L7))-LN(INDEX(CFD_L500!$V$1:$V$130,8+L7))))/CFD_L500!$W$4,""))</f>
        <v/>
      </c>
      <c r="F7" s="13" t="str">
        <f>IF(M7="","",IFERROR(EXP(LN(INDEX(CFD_L500!$AD$1:$AD$130,8+M7))+(LN($A7)-LN(INDEX(CFD_L500!$AC$1:$AC$130,8+M7)))*(LN(INDEX(CFD_L500!$AD$1:$AD$130,9+M7))-LN(INDEX(CFD_L500!$AD$1:$AD$130,8+M7)))/(LN(INDEX(CFD_L500!$AC$1:$AC$130,9+M7))-LN(INDEX(CFD_L500!$AC$1:$AC$130,8+M7))))/CFD_L500!$AD$4,""))</f>
        <v/>
      </c>
      <c r="G7" s="25">
        <f t="shared" si="0"/>
        <v>0.21285162008642877</v>
      </c>
      <c r="H7" s="38">
        <f t="shared" si="1"/>
        <v>4.8659469820858572E-2</v>
      </c>
      <c r="I7" s="18">
        <f>IF(OR(CFD_L500!$B$3="",$A7&gt;MAX(CFD_L500!$A$9:$A$108)),"",IFERROR(MATCH($A7,INDEX(CFD_L500!$A$9:$A$108,1):INDEX(CFD_L500!$A$9:$A$108,COUNT(CFD_L500!$A$9:$A$108)),1),""))</f>
        <v>11</v>
      </c>
      <c r="J7" s="18">
        <f>IF(OR(CFD_L500!$I$3="",$A7&gt;MAX(CFD_L500!$H$9:$H$108)),"",IFERROR(MATCH($A7,INDEX(CFD_L500!$H$9:$H$108,1):INDEX(CFD_L500!$H$9:$H$108,COUNT(CFD_L500!$H$9:$H$108)),1),""))</f>
        <v>13</v>
      </c>
      <c r="K7" s="18">
        <f>IF(OR(CFD_L500!$P$3="",$A7&gt;MAX(CFD_L500!$O$9:$O$108)),"",IFERROR(MATCH($A7,INDEX(CFD_L500!$O$9:$O$108,1):INDEX(CFD_L500!$O$9:$O$108,COUNT(CFD_L500!$O$9:$O$108)),1),""))</f>
        <v>13</v>
      </c>
      <c r="L7" s="18" t="str">
        <f>IF(OR(CFD_L500!$W$3="",$A7&gt;MAX(CFD_L500!$V$9:$V$108)),"",IFERROR(MATCH($A7,INDEX(CFD_L500!$V$9:$V$108,1):INDEX(CFD_L500!$V$9:$V$108,COUNT(CFD_L500!$V$9:$V$108)),1),""))</f>
        <v/>
      </c>
      <c r="M7" s="18" t="str">
        <f>IF(OR(CFD_L500!$AD$3="",$A7&gt;MAX(CFD_L500!$AC$9:$AC$108)),"",IFERROR(MATCH($A7,INDEX(CFD_L500!$AC$9:$AC$108,1):INDEX(CFD_L500!$AC$9:$AC$108,COUNT(CFD_L500!$AC$9:$AC$108)),1),""))</f>
        <v/>
      </c>
    </row>
    <row r="8" spans="1:13" x14ac:dyDescent="0.25">
      <c r="A8" s="9">
        <v>1.5</v>
      </c>
      <c r="B8" s="13">
        <f>IF(I8="","",IFERROR(EXP(LN(INDEX(CFD_L500!$B$1:$B$130,8+I8))+(LN($A8)-LN(INDEX(CFD_L500!$A$1:$A$130,8+I8)))*(LN(INDEX(CFD_L500!$B$1:$B$130,9+I8))-LN(INDEX(CFD_L500!$B$1:$B$130,8+I8)))/(LN(INDEX(CFD_L500!$A$1:$A$130,9+I8))-LN(INDEX(CFD_L500!$A$1:$A$130,8+I8))))/CFD_L500!$B$4,""))</f>
        <v>0.19419790920248409</v>
      </c>
      <c r="C8" s="13">
        <f>IF(J8="","",IFERROR(EXP(LN(INDEX(CFD_L500!$I$1:$I$130,8+J8))+(LN($A8)-LN(INDEX(CFD_L500!$H$1:$H$130,8+J8)))*(LN(INDEX(CFD_L500!$I$1:$I$130,9+J8))-LN(INDEX(CFD_L500!$I$1:$I$130,8+J8)))/(LN(INDEX(CFD_L500!$H$1:$H$130,9+J8))-LN(INDEX(CFD_L500!$H$1:$H$130,8+J8))))/CFD_L500!$I$4,""))</f>
        <v>0.19092926891270884</v>
      </c>
      <c r="D8" s="13">
        <f>IF(K8="","",IFERROR(EXP(LN(INDEX(CFD_L500!$P$1:$P$130,8+K8))+(LN($A8)-LN(INDEX(CFD_L500!$O$1:$O$130,8+K8)))*(LN(INDEX(CFD_L500!$P$1:$P$130,9+K8))-LN(INDEX(CFD_L500!$P$1:$P$130,8+K8)))/(LN(INDEX(CFD_L500!$O$1:$O$130,9+K8))-LN(INDEX(CFD_L500!$O$1:$O$130,8+K8))))/CFD_L500!$P$4,""))</f>
        <v>0.19224086040675453</v>
      </c>
      <c r="E8" s="13" t="str">
        <f>IF(L8="","",IFERROR(EXP(LN(INDEX(CFD_L500!$W$1:$W$130,8+L8))+(LN($A8)-LN(INDEX(CFD_L500!$V$1:$V$130,8+L8)))*(LN(INDEX(CFD_L500!$W$1:$W$130,9+L8))-LN(INDEX(CFD_L500!$W$1:$W$130,8+L8)))/(LN(INDEX(CFD_L500!$V$1:$V$130,9+L8))-LN(INDEX(CFD_L500!$V$1:$V$130,8+L8))))/CFD_L500!$W$4,""))</f>
        <v/>
      </c>
      <c r="F8" s="13" t="str">
        <f>IF(M8="","",IFERROR(EXP(LN(INDEX(CFD_L500!$AD$1:$AD$130,8+M8))+(LN($A8)-LN(INDEX(CFD_L500!$AC$1:$AC$130,8+M8)))*(LN(INDEX(CFD_L500!$AD$1:$AD$130,9+M8))-LN(INDEX(CFD_L500!$AD$1:$AD$130,8+M8)))/(LN(INDEX(CFD_L500!$AC$1:$AC$130,9+M8))-LN(INDEX(CFD_L500!$AC$1:$AC$130,8+M8))))/CFD_L500!$AD$4,""))</f>
        <v/>
      </c>
      <c r="G8" s="25">
        <f t="shared" si="0"/>
        <v>0.19245601284064917</v>
      </c>
      <c r="H8" s="38">
        <f t="shared" si="1"/>
        <v>1.6983830442760112E-2</v>
      </c>
      <c r="I8" s="18">
        <f>IF(OR(CFD_L500!$B$3="",$A8&gt;MAX(CFD_L500!$A$9:$A$108)),"",IFERROR(MATCH($A8,INDEX(CFD_L500!$A$9:$A$108,1):INDEX(CFD_L500!$A$9:$A$108,COUNT(CFD_L500!$A$9:$A$108)),1),""))</f>
        <v>12</v>
      </c>
      <c r="J8" s="18">
        <f>IF(OR(CFD_L500!$I$3="",$A8&gt;MAX(CFD_L500!$H$9:$H$108)),"",IFERROR(MATCH($A8,INDEX(CFD_L500!$H$9:$H$108,1):INDEX(CFD_L500!$H$9:$H$108,COUNT(CFD_L500!$H$9:$H$108)),1),""))</f>
        <v>13</v>
      </c>
      <c r="K8" s="18">
        <f>IF(OR(CFD_L500!$P$3="",$A8&gt;MAX(CFD_L500!$O$9:$O$108)),"",IFERROR(MATCH($A8,INDEX(CFD_L500!$O$9:$O$108,1):INDEX(CFD_L500!$O$9:$O$108,COUNT(CFD_L500!$O$9:$O$108)),1),""))</f>
        <v>14</v>
      </c>
      <c r="L8" s="18" t="str">
        <f>IF(OR(CFD_L500!$W$3="",$A8&gt;MAX(CFD_L500!$V$9:$V$108)),"",IFERROR(MATCH($A8,INDEX(CFD_L500!$V$9:$V$108,1):INDEX(CFD_L500!$V$9:$V$108,COUNT(CFD_L500!$V$9:$V$108)),1),""))</f>
        <v/>
      </c>
      <c r="M8" s="18" t="str">
        <f>IF(OR(CFD_L500!$AD$3="",$A8&gt;MAX(CFD_L500!$AC$9:$AC$108)),"",IFERROR(MATCH($A8,INDEX(CFD_L500!$AC$9:$AC$108,1):INDEX(CFD_L500!$AC$9:$AC$108,COUNT(CFD_L500!$AC$9:$AC$108)),1),""))</f>
        <v/>
      </c>
    </row>
    <row r="9" spans="1:13" x14ac:dyDescent="0.25">
      <c r="A9" s="9">
        <v>2</v>
      </c>
      <c r="B9" s="13">
        <f>IF(I9="","",IFERROR(EXP(LN(INDEX(CFD_L500!$B$1:$B$130,8+I9))+(LN($A9)-LN(INDEX(CFD_L500!$A$1:$A$130,8+I9)))*(LN(INDEX(CFD_L500!$B$1:$B$130,9+I9))-LN(INDEX(CFD_L500!$B$1:$B$130,8+I9)))/(LN(INDEX(CFD_L500!$A$1:$A$130,9+I9))-LN(INDEX(CFD_L500!$A$1:$A$130,8+I9))))/CFD_L500!$B$4,""))</f>
        <v>0.1740415364105985</v>
      </c>
      <c r="C9" s="13">
        <f>IF(J9="","",IFERROR(EXP(LN(INDEX(CFD_L500!$I$1:$I$130,8+J9))+(LN($A9)-LN(INDEX(CFD_L500!$H$1:$H$130,8+J9)))*(LN(INDEX(CFD_L500!$I$1:$I$130,9+J9))-LN(INDEX(CFD_L500!$I$1:$I$130,8+J9)))/(LN(INDEX(CFD_L500!$H$1:$H$130,9+J9))-LN(INDEX(CFD_L500!$H$1:$H$130,8+J9))))/CFD_L500!$I$4,""))</f>
        <v>0.18027272411047571</v>
      </c>
      <c r="D9" s="13">
        <f>IF(K9="","",IFERROR(EXP(LN(INDEX(CFD_L500!$P$1:$P$130,8+K9))+(LN($A9)-LN(INDEX(CFD_L500!$O$1:$O$130,8+K9)))*(LN(INDEX(CFD_L500!$P$1:$P$130,9+K9))-LN(INDEX(CFD_L500!$P$1:$P$130,8+K9)))/(LN(INDEX(CFD_L500!$O$1:$O$130,9+K9))-LN(INDEX(CFD_L500!$O$1:$O$130,8+K9))))/CFD_L500!$P$4,""))</f>
        <v>0.17754401508064493</v>
      </c>
      <c r="E9" s="13" t="str">
        <f>IF(L9="","",IFERROR(EXP(LN(INDEX(CFD_L500!$W$1:$W$130,8+L9))+(LN($A9)-LN(INDEX(CFD_L500!$V$1:$V$130,8+L9)))*(LN(INDEX(CFD_L500!$W$1:$W$130,9+L9))-LN(INDEX(CFD_L500!$W$1:$W$130,8+L9)))/(LN(INDEX(CFD_L500!$V$1:$V$130,9+L9))-LN(INDEX(CFD_L500!$V$1:$V$130,8+L9))))/CFD_L500!$W$4,""))</f>
        <v/>
      </c>
      <c r="F9" s="13" t="str">
        <f>IF(M9="","",IFERROR(EXP(LN(INDEX(CFD_L500!$AD$1:$AD$130,8+M9))+(LN($A9)-LN(INDEX(CFD_L500!$AC$1:$AC$130,8+M9)))*(LN(INDEX(CFD_L500!$AD$1:$AD$130,9+M9))-LN(INDEX(CFD_L500!$AD$1:$AD$130,8+M9)))/(LN(INDEX(CFD_L500!$AC$1:$AC$130,9+M9))-LN(INDEX(CFD_L500!$AC$1:$AC$130,8+M9))))/CFD_L500!$AD$4,""))</f>
        <v/>
      </c>
      <c r="G9" s="25">
        <f t="shared" si="0"/>
        <v>0.17728609186723973</v>
      </c>
      <c r="H9" s="38">
        <f t="shared" si="1"/>
        <v>3.5147639807771393E-2</v>
      </c>
      <c r="I9" s="18">
        <f>IF(OR(CFD_L500!$B$3="",$A9&gt;MAX(CFD_L500!$A$9:$A$108)),"",IFERROR(MATCH($A9,INDEX(CFD_L500!$A$9:$A$108,1):INDEX(CFD_L500!$A$9:$A$108,COUNT(CFD_L500!$A$9:$A$108)),1),""))</f>
        <v>12</v>
      </c>
      <c r="J9" s="18">
        <f>IF(OR(CFD_L500!$I$3="",$A9&gt;MAX(CFD_L500!$H$9:$H$108)),"",IFERROR(MATCH($A9,INDEX(CFD_L500!$H$9:$H$108,1):INDEX(CFD_L500!$H$9:$H$108,COUNT(CFD_L500!$H$9:$H$108)),1),""))</f>
        <v>13</v>
      </c>
      <c r="K9" s="18">
        <f>IF(OR(CFD_L500!$P$3="",$A9&gt;MAX(CFD_L500!$O$9:$O$108)),"",IFERROR(MATCH($A9,INDEX(CFD_L500!$O$9:$O$108,1):INDEX(CFD_L500!$O$9:$O$108,COUNT(CFD_L500!$O$9:$O$108)),1),""))</f>
        <v>14</v>
      </c>
      <c r="L9" s="18" t="str">
        <f>IF(OR(CFD_L500!$W$3="",$A9&gt;MAX(CFD_L500!$V$9:$V$108)),"",IFERROR(MATCH($A9,INDEX(CFD_L500!$V$9:$V$108,1):INDEX(CFD_L500!$V$9:$V$108,COUNT(CFD_L500!$V$9:$V$108)),1),""))</f>
        <v/>
      </c>
      <c r="M9" s="18" t="str">
        <f>IF(OR(CFD_L500!$AD$3="",$A9&gt;MAX(CFD_L500!$AC$9:$AC$108)),"",IFERROR(MATCH($A9,INDEX(CFD_L500!$AC$9:$AC$108,1):INDEX(CFD_L500!$AC$9:$AC$108,COUNT(CFD_L500!$AC$9:$AC$108)),1),""))</f>
        <v/>
      </c>
    </row>
    <row r="10" spans="1:13" x14ac:dyDescent="0.25">
      <c r="A10" s="9">
        <v>2.5</v>
      </c>
      <c r="B10" s="13">
        <f>IF(I10="","",IFERROR(EXP(LN(INDEX(CFD_L500!$B$1:$B$130,8+I10))+(LN($A10)-LN(INDEX(CFD_L500!$A$1:$A$130,8+I10)))*(LN(INDEX(CFD_L500!$B$1:$B$130,9+I10))-LN(INDEX(CFD_L500!$B$1:$B$130,8+I10)))/(LN(INDEX(CFD_L500!$A$1:$A$130,9+I10))-LN(INDEX(CFD_L500!$A$1:$A$130,8+I10))))/CFD_L500!$B$4,""))</f>
        <v>0.15985932086202717</v>
      </c>
      <c r="C10" s="13">
        <f>IF(J10="","",IFERROR(EXP(LN(INDEX(CFD_L500!$I$1:$I$130,8+J10))+(LN($A10)-LN(INDEX(CFD_L500!$H$1:$H$130,8+J10)))*(LN(INDEX(CFD_L500!$I$1:$I$130,9+J10))-LN(INDEX(CFD_L500!$I$1:$I$130,8+J10)))/(LN(INDEX(CFD_L500!$H$1:$H$130,9+J10))-LN(INDEX(CFD_L500!$H$1:$H$130,8+J10))))/CFD_L500!$I$4,""))</f>
        <v>0.16852952715085609</v>
      </c>
      <c r="D10" s="13">
        <f>IF(K10="","",IFERROR(EXP(LN(INDEX(CFD_L500!$P$1:$P$130,8+K10))+(LN($A10)-LN(INDEX(CFD_L500!$O$1:$O$130,8+K10)))*(LN(INDEX(CFD_L500!$P$1:$P$130,9+K10))-LN(INDEX(CFD_L500!$P$1:$P$130,8+K10)))/(LN(INDEX(CFD_L500!$O$1:$O$130,9+K10))-LN(INDEX(CFD_L500!$O$1:$O$130,8+K10))))/CFD_L500!$P$4,""))</f>
        <v>0.16429693419829675</v>
      </c>
      <c r="E10" s="13" t="str">
        <f>IF(L10="","",IFERROR(EXP(LN(INDEX(CFD_L500!$W$1:$W$130,8+L10))+(LN($A10)-LN(INDEX(CFD_L500!$V$1:$V$130,8+L10)))*(LN(INDEX(CFD_L500!$W$1:$W$130,9+L10))-LN(INDEX(CFD_L500!$W$1:$W$130,8+L10)))/(LN(INDEX(CFD_L500!$V$1:$V$130,9+L10))-LN(INDEX(CFD_L500!$V$1:$V$130,8+L10))))/CFD_L500!$W$4,""))</f>
        <v/>
      </c>
      <c r="F10" s="13" t="str">
        <f>IF(M10="","",IFERROR(EXP(LN(INDEX(CFD_L500!$AD$1:$AD$130,8+M10))+(LN($A10)-LN(INDEX(CFD_L500!$AC$1:$AC$130,8+M10)))*(LN(INDEX(CFD_L500!$AD$1:$AD$130,9+M10))-LN(INDEX(CFD_L500!$AD$1:$AD$130,8+M10)))/(LN(INDEX(CFD_L500!$AC$1:$AC$130,9+M10))-LN(INDEX(CFD_L500!$AC$1:$AC$130,8+M10))))/CFD_L500!$AD$4,""))</f>
        <v/>
      </c>
      <c r="G10" s="25">
        <f t="shared" si="0"/>
        <v>0.16422859407039334</v>
      </c>
      <c r="H10" s="38">
        <f t="shared" si="1"/>
        <v>5.2793524403628556E-2</v>
      </c>
      <c r="I10" s="18">
        <f>IF(OR(CFD_L500!$B$3="",$A10&gt;MAX(CFD_L500!$A$9:$A$108)),"",IFERROR(MATCH($A10,INDEX(CFD_L500!$A$9:$A$108,1):INDEX(CFD_L500!$A$9:$A$108,COUNT(CFD_L500!$A$9:$A$108)),1),""))</f>
        <v>12</v>
      </c>
      <c r="J10" s="18">
        <f>IF(OR(CFD_L500!$I$3="",$A10&gt;MAX(CFD_L500!$H$9:$H$108)),"",IFERROR(MATCH($A10,INDEX(CFD_L500!$H$9:$H$108,1):INDEX(CFD_L500!$H$9:$H$108,COUNT(CFD_L500!$H$9:$H$108)),1),""))</f>
        <v>14</v>
      </c>
      <c r="K10" s="18">
        <f>IF(OR(CFD_L500!$P$3="",$A10&gt;MAX(CFD_L500!$O$9:$O$108)),"",IFERROR(MATCH($A10,INDEX(CFD_L500!$O$9:$O$108,1):INDEX(CFD_L500!$O$9:$O$108,COUNT(CFD_L500!$O$9:$O$108)),1),""))</f>
        <v>15</v>
      </c>
      <c r="L10" s="18" t="str">
        <f>IF(OR(CFD_L500!$W$3="",$A10&gt;MAX(CFD_L500!$V$9:$V$108)),"",IFERROR(MATCH($A10,INDEX(CFD_L500!$V$9:$V$108,1):INDEX(CFD_L500!$V$9:$V$108,COUNT(CFD_L500!$V$9:$V$108)),1),""))</f>
        <v/>
      </c>
      <c r="M10" s="18" t="str">
        <f>IF(OR(CFD_L500!$AD$3="",$A10&gt;MAX(CFD_L500!$AC$9:$AC$108)),"",IFERROR(MATCH($A10,INDEX(CFD_L500!$AC$9:$AC$108,1):INDEX(CFD_L500!$AC$9:$AC$108,COUNT(CFD_L500!$AC$9:$AC$108)),1),""))</f>
        <v/>
      </c>
    </row>
    <row r="11" spans="1:13" x14ac:dyDescent="0.25">
      <c r="A11" s="9">
        <v>3</v>
      </c>
      <c r="B11" s="13">
        <f>IF(I11="","",IFERROR(EXP(LN(INDEX(CFD_L500!$B$1:$B$130,8+I11))+(LN($A11)-LN(INDEX(CFD_L500!$A$1:$A$130,8+I11)))*(LN(INDEX(CFD_L500!$B$1:$B$130,9+I11))-LN(INDEX(CFD_L500!$B$1:$B$130,8+I11)))/(LN(INDEX(CFD_L500!$A$1:$A$130,9+I11))-LN(INDEX(CFD_L500!$A$1:$A$130,8+I11))))/CFD_L500!$B$4,""))</f>
        <v>0.14913385954990965</v>
      </c>
      <c r="C11" s="13">
        <f>IF(J11="","",IFERROR(EXP(LN(INDEX(CFD_L500!$I$1:$I$130,8+J11))+(LN($A11)-LN(INDEX(CFD_L500!$H$1:$H$130,8+J11)))*(LN(INDEX(CFD_L500!$I$1:$I$130,9+J11))-LN(INDEX(CFD_L500!$I$1:$I$130,8+J11)))/(LN(INDEX(CFD_L500!$H$1:$H$130,9+J11))-LN(INDEX(CFD_L500!$H$1:$H$130,8+J11))))/CFD_L500!$I$4,""))</f>
        <v>0.15046614735443489</v>
      </c>
      <c r="D11" s="13">
        <f>IF(K11="","",IFERROR(EXP(LN(INDEX(CFD_L500!$P$1:$P$130,8+K11))+(LN($A11)-LN(INDEX(CFD_L500!$O$1:$O$130,8+K11)))*(LN(INDEX(CFD_L500!$P$1:$P$130,9+K11))-LN(INDEX(CFD_L500!$P$1:$P$130,8+K11)))/(LN(INDEX(CFD_L500!$O$1:$O$130,9+K11))-LN(INDEX(CFD_L500!$O$1:$O$130,8+K11))))/CFD_L500!$P$4,""))</f>
        <v>0.1463094480562882</v>
      </c>
      <c r="E11" s="13" t="str">
        <f>IF(L11="","",IFERROR(EXP(LN(INDEX(CFD_L500!$W$1:$W$130,8+L11))+(LN($A11)-LN(INDEX(CFD_L500!$V$1:$V$130,8+L11)))*(LN(INDEX(CFD_L500!$W$1:$W$130,9+L11))-LN(INDEX(CFD_L500!$W$1:$W$130,8+L11)))/(LN(INDEX(CFD_L500!$V$1:$V$130,9+L11))-LN(INDEX(CFD_L500!$V$1:$V$130,8+L11))))/CFD_L500!$W$4,""))</f>
        <v/>
      </c>
      <c r="F11" s="13" t="str">
        <f>IF(M11="","",IFERROR(EXP(LN(INDEX(CFD_L500!$AD$1:$AD$130,8+M11))+(LN($A11)-LN(INDEX(CFD_L500!$AC$1:$AC$130,8+M11)))*(LN(INDEX(CFD_L500!$AD$1:$AD$130,9+M11))-LN(INDEX(CFD_L500!$AD$1:$AD$130,8+M11)))/(LN(INDEX(CFD_L500!$AC$1:$AC$130,9+M11))-LN(INDEX(CFD_L500!$AC$1:$AC$130,8+M11))))/CFD_L500!$AD$4,""))</f>
        <v/>
      </c>
      <c r="G11" s="25">
        <f t="shared" si="0"/>
        <v>0.14863648498687757</v>
      </c>
      <c r="H11" s="38">
        <f t="shared" si="1"/>
        <v>2.7965538195508753E-2</v>
      </c>
      <c r="I11" s="18">
        <f>IF(OR(CFD_L500!$B$3="",$A11&gt;MAX(CFD_L500!$A$9:$A$108)),"",IFERROR(MATCH($A11,INDEX(CFD_L500!$A$9:$A$108,1):INDEX(CFD_L500!$A$9:$A$108,COUNT(CFD_L500!$A$9:$A$108)),1),""))</f>
        <v>12</v>
      </c>
      <c r="J11" s="18">
        <f>IF(OR(CFD_L500!$I$3="",$A11&gt;MAX(CFD_L500!$H$9:$H$108)),"",IFERROR(MATCH($A11,INDEX(CFD_L500!$H$9:$H$108,1):INDEX(CFD_L500!$H$9:$H$108,COUNT(CFD_L500!$H$9:$H$108)),1),""))</f>
        <v>14</v>
      </c>
      <c r="K11" s="18">
        <f>IF(OR(CFD_L500!$P$3="",$A11&gt;MAX(CFD_L500!$O$9:$O$108)),"",IFERROR(MATCH($A11,INDEX(CFD_L500!$O$9:$O$108,1):INDEX(CFD_L500!$O$9:$O$108,COUNT(CFD_L500!$O$9:$O$108)),1),""))</f>
        <v>15</v>
      </c>
      <c r="L11" s="18" t="str">
        <f>IF(OR(CFD_L500!$W$3="",$A11&gt;MAX(CFD_L500!$V$9:$V$108)),"",IFERROR(MATCH($A11,INDEX(CFD_L500!$V$9:$V$108,1):INDEX(CFD_L500!$V$9:$V$108,COUNT(CFD_L500!$V$9:$V$108)),1),""))</f>
        <v/>
      </c>
      <c r="M11" s="18" t="str">
        <f>IF(OR(CFD_L500!$AD$3="",$A11&gt;MAX(CFD_L500!$AC$9:$AC$108)),"",IFERROR(MATCH($A11,INDEX(CFD_L500!$AC$9:$AC$108,1):INDEX(CFD_L500!$AC$9:$AC$108,COUNT(CFD_L500!$AC$9:$AC$108)),1),""))</f>
        <v/>
      </c>
    </row>
    <row r="12" spans="1:13" x14ac:dyDescent="0.25">
      <c r="A12" s="9">
        <v>3.5</v>
      </c>
      <c r="B12" s="13">
        <f>IF(I12="","",IFERROR(EXP(LN(INDEX(CFD_L500!$B$1:$B$130,8+I12))+(LN($A12)-LN(INDEX(CFD_L500!$A$1:$A$130,8+I12)))*(LN(INDEX(CFD_L500!$B$1:$B$130,9+I12))-LN(INDEX(CFD_L500!$B$1:$B$130,8+I12)))/(LN(INDEX(CFD_L500!$A$1:$A$130,9+I12))-LN(INDEX(CFD_L500!$A$1:$A$130,8+I12))))/CFD_L500!$B$4,""))</f>
        <v>0.13339592998352087</v>
      </c>
      <c r="C12" s="13">
        <f>IF(J12="","",IFERROR(EXP(LN(INDEX(CFD_L500!$I$1:$I$130,8+J12))+(LN($A12)-LN(INDEX(CFD_L500!$H$1:$H$130,8+J12)))*(LN(INDEX(CFD_L500!$I$1:$I$130,9+J12))-LN(INDEX(CFD_L500!$I$1:$I$130,8+J12)))/(LN(INDEX(CFD_L500!$H$1:$H$130,9+J12))-LN(INDEX(CFD_L500!$H$1:$H$130,8+J12))))/CFD_L500!$I$4,""))</f>
        <v>0.136712851178872</v>
      </c>
      <c r="D12" s="13">
        <f>IF(K12="","",IFERROR(EXP(LN(INDEX(CFD_L500!$P$1:$P$130,8+K12))+(LN($A12)-LN(INDEX(CFD_L500!$O$1:$O$130,8+K12)))*(LN(INDEX(CFD_L500!$P$1:$P$130,9+K12))-LN(INDEX(CFD_L500!$P$1:$P$130,8+K12)))/(LN(INDEX(CFD_L500!$O$1:$O$130,9+K12))-LN(INDEX(CFD_L500!$O$1:$O$130,8+K12))))/CFD_L500!$P$4,""))</f>
        <v>0.13264658120810494</v>
      </c>
      <c r="E12" s="13" t="str">
        <f>IF(L12="","",IFERROR(EXP(LN(INDEX(CFD_L500!$W$1:$W$130,8+L12))+(LN($A12)-LN(INDEX(CFD_L500!$V$1:$V$130,8+L12)))*(LN(INDEX(CFD_L500!$W$1:$W$130,9+L12))-LN(INDEX(CFD_L500!$W$1:$W$130,8+L12)))/(LN(INDEX(CFD_L500!$V$1:$V$130,9+L12))-LN(INDEX(CFD_L500!$V$1:$V$130,8+L12))))/CFD_L500!$W$4,""))</f>
        <v/>
      </c>
      <c r="F12" s="13" t="str">
        <f>IF(M12="","",IFERROR(EXP(LN(INDEX(CFD_L500!$AD$1:$AD$130,8+M12))+(LN($A12)-LN(INDEX(CFD_L500!$AC$1:$AC$130,8+M12)))*(LN(INDEX(CFD_L500!$AD$1:$AD$130,9+M12))-LN(INDEX(CFD_L500!$AD$1:$AD$130,8+M12)))/(LN(INDEX(CFD_L500!$AC$1:$AC$130,9+M12))-LN(INDEX(CFD_L500!$AC$1:$AC$130,8+M12))))/CFD_L500!$AD$4,""))</f>
        <v/>
      </c>
      <c r="G12" s="25">
        <f t="shared" si="0"/>
        <v>0.13425178745683261</v>
      </c>
      <c r="H12" s="38">
        <f t="shared" si="1"/>
        <v>3.0288386082565431E-2</v>
      </c>
      <c r="I12" s="18">
        <f>IF(OR(CFD_L500!$B$3="",$A12&gt;MAX(CFD_L500!$A$9:$A$108)),"",IFERROR(MATCH($A12,INDEX(CFD_L500!$A$9:$A$108,1):INDEX(CFD_L500!$A$9:$A$108,COUNT(CFD_L500!$A$9:$A$108)),1),""))</f>
        <v>13</v>
      </c>
      <c r="J12" s="18">
        <f>IF(OR(CFD_L500!$I$3="",$A12&gt;MAX(CFD_L500!$H$9:$H$108)),"",IFERROR(MATCH($A12,INDEX(CFD_L500!$H$9:$H$108,1):INDEX(CFD_L500!$H$9:$H$108,COUNT(CFD_L500!$H$9:$H$108)),1),""))</f>
        <v>14</v>
      </c>
      <c r="K12" s="18">
        <f>IF(OR(CFD_L500!$P$3="",$A12&gt;MAX(CFD_L500!$O$9:$O$108)),"",IFERROR(MATCH($A12,INDEX(CFD_L500!$O$9:$O$108,1):INDEX(CFD_L500!$O$9:$O$108,COUNT(CFD_L500!$O$9:$O$108)),1),""))</f>
        <v>15</v>
      </c>
      <c r="L12" s="18" t="str">
        <f>IF(OR(CFD_L500!$W$3="",$A12&gt;MAX(CFD_L500!$V$9:$V$108)),"",IFERROR(MATCH($A12,INDEX(CFD_L500!$V$9:$V$108,1):INDEX(CFD_L500!$V$9:$V$108,COUNT(CFD_L500!$V$9:$V$108)),1),""))</f>
        <v/>
      </c>
      <c r="M12" s="18" t="str">
        <f>IF(OR(CFD_L500!$AD$3="",$A12&gt;MAX(CFD_L500!$AC$9:$AC$108)),"",IFERROR(MATCH($A12,INDEX(CFD_L500!$AC$9:$AC$108,1):INDEX(CFD_L500!$AC$9:$AC$108,COUNT(CFD_L500!$AC$9:$AC$108)),1),""))</f>
        <v/>
      </c>
    </row>
    <row r="13" spans="1:13" x14ac:dyDescent="0.25">
      <c r="A13" s="9">
        <v>4</v>
      </c>
      <c r="B13" s="13">
        <f>IF(I13="","",IFERROR(EXP(LN(INDEX(CFD_L500!$B$1:$B$130,8+I13))+(LN($A13)-LN(INDEX(CFD_L500!$A$1:$A$130,8+I13)))*(LN(INDEX(CFD_L500!$B$1:$B$130,9+I13))-LN(INDEX(CFD_L500!$B$1:$B$130,8+I13)))/(LN(INDEX(CFD_L500!$A$1:$A$130,9+I13))-LN(INDEX(CFD_L500!$A$1:$A$130,8+I13))))/CFD_L500!$B$4,""))</f>
        <v>0.12072317636221408</v>
      </c>
      <c r="C13" s="13">
        <f>IF(J13="","",IFERROR(EXP(LN(INDEX(CFD_L500!$I$1:$I$130,8+J13))+(LN($A13)-LN(INDEX(CFD_L500!$H$1:$H$130,8+J13)))*(LN(INDEX(CFD_L500!$I$1:$I$130,9+J13))-LN(INDEX(CFD_L500!$I$1:$I$130,8+J13)))/(LN(INDEX(CFD_L500!$H$1:$H$130,9+J13))-LN(INDEX(CFD_L500!$H$1:$H$130,8+J13))))/CFD_L500!$I$4,""))</f>
        <v>0.12560861487419261</v>
      </c>
      <c r="D13" s="13">
        <f>IF(K13="","",IFERROR(EXP(LN(INDEX(CFD_L500!$P$1:$P$130,8+K13))+(LN($A13)-LN(INDEX(CFD_L500!$O$1:$O$130,8+K13)))*(LN(INDEX(CFD_L500!$P$1:$P$130,9+K13))-LN(INDEX(CFD_L500!$P$1:$P$130,8+K13)))/(LN(INDEX(CFD_L500!$O$1:$O$130,9+K13))-LN(INDEX(CFD_L500!$O$1:$O$130,8+K13))))/CFD_L500!$P$4,""))</f>
        <v>0.12184698377646475</v>
      </c>
      <c r="E13" s="13" t="str">
        <f>IF(L13="","",IFERROR(EXP(LN(INDEX(CFD_L500!$W$1:$W$130,8+L13))+(LN($A13)-LN(INDEX(CFD_L500!$V$1:$V$130,8+L13)))*(LN(INDEX(CFD_L500!$W$1:$W$130,9+L13))-LN(INDEX(CFD_L500!$W$1:$W$130,8+L13)))/(LN(INDEX(CFD_L500!$V$1:$V$130,9+L13))-LN(INDEX(CFD_L500!$V$1:$V$130,8+L13))))/CFD_L500!$W$4,""))</f>
        <v/>
      </c>
      <c r="F13" s="13" t="str">
        <f>IF(M13="","",IFERROR(EXP(LN(INDEX(CFD_L500!$AD$1:$AD$130,8+M13))+(LN($A13)-LN(INDEX(CFD_L500!$AC$1:$AC$130,8+M13)))*(LN(INDEX(CFD_L500!$AD$1:$AD$130,9+M13))-LN(INDEX(CFD_L500!$AD$1:$AD$130,8+M13)))/(LN(INDEX(CFD_L500!$AC$1:$AC$130,9+M13))-LN(INDEX(CFD_L500!$AC$1:$AC$130,8+M13))))/CFD_L500!$AD$4,""))</f>
        <v/>
      </c>
      <c r="G13" s="25">
        <f t="shared" si="0"/>
        <v>0.12272625833762381</v>
      </c>
      <c r="H13" s="38">
        <f t="shared" si="1"/>
        <v>3.980760578994056E-2</v>
      </c>
      <c r="I13" s="18">
        <f>IF(OR(CFD_L500!$B$3="",$A13&gt;MAX(CFD_L500!$A$9:$A$108)),"",IFERROR(MATCH($A13,INDEX(CFD_L500!$A$9:$A$108,1):INDEX(CFD_L500!$A$9:$A$108,COUNT(CFD_L500!$A$9:$A$108)),1),""))</f>
        <v>13</v>
      </c>
      <c r="J13" s="18">
        <f>IF(OR(CFD_L500!$I$3="",$A13&gt;MAX(CFD_L500!$H$9:$H$108)),"",IFERROR(MATCH($A13,INDEX(CFD_L500!$H$9:$H$108,1):INDEX(CFD_L500!$H$9:$H$108,COUNT(CFD_L500!$H$9:$H$108)),1),""))</f>
        <v>15</v>
      </c>
      <c r="K13" s="18">
        <f>IF(OR(CFD_L500!$P$3="",$A13&gt;MAX(CFD_L500!$O$9:$O$108)),"",IFERROR(MATCH($A13,INDEX(CFD_L500!$O$9:$O$108,1):INDEX(CFD_L500!$O$9:$O$108,COUNT(CFD_L500!$O$9:$O$108)),1),""))</f>
        <v>15</v>
      </c>
      <c r="L13" s="18" t="str">
        <f>IF(OR(CFD_L500!$W$3="",$A13&gt;MAX(CFD_L500!$V$9:$V$108)),"",IFERROR(MATCH($A13,INDEX(CFD_L500!$V$9:$V$108,1):INDEX(CFD_L500!$V$9:$V$108,COUNT(CFD_L500!$V$9:$V$108)),1),""))</f>
        <v/>
      </c>
      <c r="M13" s="18" t="str">
        <f>IF(OR(CFD_L500!$AD$3="",$A13&gt;MAX(CFD_L500!$AC$9:$AC$108)),"",IFERROR(MATCH($A13,INDEX(CFD_L500!$AC$9:$AC$108,1):INDEX(CFD_L500!$AC$9:$AC$108,COUNT(CFD_L500!$AC$9:$AC$108)),1),""))</f>
        <v/>
      </c>
    </row>
    <row r="14" spans="1:13" x14ac:dyDescent="0.25">
      <c r="A14" s="9">
        <v>4.5</v>
      </c>
      <c r="B14" s="13">
        <f>IF(I14="","",IFERROR(EXP(LN(INDEX(CFD_L500!$B$1:$B$130,8+I14))+(LN($A14)-LN(INDEX(CFD_L500!$A$1:$A$130,8+I14)))*(LN(INDEX(CFD_L500!$B$1:$B$130,9+I14))-LN(INDEX(CFD_L500!$B$1:$B$130,8+I14)))/(LN(INDEX(CFD_L500!$A$1:$A$130,9+I14))-LN(INDEX(CFD_L500!$A$1:$A$130,8+I14))))/CFD_L500!$B$4,""))</f>
        <v>0.10915547337006418</v>
      </c>
      <c r="C14" s="13">
        <f>IF(J14="","",IFERROR(EXP(LN(INDEX(CFD_L500!$I$1:$I$130,8+J14))+(LN($A14)-LN(INDEX(CFD_L500!$H$1:$H$130,8+J14)))*(LN(INDEX(CFD_L500!$I$1:$I$130,9+J14))-LN(INDEX(CFD_L500!$I$1:$I$130,8+J14)))/(LN(INDEX(CFD_L500!$H$1:$H$130,9+J14))-LN(INDEX(CFD_L500!$H$1:$H$130,8+J14))))/CFD_L500!$I$4,""))</f>
        <v>0.11291971278771225</v>
      </c>
      <c r="D14" s="13">
        <f>IF(K14="","",IFERROR(EXP(LN(INDEX(CFD_L500!$P$1:$P$130,8+K14))+(LN($A14)-LN(INDEX(CFD_L500!$O$1:$O$130,8+K14)))*(LN(INDEX(CFD_L500!$P$1:$P$130,9+K14))-LN(INDEX(CFD_L500!$P$1:$P$130,8+K14)))/(LN(INDEX(CFD_L500!$O$1:$O$130,9+K14))-LN(INDEX(CFD_L500!$O$1:$O$130,8+K14))))/CFD_L500!$P$4,""))</f>
        <v>0.10967774590052795</v>
      </c>
      <c r="E14" s="13" t="str">
        <f>IF(L14="","",IFERROR(EXP(LN(INDEX(CFD_L500!$W$1:$W$130,8+L14))+(LN($A14)-LN(INDEX(CFD_L500!$V$1:$V$130,8+L14)))*(LN(INDEX(CFD_L500!$W$1:$W$130,9+L14))-LN(INDEX(CFD_L500!$W$1:$W$130,8+L14)))/(LN(INDEX(CFD_L500!$V$1:$V$130,9+L14))-LN(INDEX(CFD_L500!$V$1:$V$130,8+L14))))/CFD_L500!$W$4,""))</f>
        <v/>
      </c>
      <c r="F14" s="13" t="str">
        <f>IF(M14="","",IFERROR(EXP(LN(INDEX(CFD_L500!$AD$1:$AD$130,8+M14))+(LN($A14)-LN(INDEX(CFD_L500!$AC$1:$AC$130,8+M14)))*(LN(INDEX(CFD_L500!$AD$1:$AD$130,9+M14))-LN(INDEX(CFD_L500!$AD$1:$AD$130,8+M14)))/(LN(INDEX(CFD_L500!$AC$1:$AC$130,9+M14))-LN(INDEX(CFD_L500!$AC$1:$AC$130,8+M14))))/CFD_L500!$AD$4,""))</f>
        <v/>
      </c>
      <c r="G14" s="25">
        <f t="shared" si="0"/>
        <v>0.11058431068610146</v>
      </c>
      <c r="H14" s="38">
        <f t="shared" si="1"/>
        <v>3.4039543171119763E-2</v>
      </c>
      <c r="I14" s="18">
        <f>IF(OR(CFD_L500!$B$3="",$A14&gt;MAX(CFD_L500!$A$9:$A$108)),"",IFERROR(MATCH($A14,INDEX(CFD_L500!$A$9:$A$108,1):INDEX(CFD_L500!$A$9:$A$108,COUNT(CFD_L500!$A$9:$A$108)),1),""))</f>
        <v>14</v>
      </c>
      <c r="J14" s="18">
        <f>IF(OR(CFD_L500!$I$3="",$A14&gt;MAX(CFD_L500!$H$9:$H$108)),"",IFERROR(MATCH($A14,INDEX(CFD_L500!$H$9:$H$108,1):INDEX(CFD_L500!$H$9:$H$108,COUNT(CFD_L500!$H$9:$H$108)),1),""))</f>
        <v>15</v>
      </c>
      <c r="K14" s="18">
        <f>IF(OR(CFD_L500!$P$3="",$A14&gt;MAX(CFD_L500!$O$9:$O$108)),"",IFERROR(MATCH($A14,INDEX(CFD_L500!$O$9:$O$108,1):INDEX(CFD_L500!$O$9:$O$108,COUNT(CFD_L500!$O$9:$O$108)),1),""))</f>
        <v>16</v>
      </c>
      <c r="L14" s="18" t="str">
        <f>IF(OR(CFD_L500!$W$3="",$A14&gt;MAX(CFD_L500!$V$9:$V$108)),"",IFERROR(MATCH($A14,INDEX(CFD_L500!$V$9:$V$108,1):INDEX(CFD_L500!$V$9:$V$108,COUNT(CFD_L500!$V$9:$V$108)),1),""))</f>
        <v/>
      </c>
      <c r="M14" s="18" t="str">
        <f>IF(OR(CFD_L500!$AD$3="",$A14&gt;MAX(CFD_L500!$AC$9:$AC$108)),"",IFERROR(MATCH($A14,INDEX(CFD_L500!$AC$9:$AC$108,1):INDEX(CFD_L500!$AC$9:$AC$108,COUNT(CFD_L500!$AC$9:$AC$108)),1),""))</f>
        <v/>
      </c>
    </row>
    <row r="15" spans="1:13" x14ac:dyDescent="0.25">
      <c r="A15" s="9">
        <v>5</v>
      </c>
      <c r="B15" s="13">
        <f>IF(I15="","",IFERROR(EXP(LN(INDEX(CFD_L500!$B$1:$B$130,8+I15))+(LN($A15)-LN(INDEX(CFD_L500!$A$1:$A$130,8+I15)))*(LN(INDEX(CFD_L500!$B$1:$B$130,9+I15))-LN(INDEX(CFD_L500!$B$1:$B$130,8+I15)))/(LN(INDEX(CFD_L500!$A$1:$A$130,9+I15))-LN(INDEX(CFD_L500!$A$1:$A$130,8+I15))))/CFD_L500!$B$4,""))</f>
        <v>9.9542210425671268E-2</v>
      </c>
      <c r="C15" s="13">
        <f>IF(J15="","",IFERROR(EXP(LN(INDEX(CFD_L500!$I$1:$I$130,8+J15))+(LN($A15)-LN(INDEX(CFD_L500!$H$1:$H$130,8+J15)))*(LN(INDEX(CFD_L500!$I$1:$I$130,9+J15))-LN(INDEX(CFD_L500!$I$1:$I$130,8+J15)))/(LN(INDEX(CFD_L500!$H$1:$H$130,9+J15))-LN(INDEX(CFD_L500!$H$1:$H$130,8+J15))))/CFD_L500!$I$4,""))</f>
        <v>0.10263706776872127</v>
      </c>
      <c r="D15" s="13">
        <f>IF(K15="","",IFERROR(EXP(LN(INDEX(CFD_L500!$P$1:$P$130,8+K15))+(LN($A15)-LN(INDEX(CFD_L500!$O$1:$O$130,8+K15)))*(LN(INDEX(CFD_L500!$P$1:$P$130,9+K15))-LN(INDEX(CFD_L500!$P$1:$P$130,8+K15)))/(LN(INDEX(CFD_L500!$O$1:$O$130,9+K15))-LN(INDEX(CFD_L500!$O$1:$O$130,8+K15))))/CFD_L500!$P$4,""))</f>
        <v>9.9504320860453535E-2</v>
      </c>
      <c r="E15" s="13" t="str">
        <f>IF(L15="","",IFERROR(EXP(LN(INDEX(CFD_L500!$W$1:$W$130,8+L15))+(LN($A15)-LN(INDEX(CFD_L500!$V$1:$V$130,8+L15)))*(LN(INDEX(CFD_L500!$W$1:$W$130,9+L15))-LN(INDEX(CFD_L500!$W$1:$W$130,8+L15)))/(LN(INDEX(CFD_L500!$V$1:$V$130,9+L15))-LN(INDEX(CFD_L500!$V$1:$V$130,8+L15))))/CFD_L500!$W$4,""))</f>
        <v/>
      </c>
      <c r="F15" s="13" t="str">
        <f>IF(M15="","",IFERROR(EXP(LN(INDEX(CFD_L500!$AD$1:$AD$130,8+M15))+(LN($A15)-LN(INDEX(CFD_L500!$AC$1:$AC$130,8+M15)))*(LN(INDEX(CFD_L500!$AD$1:$AD$130,9+M15))-LN(INDEX(CFD_L500!$AD$1:$AD$130,8+M15)))/(LN(INDEX(CFD_L500!$AC$1:$AC$130,9+M15))-LN(INDEX(CFD_L500!$AC$1:$AC$130,8+M15))))/CFD_L500!$AD$4,""))</f>
        <v/>
      </c>
      <c r="G15" s="25">
        <f t="shared" si="0"/>
        <v>0.10056119968494868</v>
      </c>
      <c r="H15" s="38">
        <f t="shared" si="1"/>
        <v>3.1152640561990221E-2</v>
      </c>
      <c r="I15" s="18">
        <f>IF(OR(CFD_L500!$B$3="",$A15&gt;MAX(CFD_L500!$A$9:$A$108)),"",IFERROR(MATCH($A15,INDEX(CFD_L500!$A$9:$A$108,1):INDEX(CFD_L500!$A$9:$A$108,COUNT(CFD_L500!$A$9:$A$108)),1),""))</f>
        <v>15</v>
      </c>
      <c r="J15" s="18">
        <f>IF(OR(CFD_L500!$I$3="",$A15&gt;MAX(CFD_L500!$H$9:$H$108)),"",IFERROR(MATCH($A15,INDEX(CFD_L500!$H$9:$H$108,1):INDEX(CFD_L500!$H$9:$H$108,COUNT(CFD_L500!$H$9:$H$108)),1),""))</f>
        <v>16</v>
      </c>
      <c r="K15" s="18">
        <f>IF(OR(CFD_L500!$P$3="",$A15&gt;MAX(CFD_L500!$O$9:$O$108)),"",IFERROR(MATCH($A15,INDEX(CFD_L500!$O$9:$O$108,1):INDEX(CFD_L500!$O$9:$O$108,COUNT(CFD_L500!$O$9:$O$108)),1),""))</f>
        <v>17</v>
      </c>
      <c r="L15" s="18" t="str">
        <f>IF(OR(CFD_L500!$W$3="",$A15&gt;MAX(CFD_L500!$V$9:$V$108)),"",IFERROR(MATCH($A15,INDEX(CFD_L500!$V$9:$V$108,1):INDEX(CFD_L500!$V$9:$V$108,COUNT(CFD_L500!$V$9:$V$108)),1),""))</f>
        <v/>
      </c>
      <c r="M15" s="18" t="str">
        <f>IF(OR(CFD_L500!$AD$3="",$A15&gt;MAX(CFD_L500!$AC$9:$AC$108)),"",IFERROR(MATCH($A15,INDEX(CFD_L500!$AC$9:$AC$108,1):INDEX(CFD_L500!$AC$9:$AC$108,COUNT(CFD_L500!$AC$9:$AC$108)),1),""))</f>
        <v/>
      </c>
    </row>
    <row r="16" spans="1:13" x14ac:dyDescent="0.25">
      <c r="A16" s="9">
        <v>5.5</v>
      </c>
      <c r="B16" s="13">
        <f>IF(I16="","",IFERROR(EXP(LN(INDEX(CFD_L500!$B$1:$B$130,8+I16))+(LN($A16)-LN(INDEX(CFD_L500!$A$1:$A$130,8+I16)))*(LN(INDEX(CFD_L500!$B$1:$B$130,9+I16))-LN(INDEX(CFD_L500!$B$1:$B$130,8+I16)))/(LN(INDEX(CFD_L500!$A$1:$A$130,9+I16))-LN(INDEX(CFD_L500!$A$1:$A$130,8+I16))))/CFD_L500!$B$4,""))</f>
        <v>9.1276074097223325E-2</v>
      </c>
      <c r="C16" s="13">
        <f>IF(J16="","",IFERROR(EXP(LN(INDEX(CFD_L500!$I$1:$I$130,8+J16))+(LN($A16)-LN(INDEX(CFD_L500!$H$1:$H$130,8+J16)))*(LN(INDEX(CFD_L500!$I$1:$I$130,9+J16))-LN(INDEX(CFD_L500!$I$1:$I$130,8+J16)))/(LN(INDEX(CFD_L500!$H$1:$H$130,9+J16))-LN(INDEX(CFD_L500!$H$1:$H$130,8+J16))))/CFD_L500!$I$4,""))</f>
        <v>9.348208205345096E-2</v>
      </c>
      <c r="D16" s="13">
        <f>IF(K16="","",IFERROR(EXP(LN(INDEX(CFD_L500!$P$1:$P$130,8+K16))+(LN($A16)-LN(INDEX(CFD_L500!$O$1:$O$130,8+K16)))*(LN(INDEX(CFD_L500!$P$1:$P$130,9+K16))-LN(INDEX(CFD_L500!$P$1:$P$130,8+K16)))/(LN(INDEX(CFD_L500!$O$1:$O$130,9+K16))-LN(INDEX(CFD_L500!$O$1:$O$130,8+K16))))/CFD_L500!$P$4,""))</f>
        <v>9.0457525635620067E-2</v>
      </c>
      <c r="E16" s="13" t="str">
        <f>IF(L16="","",IFERROR(EXP(LN(INDEX(CFD_L500!$W$1:$W$130,8+L16))+(LN($A16)-LN(INDEX(CFD_L500!$V$1:$V$130,8+L16)))*(LN(INDEX(CFD_L500!$W$1:$W$130,9+L16))-LN(INDEX(CFD_L500!$W$1:$W$130,8+L16)))/(LN(INDEX(CFD_L500!$V$1:$V$130,9+L16))-LN(INDEX(CFD_L500!$V$1:$V$130,8+L16))))/CFD_L500!$W$4,""))</f>
        <v/>
      </c>
      <c r="F16" s="13" t="str">
        <f>IF(M16="","",IFERROR(EXP(LN(INDEX(CFD_L500!$AD$1:$AD$130,8+M16))+(LN($A16)-LN(INDEX(CFD_L500!$AC$1:$AC$130,8+M16)))*(LN(INDEX(CFD_L500!$AD$1:$AD$130,9+M16))-LN(INDEX(CFD_L500!$AD$1:$AD$130,8+M16)))/(LN(INDEX(CFD_L500!$AC$1:$AC$130,9+M16))-LN(INDEX(CFD_L500!$AC$1:$AC$130,8+M16))))/CFD_L500!$AD$4,""))</f>
        <v/>
      </c>
      <c r="G16" s="25">
        <f t="shared" si="0"/>
        <v>9.1738560595431451E-2</v>
      </c>
      <c r="H16" s="38">
        <f t="shared" si="1"/>
        <v>3.2969303182870238E-2</v>
      </c>
      <c r="I16" s="18">
        <f>IF(OR(CFD_L500!$B$3="",$A16&gt;MAX(CFD_L500!$A$9:$A$108)),"",IFERROR(MATCH($A16,INDEX(CFD_L500!$A$9:$A$108,1):INDEX(CFD_L500!$A$9:$A$108,COUNT(CFD_L500!$A$9:$A$108)),1),""))</f>
        <v>15</v>
      </c>
      <c r="J16" s="18">
        <f>IF(OR(CFD_L500!$I$3="",$A16&gt;MAX(CFD_L500!$H$9:$H$108)),"",IFERROR(MATCH($A16,INDEX(CFD_L500!$H$9:$H$108,1):INDEX(CFD_L500!$H$9:$H$108,COUNT(CFD_L500!$H$9:$H$108)),1),""))</f>
        <v>16</v>
      </c>
      <c r="K16" s="18">
        <f>IF(OR(CFD_L500!$P$3="",$A16&gt;MAX(CFD_L500!$O$9:$O$108)),"",IFERROR(MATCH($A16,INDEX(CFD_L500!$O$9:$O$108,1):INDEX(CFD_L500!$O$9:$O$108,COUNT(CFD_L500!$O$9:$O$108)),1),""))</f>
        <v>17</v>
      </c>
      <c r="L16" s="18" t="str">
        <f>IF(OR(CFD_L500!$W$3="",$A16&gt;MAX(CFD_L500!$V$9:$V$108)),"",IFERROR(MATCH($A16,INDEX(CFD_L500!$V$9:$V$108,1):INDEX(CFD_L500!$V$9:$V$108,COUNT(CFD_L500!$V$9:$V$108)),1),""))</f>
        <v/>
      </c>
      <c r="M16" s="18" t="str">
        <f>IF(OR(CFD_L500!$AD$3="",$A16&gt;MAX(CFD_L500!$AC$9:$AC$108)),"",IFERROR(MATCH($A16,INDEX(CFD_L500!$AC$9:$AC$108,1):INDEX(CFD_L500!$AC$9:$AC$108,COUNT(CFD_L500!$AC$9:$AC$108)),1),""))</f>
        <v/>
      </c>
    </row>
    <row r="17" spans="1:13" x14ac:dyDescent="0.25">
      <c r="A17" s="9">
        <v>6</v>
      </c>
      <c r="B17" s="13">
        <f>IF(I17="","",IFERROR(EXP(LN(INDEX(CFD_L500!$B$1:$B$130,8+I17))+(LN($A17)-LN(INDEX(CFD_L500!$A$1:$A$130,8+I17)))*(LN(INDEX(CFD_L500!$B$1:$B$130,9+I17))-LN(INDEX(CFD_L500!$B$1:$B$130,8+I17)))/(LN(INDEX(CFD_L500!$A$1:$A$130,9+I17))-LN(INDEX(CFD_L500!$A$1:$A$130,8+I17))))/CFD_L500!$B$4,""))</f>
        <v>8.4330542778729228E-2</v>
      </c>
      <c r="C17" s="13">
        <f>IF(J17="","",IFERROR(EXP(LN(INDEX(CFD_L500!$I$1:$I$130,8+J17))+(LN($A17)-LN(INDEX(CFD_L500!$H$1:$H$130,8+J17)))*(LN(INDEX(CFD_L500!$I$1:$I$130,9+J17))-LN(INDEX(CFD_L500!$I$1:$I$130,8+J17)))/(LN(INDEX(CFD_L500!$H$1:$H$130,9+J17))-LN(INDEX(CFD_L500!$H$1:$H$130,8+J17))))/CFD_L500!$I$4,""))</f>
        <v>8.583917181735938E-2</v>
      </c>
      <c r="D17" s="13">
        <f>IF(K17="","",IFERROR(EXP(LN(INDEX(CFD_L500!$P$1:$P$130,8+K17))+(LN($A17)-LN(INDEX(CFD_L500!$O$1:$O$130,8+K17)))*(LN(INDEX(CFD_L500!$P$1:$P$130,9+K17))-LN(INDEX(CFD_L500!$P$1:$P$130,8+K17)))/(LN(INDEX(CFD_L500!$O$1:$O$130,9+K17))-LN(INDEX(CFD_L500!$O$1:$O$130,8+K17))))/CFD_L500!$P$4,""))</f>
        <v>8.2918605277965754E-2</v>
      </c>
      <c r="E17" s="13" t="str">
        <f>IF(L17="","",IFERROR(EXP(LN(INDEX(CFD_L500!$W$1:$W$130,8+L17))+(LN($A17)-LN(INDEX(CFD_L500!$V$1:$V$130,8+L17)))*(LN(INDEX(CFD_L500!$W$1:$W$130,9+L17))-LN(INDEX(CFD_L500!$W$1:$W$130,8+L17)))/(LN(INDEX(CFD_L500!$V$1:$V$130,9+L17))-LN(INDEX(CFD_L500!$V$1:$V$130,8+L17))))/CFD_L500!$W$4,""))</f>
        <v/>
      </c>
      <c r="F17" s="13" t="str">
        <f>IF(M17="","",IFERROR(EXP(LN(INDEX(CFD_L500!$AD$1:$AD$130,8+M17))+(LN($A17)-LN(INDEX(CFD_L500!$AC$1:$AC$130,8+M17)))*(LN(INDEX(CFD_L500!$AD$1:$AD$130,9+M17))-LN(INDEX(CFD_L500!$AD$1:$AD$130,8+M17)))/(LN(INDEX(CFD_L500!$AC$1:$AC$130,9+M17))-LN(INDEX(CFD_L500!$AC$1:$AC$130,8+M17))))/CFD_L500!$AD$4,""))</f>
        <v/>
      </c>
      <c r="G17" s="25">
        <f t="shared" si="0"/>
        <v>8.4362773291351445E-2</v>
      </c>
      <c r="H17" s="38">
        <f t="shared" si="1"/>
        <v>3.4619138577951798E-2</v>
      </c>
      <c r="I17" s="18">
        <f>IF(OR(CFD_L500!$B$3="",$A17&gt;MAX(CFD_L500!$A$9:$A$108)),"",IFERROR(MATCH($A17,INDEX(CFD_L500!$A$9:$A$108,1):INDEX(CFD_L500!$A$9:$A$108,COUNT(CFD_L500!$A$9:$A$108)),1),""))</f>
        <v>15</v>
      </c>
      <c r="J17" s="18">
        <f>IF(OR(CFD_L500!$I$3="",$A17&gt;MAX(CFD_L500!$H$9:$H$108)),"",IFERROR(MATCH($A17,INDEX(CFD_L500!$H$9:$H$108,1):INDEX(CFD_L500!$H$9:$H$108,COUNT(CFD_L500!$H$9:$H$108)),1),""))</f>
        <v>16</v>
      </c>
      <c r="K17" s="18">
        <f>IF(OR(CFD_L500!$P$3="",$A17&gt;MAX(CFD_L500!$O$9:$O$108)),"",IFERROR(MATCH($A17,INDEX(CFD_L500!$O$9:$O$108,1):INDEX(CFD_L500!$O$9:$O$108,COUNT(CFD_L500!$O$9:$O$108)),1),""))</f>
        <v>17</v>
      </c>
      <c r="L17" s="18" t="str">
        <f>IF(OR(CFD_L500!$W$3="",$A17&gt;MAX(CFD_L500!$V$9:$V$108)),"",IFERROR(MATCH($A17,INDEX(CFD_L500!$V$9:$V$108,1):INDEX(CFD_L500!$V$9:$V$108,COUNT(CFD_L500!$V$9:$V$108)),1),""))</f>
        <v/>
      </c>
      <c r="M17" s="18" t="str">
        <f>IF(OR(CFD_L500!$AD$3="",$A17&gt;MAX(CFD_L500!$AC$9:$AC$108)),"",IFERROR(MATCH($A17,INDEX(CFD_L500!$AC$9:$AC$108,1):INDEX(CFD_L500!$AC$9:$AC$108,COUNT(CFD_L500!$AC$9:$AC$108)),1),""))</f>
        <v/>
      </c>
    </row>
    <row r="18" spans="1:13" x14ac:dyDescent="0.25">
      <c r="A18" s="9">
        <v>6.5</v>
      </c>
      <c r="B18" s="13">
        <f>IF(I18="","",IFERROR(EXP(LN(INDEX(CFD_L500!$B$1:$B$130,8+I18))+(LN($A18)-LN(INDEX(CFD_L500!$A$1:$A$130,8+I18)))*(LN(INDEX(CFD_L500!$B$1:$B$130,9+I18))-LN(INDEX(CFD_L500!$B$1:$B$130,8+I18)))/(LN(INDEX(CFD_L500!$A$1:$A$130,9+I18))-LN(INDEX(CFD_L500!$A$1:$A$130,8+I18))))/CFD_L500!$B$4,""))</f>
        <v>7.8528155886253101E-2</v>
      </c>
      <c r="C18" s="13">
        <f>IF(J18="","",IFERROR(EXP(LN(INDEX(CFD_L500!$I$1:$I$130,8+J18))+(LN($A18)-LN(INDEX(CFD_L500!$H$1:$H$130,8+J18)))*(LN(INDEX(CFD_L500!$I$1:$I$130,9+J18))-LN(INDEX(CFD_L500!$I$1:$I$130,8+J18)))/(LN(INDEX(CFD_L500!$H$1:$H$130,9+J18))-LN(INDEX(CFD_L500!$H$1:$H$130,8+J18))))/CFD_L500!$I$4,""))</f>
        <v>7.9349744156982621E-2</v>
      </c>
      <c r="D18" s="13">
        <f>IF(K18="","",IFERROR(EXP(LN(INDEX(CFD_L500!$P$1:$P$130,8+K18))+(LN($A18)-LN(INDEX(CFD_L500!$O$1:$O$130,8+K18)))*(LN(INDEX(CFD_L500!$P$1:$P$130,9+K18))-LN(INDEX(CFD_L500!$P$1:$P$130,8+K18)))/(LN(INDEX(CFD_L500!$O$1:$O$130,9+K18))-LN(INDEX(CFD_L500!$O$1:$O$130,8+K18))))/CFD_L500!$P$4,""))</f>
        <v>7.642010142687275E-2</v>
      </c>
      <c r="E18" s="13" t="str">
        <f>IF(L18="","",IFERROR(EXP(LN(INDEX(CFD_L500!$W$1:$W$130,8+L18))+(LN($A18)-LN(INDEX(CFD_L500!$V$1:$V$130,8+L18)))*(LN(INDEX(CFD_L500!$W$1:$W$130,9+L18))-LN(INDEX(CFD_L500!$W$1:$W$130,8+L18)))/(LN(INDEX(CFD_L500!$V$1:$V$130,9+L18))-LN(INDEX(CFD_L500!$V$1:$V$130,8+L18))))/CFD_L500!$W$4,""))</f>
        <v/>
      </c>
      <c r="F18" s="13" t="str">
        <f>IF(M18="","",IFERROR(EXP(LN(INDEX(CFD_L500!$AD$1:$AD$130,8+M18))+(LN($A18)-LN(INDEX(CFD_L500!$AC$1:$AC$130,8+M18)))*(LN(INDEX(CFD_L500!$AD$1:$AD$130,9+M18))-LN(INDEX(CFD_L500!$AD$1:$AD$130,8+M18)))/(LN(INDEX(CFD_L500!$AC$1:$AC$130,9+M18))-LN(INDEX(CFD_L500!$AC$1:$AC$130,8+M18))))/CFD_L500!$AD$4,""))</f>
        <v/>
      </c>
      <c r="G18" s="25">
        <f t="shared" si="0"/>
        <v>7.8099333823369491E-2</v>
      </c>
      <c r="H18" s="38">
        <f t="shared" si="1"/>
        <v>3.7511750570569415E-2</v>
      </c>
      <c r="I18" s="18">
        <f>IF(OR(CFD_L500!$B$3="",$A18&gt;MAX(CFD_L500!$A$9:$A$108)),"",IFERROR(MATCH($A18,INDEX(CFD_L500!$A$9:$A$108,1):INDEX(CFD_L500!$A$9:$A$108,COUNT(CFD_L500!$A$9:$A$108)),1),""))</f>
        <v>16</v>
      </c>
      <c r="J18" s="18">
        <f>IF(OR(CFD_L500!$I$3="",$A18&gt;MAX(CFD_L500!$H$9:$H$108)),"",IFERROR(MATCH($A18,INDEX(CFD_L500!$H$9:$H$108,1):INDEX(CFD_L500!$H$9:$H$108,COUNT(CFD_L500!$H$9:$H$108)),1),""))</f>
        <v>17</v>
      </c>
      <c r="K18" s="18">
        <f>IF(OR(CFD_L500!$P$3="",$A18&gt;MAX(CFD_L500!$O$9:$O$108)),"",IFERROR(MATCH($A18,INDEX(CFD_L500!$O$9:$O$108,1):INDEX(CFD_L500!$O$9:$O$108,COUNT(CFD_L500!$O$9:$O$108)),1),""))</f>
        <v>18</v>
      </c>
      <c r="L18" s="18" t="str">
        <f>IF(OR(CFD_L500!$W$3="",$A18&gt;MAX(CFD_L500!$V$9:$V$108)),"",IFERROR(MATCH($A18,INDEX(CFD_L500!$V$9:$V$108,1):INDEX(CFD_L500!$V$9:$V$108,COUNT(CFD_L500!$V$9:$V$108)),1),""))</f>
        <v/>
      </c>
      <c r="M18" s="18" t="str">
        <f>IF(OR(CFD_L500!$AD$3="",$A18&gt;MAX(CFD_L500!$AC$9:$AC$108)),"",IFERROR(MATCH($A18,INDEX(CFD_L500!$AC$9:$AC$108,1):INDEX(CFD_L500!$AC$9:$AC$108,COUNT(CFD_L500!$AC$9:$AC$108)),1),""))</f>
        <v/>
      </c>
    </row>
    <row r="19" spans="1:13" x14ac:dyDescent="0.25">
      <c r="A19" s="9">
        <v>7</v>
      </c>
      <c r="B19" s="13">
        <f>IF(I19="","",IFERROR(EXP(LN(INDEX(CFD_L500!$B$1:$B$130,8+I19))+(LN($A19)-LN(INDEX(CFD_L500!$A$1:$A$130,8+I19)))*(LN(INDEX(CFD_L500!$B$1:$B$130,9+I19))-LN(INDEX(CFD_L500!$B$1:$B$130,8+I19)))/(LN(INDEX(CFD_L500!$A$1:$A$130,9+I19))-LN(INDEX(CFD_L500!$A$1:$A$130,8+I19))))/CFD_L500!$B$4,""))</f>
        <v>7.361692573509937E-2</v>
      </c>
      <c r="C19" s="13">
        <f>IF(J19="","",IFERROR(EXP(LN(INDEX(CFD_L500!$I$1:$I$130,8+J19))+(LN($A19)-LN(INDEX(CFD_L500!$H$1:$H$130,8+J19)))*(LN(INDEX(CFD_L500!$I$1:$I$130,9+J19))-LN(INDEX(CFD_L500!$I$1:$I$130,8+J19)))/(LN(INDEX(CFD_L500!$H$1:$H$130,9+J19))-LN(INDEX(CFD_L500!$H$1:$H$130,8+J19))))/CFD_L500!$I$4,""))</f>
        <v>7.3772790107483235E-2</v>
      </c>
      <c r="D19" s="13">
        <f>IF(K19="","",IFERROR(EXP(LN(INDEX(CFD_L500!$P$1:$P$130,8+K19))+(LN($A19)-LN(INDEX(CFD_L500!$O$1:$O$130,8+K19)))*(LN(INDEX(CFD_L500!$P$1:$P$130,9+K19))-LN(INDEX(CFD_L500!$P$1:$P$130,8+K19)))/(LN(INDEX(CFD_L500!$O$1:$O$130,9+K19))-LN(INDEX(CFD_L500!$O$1:$O$130,8+K19))))/CFD_L500!$P$4,""))</f>
        <v>7.0772923976181665E-2</v>
      </c>
      <c r="E19" s="13" t="str">
        <f>IF(L19="","",IFERROR(EXP(LN(INDEX(CFD_L500!$W$1:$W$130,8+L19))+(LN($A19)-LN(INDEX(CFD_L500!$V$1:$V$130,8+L19)))*(LN(INDEX(CFD_L500!$W$1:$W$130,9+L19))-LN(INDEX(CFD_L500!$W$1:$W$130,8+L19)))/(LN(INDEX(CFD_L500!$V$1:$V$130,9+L19))-LN(INDEX(CFD_L500!$V$1:$V$130,8+L19))))/CFD_L500!$W$4,""))</f>
        <v/>
      </c>
      <c r="F19" s="13" t="str">
        <f>IF(M19="","",IFERROR(EXP(LN(INDEX(CFD_L500!$AD$1:$AD$130,8+M19))+(LN($A19)-LN(INDEX(CFD_L500!$AC$1:$AC$130,8+M19)))*(LN(INDEX(CFD_L500!$AD$1:$AD$130,9+M19))-LN(INDEX(CFD_L500!$AD$1:$AD$130,8+M19)))/(LN(INDEX(CFD_L500!$AC$1:$AC$130,9+M19))-LN(INDEX(CFD_L500!$AC$1:$AC$130,8+M19))))/CFD_L500!$AD$4,""))</f>
        <v/>
      </c>
      <c r="G19" s="25">
        <f t="shared" si="0"/>
        <v>7.272087993958809E-2</v>
      </c>
      <c r="H19" s="38">
        <f t="shared" si="1"/>
        <v>4.125178537159712E-2</v>
      </c>
      <c r="I19" s="18">
        <f>IF(OR(CFD_L500!$B$3="",$A19&gt;MAX(CFD_L500!$A$9:$A$108)),"",IFERROR(MATCH($A19,INDEX(CFD_L500!$A$9:$A$108,1):INDEX(CFD_L500!$A$9:$A$108,COUNT(CFD_L500!$A$9:$A$108)),1),""))</f>
        <v>16</v>
      </c>
      <c r="J19" s="18">
        <f>IF(OR(CFD_L500!$I$3="",$A19&gt;MAX(CFD_L500!$H$9:$H$108)),"",IFERROR(MATCH($A19,INDEX(CFD_L500!$H$9:$H$108,1):INDEX(CFD_L500!$H$9:$H$108,COUNT(CFD_L500!$H$9:$H$108)),1),""))</f>
        <v>17</v>
      </c>
      <c r="K19" s="18">
        <f>IF(OR(CFD_L500!$P$3="",$A19&gt;MAX(CFD_L500!$O$9:$O$108)),"",IFERROR(MATCH($A19,INDEX(CFD_L500!$O$9:$O$108,1):INDEX(CFD_L500!$O$9:$O$108,COUNT(CFD_L500!$O$9:$O$108)),1),""))</f>
        <v>18</v>
      </c>
      <c r="L19" s="18" t="str">
        <f>IF(OR(CFD_L500!$W$3="",$A19&gt;MAX(CFD_L500!$V$9:$V$108)),"",IFERROR(MATCH($A19,INDEX(CFD_L500!$V$9:$V$108,1):INDEX(CFD_L500!$V$9:$V$108,COUNT(CFD_L500!$V$9:$V$108)),1),""))</f>
        <v/>
      </c>
      <c r="M19" s="18" t="str">
        <f>IF(OR(CFD_L500!$AD$3="",$A19&gt;MAX(CFD_L500!$AC$9:$AC$108)),"",IFERROR(MATCH($A19,INDEX(CFD_L500!$AC$9:$AC$108,1):INDEX(CFD_L500!$AC$9:$AC$108,COUNT(CFD_L500!$AC$9:$AC$108)),1),""))</f>
        <v/>
      </c>
    </row>
    <row r="20" spans="1:13" x14ac:dyDescent="0.25">
      <c r="A20" s="9">
        <v>7.5</v>
      </c>
      <c r="B20" s="13">
        <f>IF(I20="","",IFERROR(EXP(LN(INDEX(CFD_L500!$B$1:$B$130,8+I20))+(LN($A20)-LN(INDEX(CFD_L500!$A$1:$A$130,8+I20)))*(LN(INDEX(CFD_L500!$B$1:$B$130,9+I20))-LN(INDEX(CFD_L500!$B$1:$B$130,8+I20)))/(LN(INDEX(CFD_L500!$A$1:$A$130,9+I20))-LN(INDEX(CFD_L500!$A$1:$A$130,8+I20))))/CFD_L500!$B$4,""))</f>
        <v>6.9321168243397902E-2</v>
      </c>
      <c r="C20" s="13">
        <f>IF(J20="","",IFERROR(EXP(LN(INDEX(CFD_L500!$I$1:$I$130,8+J20))+(LN($A20)-LN(INDEX(CFD_L500!$H$1:$H$130,8+J20)))*(LN(INDEX(CFD_L500!$I$1:$I$130,9+J20))-LN(INDEX(CFD_L500!$I$1:$I$130,8+J20)))/(LN(INDEX(CFD_L500!$H$1:$H$130,9+J20))-LN(INDEX(CFD_L500!$H$1:$H$130,8+J20))))/CFD_L500!$I$4,""))</f>
        <v>6.8933669103994413E-2</v>
      </c>
      <c r="D20" s="13">
        <f>IF(K20="","",IFERROR(EXP(LN(INDEX(CFD_L500!$P$1:$P$130,8+K20))+(LN($A20)-LN(INDEX(CFD_L500!$O$1:$O$130,8+K20)))*(LN(INDEX(CFD_L500!$P$1:$P$130,9+K20))-LN(INDEX(CFD_L500!$P$1:$P$130,8+K20)))/(LN(INDEX(CFD_L500!$O$1:$O$130,9+K20))-LN(INDEX(CFD_L500!$O$1:$O$130,8+K20))))/CFD_L500!$P$4,""))</f>
        <v>6.5891273738250766E-2</v>
      </c>
      <c r="E20" s="13" t="str">
        <f>IF(L20="","",IFERROR(EXP(LN(INDEX(CFD_L500!$W$1:$W$130,8+L20))+(LN($A20)-LN(INDEX(CFD_L500!$V$1:$V$130,8+L20)))*(LN(INDEX(CFD_L500!$W$1:$W$130,9+L20))-LN(INDEX(CFD_L500!$W$1:$W$130,8+L20)))/(LN(INDEX(CFD_L500!$V$1:$V$130,9+L20))-LN(INDEX(CFD_L500!$V$1:$V$130,8+L20))))/CFD_L500!$W$4,""))</f>
        <v/>
      </c>
      <c r="F20" s="13" t="str">
        <f>IF(M20="","",IFERROR(EXP(LN(INDEX(CFD_L500!$AD$1:$AD$130,8+M20))+(LN($A20)-LN(INDEX(CFD_L500!$AC$1:$AC$130,8+M20)))*(LN(INDEX(CFD_L500!$AD$1:$AD$130,9+M20))-LN(INDEX(CFD_L500!$AD$1:$AD$130,8+M20)))/(LN(INDEX(CFD_L500!$AC$1:$AC$130,9+M20))-LN(INDEX(CFD_L500!$AC$1:$AC$130,8+M20))))/CFD_L500!$AD$4,""))</f>
        <v/>
      </c>
      <c r="G20" s="25">
        <f t="shared" si="0"/>
        <v>6.804870369521436E-2</v>
      </c>
      <c r="H20" s="38">
        <f t="shared" si="1"/>
        <v>5.0403524518400904E-2</v>
      </c>
      <c r="I20" s="18">
        <f>IF(OR(CFD_L500!$B$3="",$A20&gt;MAX(CFD_L500!$A$9:$A$108)),"",IFERROR(MATCH($A20,INDEX(CFD_L500!$A$9:$A$108,1):INDEX(CFD_L500!$A$9:$A$108,COUNT(CFD_L500!$A$9:$A$108)),1),""))</f>
        <v>16</v>
      </c>
      <c r="J20" s="18">
        <f>IF(OR(CFD_L500!$I$3="",$A20&gt;MAX(CFD_L500!$H$9:$H$108)),"",IFERROR(MATCH($A20,INDEX(CFD_L500!$H$9:$H$108,1):INDEX(CFD_L500!$H$9:$H$108,COUNT(CFD_L500!$H$9:$H$108)),1),""))</f>
        <v>17</v>
      </c>
      <c r="K20" s="18">
        <f>IF(OR(CFD_L500!$P$3="",$A20&gt;MAX(CFD_L500!$O$9:$O$108)),"",IFERROR(MATCH($A20,INDEX(CFD_L500!$O$9:$O$108,1):INDEX(CFD_L500!$O$9:$O$108,COUNT(CFD_L500!$O$9:$O$108)),1),""))</f>
        <v>18</v>
      </c>
      <c r="L20" s="18" t="str">
        <f>IF(OR(CFD_L500!$W$3="",$A20&gt;MAX(CFD_L500!$V$9:$V$108)),"",IFERROR(MATCH($A20,INDEX(CFD_L500!$V$9:$V$108,1):INDEX(CFD_L500!$V$9:$V$108,COUNT(CFD_L500!$V$9:$V$108)),1),""))</f>
        <v/>
      </c>
      <c r="M20" s="18" t="str">
        <f>IF(OR(CFD_L500!$AD$3="",$A20&gt;MAX(CFD_L500!$AC$9:$AC$108)),"",IFERROR(MATCH($A20,INDEX(CFD_L500!$AC$9:$AC$108,1):INDEX(CFD_L500!$AC$9:$AC$108,COUNT(CFD_L500!$AC$9:$AC$108)),1),""))</f>
        <v/>
      </c>
    </row>
    <row r="21" spans="1:13" x14ac:dyDescent="0.25">
      <c r="A21" s="9">
        <v>8</v>
      </c>
      <c r="B21" s="13">
        <f>IF(I21="","",IFERROR(EXP(LN(INDEX(CFD_L500!$B$1:$B$130,8+I21))+(LN($A21)-LN(INDEX(CFD_L500!$A$1:$A$130,8+I21)))*(LN(INDEX(CFD_L500!$B$1:$B$130,9+I21))-LN(INDEX(CFD_L500!$B$1:$B$130,8+I21)))/(LN(INDEX(CFD_L500!$A$1:$A$130,9+I21))-LN(INDEX(CFD_L500!$A$1:$A$130,8+I21))))/CFD_L500!$B$4,""))</f>
        <v>6.505210755828511E-2</v>
      </c>
      <c r="C21" s="13">
        <f>IF(J21="","",IFERROR(EXP(LN(INDEX(CFD_L500!$I$1:$I$130,8+J21))+(LN($A21)-LN(INDEX(CFD_L500!$H$1:$H$130,8+J21)))*(LN(INDEX(CFD_L500!$I$1:$I$130,9+J21))-LN(INDEX(CFD_L500!$I$1:$I$130,8+J21)))/(LN(INDEX(CFD_L500!$H$1:$H$130,9+J21))-LN(INDEX(CFD_L500!$H$1:$H$130,8+J21))))/CFD_L500!$I$4,""))</f>
        <v>6.3891818895695091E-2</v>
      </c>
      <c r="D21" s="13">
        <f>IF(K21="","",IFERROR(EXP(LN(INDEX(CFD_L500!$P$1:$P$130,8+K21))+(LN($A21)-LN(INDEX(CFD_L500!$O$1:$O$130,8+K21)))*(LN(INDEX(CFD_L500!$P$1:$P$130,9+K21))-LN(INDEX(CFD_L500!$P$1:$P$130,8+K21)))/(LN(INDEX(CFD_L500!$O$1:$O$130,9+K21))-LN(INDEX(CFD_L500!$O$1:$O$130,8+K21))))/CFD_L500!$P$4,""))</f>
        <v>6.1173711862561535E-2</v>
      </c>
      <c r="E21" s="13" t="str">
        <f>IF(L21="","",IFERROR(EXP(LN(INDEX(CFD_L500!$W$1:$W$130,8+L21))+(LN($A21)-LN(INDEX(CFD_L500!$V$1:$V$130,8+L21)))*(LN(INDEX(CFD_L500!$W$1:$W$130,9+L21))-LN(INDEX(CFD_L500!$W$1:$W$130,8+L21)))/(LN(INDEX(CFD_L500!$V$1:$V$130,9+L21))-LN(INDEX(CFD_L500!$V$1:$V$130,8+L21))))/CFD_L500!$W$4,""))</f>
        <v/>
      </c>
      <c r="F21" s="13" t="str">
        <f>IF(M21="","",IFERROR(EXP(LN(INDEX(CFD_L500!$AD$1:$AD$130,8+M21))+(LN($A21)-LN(INDEX(CFD_L500!$AC$1:$AC$130,8+M21)))*(LN(INDEX(CFD_L500!$AD$1:$AD$130,9+M21))-LN(INDEX(CFD_L500!$AD$1:$AD$130,8+M21)))/(LN(INDEX(CFD_L500!$AC$1:$AC$130,9+M21))-LN(INDEX(CFD_L500!$AC$1:$AC$130,8+M21))))/CFD_L500!$AD$4,""))</f>
        <v/>
      </c>
      <c r="G21" s="25">
        <f t="shared" si="0"/>
        <v>6.3372546105513919E-2</v>
      </c>
      <c r="H21" s="38">
        <f t="shared" si="1"/>
        <v>6.1199934893985966E-2</v>
      </c>
      <c r="I21" s="18">
        <f>IF(OR(CFD_L500!$B$3="",$A21&gt;MAX(CFD_L500!$A$9:$A$108)),"",IFERROR(MATCH($A21,INDEX(CFD_L500!$A$9:$A$108,1):INDEX(CFD_L500!$A$9:$A$108,COUNT(CFD_L500!$A$9:$A$108)),1),""))</f>
        <v>17</v>
      </c>
      <c r="J21" s="18">
        <f>IF(OR(CFD_L500!$I$3="",$A21&gt;MAX(CFD_L500!$H$9:$H$108)),"",IFERROR(MATCH($A21,INDEX(CFD_L500!$H$9:$H$108,1):INDEX(CFD_L500!$H$9:$H$108,COUNT(CFD_L500!$H$9:$H$108)),1),""))</f>
        <v>18</v>
      </c>
      <c r="K21" s="18">
        <f>IF(OR(CFD_L500!$P$3="",$A21&gt;MAX(CFD_L500!$O$9:$O$108)),"",IFERROR(MATCH($A21,INDEX(CFD_L500!$O$9:$O$108,1):INDEX(CFD_L500!$O$9:$O$108,COUNT(CFD_L500!$O$9:$O$108)),1),""))</f>
        <v>19</v>
      </c>
      <c r="L21" s="18" t="str">
        <f>IF(OR(CFD_L500!$W$3="",$A21&gt;MAX(CFD_L500!$V$9:$V$108)),"",IFERROR(MATCH($A21,INDEX(CFD_L500!$V$9:$V$108,1):INDEX(CFD_L500!$V$9:$V$108,COUNT(CFD_L500!$V$9:$V$108)),1),""))</f>
        <v/>
      </c>
      <c r="M21" s="18" t="str">
        <f>IF(OR(CFD_L500!$AD$3="",$A21&gt;MAX(CFD_L500!$AC$9:$AC$108)),"",IFERROR(MATCH($A21,INDEX(CFD_L500!$AC$9:$AC$108,1):INDEX(CFD_L500!$AC$9:$AC$108,COUNT(CFD_L500!$AC$9:$AC$108)),1),""))</f>
        <v/>
      </c>
    </row>
    <row r="22" spans="1:13" x14ac:dyDescent="0.25">
      <c r="A22" s="9">
        <v>8.5</v>
      </c>
      <c r="B22" s="13">
        <f>IF(I22="","",IFERROR(EXP(LN(INDEX(CFD_L500!$B$1:$B$130,8+I22))+(LN($A22)-LN(INDEX(CFD_L500!$A$1:$A$130,8+I22)))*(LN(INDEX(CFD_L500!$B$1:$B$130,9+I22))-LN(INDEX(CFD_L500!$B$1:$B$130,8+I22)))/(LN(INDEX(CFD_L500!$A$1:$A$130,9+I22))-LN(INDEX(CFD_L500!$A$1:$A$130,8+I22))))/CFD_L500!$B$4,""))</f>
        <v>5.9954807565080974E-2</v>
      </c>
      <c r="C22" s="13">
        <f>IF(J22="","",IFERROR(EXP(LN(INDEX(CFD_L500!$I$1:$I$130,8+J22))+(LN($A22)-LN(INDEX(CFD_L500!$H$1:$H$130,8+J22)))*(LN(INDEX(CFD_L500!$I$1:$I$130,9+J22))-LN(INDEX(CFD_L500!$I$1:$I$130,8+J22)))/(LN(INDEX(CFD_L500!$H$1:$H$130,9+J22))-LN(INDEX(CFD_L500!$H$1:$H$130,8+J22))))/CFD_L500!$I$4,""))</f>
        <v>5.8559730431874381E-2</v>
      </c>
      <c r="D22" s="13">
        <f>IF(K22="","",IFERROR(EXP(LN(INDEX(CFD_L500!$P$1:$P$130,8+K22))+(LN($A22)-LN(INDEX(CFD_L500!$O$1:$O$130,8+K22)))*(LN(INDEX(CFD_L500!$P$1:$P$130,9+K22))-LN(INDEX(CFD_L500!$P$1:$P$130,8+K22)))/(LN(INDEX(CFD_L500!$O$1:$O$130,9+K22))-LN(INDEX(CFD_L500!$O$1:$O$130,8+K22))))/CFD_L500!$P$4,""))</f>
        <v>5.540447178199534E-2</v>
      </c>
      <c r="E22" s="13" t="str">
        <f>IF(L22="","",IFERROR(EXP(LN(INDEX(CFD_L500!$W$1:$W$130,8+L22))+(LN($A22)-LN(INDEX(CFD_L500!$V$1:$V$130,8+L22)))*(LN(INDEX(CFD_L500!$W$1:$W$130,9+L22))-LN(INDEX(CFD_L500!$W$1:$W$130,8+L22)))/(LN(INDEX(CFD_L500!$V$1:$V$130,9+L22))-LN(INDEX(CFD_L500!$V$1:$V$130,8+L22))))/CFD_L500!$W$4,""))</f>
        <v/>
      </c>
      <c r="F22" s="13" t="str">
        <f>IF(M22="","",IFERROR(EXP(LN(INDEX(CFD_L500!$AD$1:$AD$130,8+M22))+(LN($A22)-LN(INDEX(CFD_L500!$AC$1:$AC$130,8+M22)))*(LN(INDEX(CFD_L500!$AD$1:$AD$130,9+M22))-LN(INDEX(CFD_L500!$AD$1:$AD$130,8+M22)))/(LN(INDEX(CFD_L500!$AC$1:$AC$130,9+M22))-LN(INDEX(CFD_L500!$AC$1:$AC$130,8+M22))))/CFD_L500!$AD$4,""))</f>
        <v/>
      </c>
      <c r="G22" s="25">
        <f t="shared" si="0"/>
        <v>5.7973003259650234E-2</v>
      </c>
      <c r="H22" s="38">
        <f t="shared" si="1"/>
        <v>7.8490599541747585E-2</v>
      </c>
      <c r="I22" s="18">
        <f>IF(OR(CFD_L500!$B$3="",$A22&gt;MAX(CFD_L500!$A$9:$A$108)),"",IFERROR(MATCH($A22,INDEX(CFD_L500!$A$9:$A$108,1):INDEX(CFD_L500!$A$9:$A$108,COUNT(CFD_L500!$A$9:$A$108)),1),""))</f>
        <v>17</v>
      </c>
      <c r="J22" s="18">
        <f>IF(OR(CFD_L500!$I$3="",$A22&gt;MAX(CFD_L500!$H$9:$H$108)),"",IFERROR(MATCH($A22,INDEX(CFD_L500!$H$9:$H$108,1):INDEX(CFD_L500!$H$9:$H$108,COUNT(CFD_L500!$H$9:$H$108)),1),""))</f>
        <v>18</v>
      </c>
      <c r="K22" s="18">
        <f>IF(OR(CFD_L500!$P$3="",$A22&gt;MAX(CFD_L500!$O$9:$O$108)),"",IFERROR(MATCH($A22,INDEX(CFD_L500!$O$9:$O$108,1):INDEX(CFD_L500!$O$9:$O$108,COUNT(CFD_L500!$O$9:$O$108)),1),""))</f>
        <v>19</v>
      </c>
      <c r="L22" s="18" t="str">
        <f>IF(OR(CFD_L500!$W$3="",$A22&gt;MAX(CFD_L500!$V$9:$V$108)),"",IFERROR(MATCH($A22,INDEX(CFD_L500!$V$9:$V$108,1):INDEX(CFD_L500!$V$9:$V$108,COUNT(CFD_L500!$V$9:$V$108)),1),""))</f>
        <v/>
      </c>
      <c r="M22" s="18" t="str">
        <f>IF(OR(CFD_L500!$AD$3="",$A22&gt;MAX(CFD_L500!$AC$9:$AC$108)),"",IFERROR(MATCH($A22,INDEX(CFD_L500!$AC$9:$AC$108,1):INDEX(CFD_L500!$AC$9:$AC$108,COUNT(CFD_L500!$AC$9:$AC$108)),1),""))</f>
        <v/>
      </c>
    </row>
    <row r="23" spans="1:13" x14ac:dyDescent="0.25">
      <c r="A23" s="9">
        <v>9</v>
      </c>
      <c r="B23" s="13">
        <f>IF(I23="","",IFERROR(EXP(LN(INDEX(CFD_L500!$B$1:$B$130,8+I23))+(LN($A23)-LN(INDEX(CFD_L500!$A$1:$A$130,8+I23)))*(LN(INDEX(CFD_L500!$B$1:$B$130,9+I23))-LN(INDEX(CFD_L500!$B$1:$B$130,8+I23)))/(LN(INDEX(CFD_L500!$A$1:$A$130,9+I23))-LN(INDEX(CFD_L500!$A$1:$A$130,8+I23))))/CFD_L500!$B$4,""))</f>
        <v>5.1898364018005398E-2</v>
      </c>
      <c r="C23" s="13">
        <f>IF(J23="","",IFERROR(EXP(LN(INDEX(CFD_L500!$I$1:$I$130,8+J23))+(LN($A23)-LN(INDEX(CFD_L500!$H$1:$H$130,8+J23)))*(LN(INDEX(CFD_L500!$I$1:$I$130,9+J23))-LN(INDEX(CFD_L500!$I$1:$I$130,8+J23)))/(LN(INDEX(CFD_L500!$H$1:$H$130,9+J23))-LN(INDEX(CFD_L500!$H$1:$H$130,8+J23))))/CFD_L500!$I$4,""))</f>
        <v>5.0452696346789797E-2</v>
      </c>
      <c r="D23" s="13">
        <f>IF(K23="","",IFERROR(EXP(LN(INDEX(CFD_L500!$P$1:$P$130,8+K23))+(LN($A23)-LN(INDEX(CFD_L500!$O$1:$O$130,8+K23)))*(LN(INDEX(CFD_L500!$P$1:$P$130,9+K23))-LN(INDEX(CFD_L500!$P$1:$P$130,8+K23)))/(LN(INDEX(CFD_L500!$O$1:$O$130,9+K23))-LN(INDEX(CFD_L500!$O$1:$O$130,8+K23))))/CFD_L500!$P$4,""))</f>
        <v>4.774638372870204E-2</v>
      </c>
      <c r="E23" s="13" t="str">
        <f>IF(L23="","",IFERROR(EXP(LN(INDEX(CFD_L500!$W$1:$W$130,8+L23))+(LN($A23)-LN(INDEX(CFD_L500!$V$1:$V$130,8+L23)))*(LN(INDEX(CFD_L500!$W$1:$W$130,9+L23))-LN(INDEX(CFD_L500!$W$1:$W$130,8+L23)))/(LN(INDEX(CFD_L500!$V$1:$V$130,9+L23))-LN(INDEX(CFD_L500!$V$1:$V$130,8+L23))))/CFD_L500!$W$4,""))</f>
        <v/>
      </c>
      <c r="F23" s="13" t="str">
        <f>IF(M23="","",IFERROR(EXP(LN(INDEX(CFD_L500!$AD$1:$AD$130,8+M23))+(LN($A23)-LN(INDEX(CFD_L500!$AC$1:$AC$130,8+M23)))*(LN(INDEX(CFD_L500!$AD$1:$AD$130,9+M23))-LN(INDEX(CFD_L500!$AD$1:$AD$130,8+M23)))/(LN(INDEX(CFD_L500!$AC$1:$AC$130,9+M23))-LN(INDEX(CFD_L500!$AC$1:$AC$130,8+M23))))/CFD_L500!$AD$4,""))</f>
        <v/>
      </c>
      <c r="G23" s="25">
        <f t="shared" si="0"/>
        <v>5.003248136449908E-2</v>
      </c>
      <c r="H23" s="38">
        <f t="shared" si="1"/>
        <v>8.2985696013258836E-2</v>
      </c>
      <c r="I23" s="18">
        <f>IF(OR(CFD_L500!$B$3="",$A23&gt;MAX(CFD_L500!$A$9:$A$108)),"",IFERROR(MATCH($A23,INDEX(CFD_L500!$A$9:$A$108,1):INDEX(CFD_L500!$A$9:$A$108,COUNT(CFD_L500!$A$9:$A$108)),1),""))</f>
        <v>18</v>
      </c>
      <c r="J23" s="18">
        <f>IF(OR(CFD_L500!$I$3="",$A23&gt;MAX(CFD_L500!$H$9:$H$108)),"",IFERROR(MATCH($A23,INDEX(CFD_L500!$H$9:$H$108,1):INDEX(CFD_L500!$H$9:$H$108,COUNT(CFD_L500!$H$9:$H$108)),1),""))</f>
        <v>19</v>
      </c>
      <c r="K23" s="18">
        <f>IF(OR(CFD_L500!$P$3="",$A23&gt;MAX(CFD_L500!$O$9:$O$108)),"",IFERROR(MATCH($A23,INDEX(CFD_L500!$O$9:$O$108,1):INDEX(CFD_L500!$O$9:$O$108,COUNT(CFD_L500!$O$9:$O$108)),1),""))</f>
        <v>20</v>
      </c>
      <c r="L23" s="18" t="str">
        <f>IF(OR(CFD_L500!$W$3="",$A23&gt;MAX(CFD_L500!$V$9:$V$108)),"",IFERROR(MATCH($A23,INDEX(CFD_L500!$V$9:$V$108,1):INDEX(CFD_L500!$V$9:$V$108,COUNT(CFD_L500!$V$9:$V$108)),1),""))</f>
        <v/>
      </c>
      <c r="M23" s="18" t="str">
        <f>IF(OR(CFD_L500!$AD$3="",$A23&gt;MAX(CFD_L500!$AC$9:$AC$108)),"",IFERROR(MATCH($A23,INDEX(CFD_L500!$AC$9:$AC$108,1):INDEX(CFD_L500!$AC$9:$AC$108,COUNT(CFD_L500!$AC$9:$AC$108)),1),""))</f>
        <v/>
      </c>
    </row>
    <row r="24" spans="1:13" x14ac:dyDescent="0.25">
      <c r="A24" s="9">
        <v>9.5</v>
      </c>
      <c r="B24" s="13">
        <f>IF(I24="","",IFERROR(EXP(LN(INDEX(CFD_L500!$B$1:$B$130,8+I24))+(LN($A24)-LN(INDEX(CFD_L500!$A$1:$A$130,8+I24)))*(LN(INDEX(CFD_L500!$B$1:$B$130,9+I24))-LN(INDEX(CFD_L500!$B$1:$B$130,8+I24)))/(LN(INDEX(CFD_L500!$A$1:$A$130,9+I24))-LN(INDEX(CFD_L500!$A$1:$A$130,8+I24))))/CFD_L500!$B$4,""))</f>
        <v>3.4946418244840474E-2</v>
      </c>
      <c r="C24" s="13">
        <f>IF(J24="","",IFERROR(EXP(LN(INDEX(CFD_L500!$I$1:$I$130,8+J24))+(LN($A24)-LN(INDEX(CFD_L500!$H$1:$H$130,8+J24)))*(LN(INDEX(CFD_L500!$I$1:$I$130,9+J24))-LN(INDEX(CFD_L500!$I$1:$I$130,8+J24)))/(LN(INDEX(CFD_L500!$H$1:$H$130,9+J24))-LN(INDEX(CFD_L500!$H$1:$H$130,8+J24))))/CFD_L500!$I$4,""))</f>
        <v>3.3535706982821246E-2</v>
      </c>
      <c r="D24" s="13">
        <f>IF(K24="","",IFERROR(EXP(LN(INDEX(CFD_L500!$P$1:$P$130,8+K24))+(LN($A24)-LN(INDEX(CFD_L500!$O$1:$O$130,8+K24)))*(LN(INDEX(CFD_L500!$P$1:$P$130,9+K24))-LN(INDEX(CFD_L500!$P$1:$P$130,8+K24)))/(LN(INDEX(CFD_L500!$O$1:$O$130,9+K24))-LN(INDEX(CFD_L500!$O$1:$O$130,8+K24))))/CFD_L500!$P$4,""))</f>
        <v>3.0910567250074954E-2</v>
      </c>
      <c r="E24" s="13" t="str">
        <f>IF(L24="","",IFERROR(EXP(LN(INDEX(CFD_L500!$W$1:$W$130,8+L24))+(LN($A24)-LN(INDEX(CFD_L500!$V$1:$V$130,8+L24)))*(LN(INDEX(CFD_L500!$W$1:$W$130,9+L24))-LN(INDEX(CFD_L500!$W$1:$W$130,8+L24)))/(LN(INDEX(CFD_L500!$V$1:$V$130,9+L24))-LN(INDEX(CFD_L500!$V$1:$V$130,8+L24))))/CFD_L500!$W$4,""))</f>
        <v/>
      </c>
      <c r="F24" s="13" t="str">
        <f>IF(M24="","",IFERROR(EXP(LN(INDEX(CFD_L500!$AD$1:$AD$130,8+M24))+(LN($A24)-LN(INDEX(CFD_L500!$AC$1:$AC$130,8+M24)))*(LN(INDEX(CFD_L500!$AD$1:$AD$130,9+M24))-LN(INDEX(CFD_L500!$AD$1:$AD$130,8+M24)))/(LN(INDEX(CFD_L500!$AC$1:$AC$130,9+M24))-LN(INDEX(CFD_L500!$AC$1:$AC$130,8+M24))))/CFD_L500!$AD$4,""))</f>
        <v/>
      </c>
      <c r="G24" s="25">
        <f t="shared" si="0"/>
        <v>3.3130897492578894E-2</v>
      </c>
      <c r="H24" s="38">
        <f t="shared" si="1"/>
        <v>0.12181532346564185</v>
      </c>
      <c r="I24" s="18">
        <f>IF(OR(CFD_L500!$B$3="",$A24&gt;MAX(CFD_L500!$A$9:$A$108)),"",IFERROR(MATCH($A24,INDEX(CFD_L500!$A$9:$A$108,1):INDEX(CFD_L500!$A$9:$A$108,COUNT(CFD_L500!$A$9:$A$108)),1),""))</f>
        <v>19</v>
      </c>
      <c r="J24" s="18">
        <f>IF(OR(CFD_L500!$I$3="",$A24&gt;MAX(CFD_L500!$H$9:$H$108)),"",IFERROR(MATCH($A24,INDEX(CFD_L500!$H$9:$H$108,1):INDEX(CFD_L500!$H$9:$H$108,COUNT(CFD_L500!$H$9:$H$108)),1),""))</f>
        <v>20</v>
      </c>
      <c r="K24" s="18">
        <f>IF(OR(CFD_L500!$P$3="",$A24&gt;MAX(CFD_L500!$O$9:$O$108)),"",IFERROR(MATCH($A24,INDEX(CFD_L500!$O$9:$O$108,1):INDEX(CFD_L500!$O$9:$O$108,COUNT(CFD_L500!$O$9:$O$108)),1),""))</f>
        <v>21</v>
      </c>
      <c r="L24" s="18" t="str">
        <f>IF(OR(CFD_L500!$W$3="",$A24&gt;MAX(CFD_L500!$V$9:$V$108)),"",IFERROR(MATCH($A24,INDEX(CFD_L500!$V$9:$V$108,1):INDEX(CFD_L500!$V$9:$V$108,COUNT(CFD_L500!$V$9:$V$108)),1),""))</f>
        <v/>
      </c>
      <c r="M24" s="18" t="str">
        <f>IF(OR(CFD_L500!$AD$3="",$A24&gt;MAX(CFD_L500!$AC$9:$AC$108)),"",IFERROR(MATCH($A24,INDEX(CFD_L500!$AC$9:$AC$108,1):INDEX(CFD_L500!$AC$9:$AC$108,COUNT(CFD_L500!$AC$9:$AC$108)),1),""))</f>
        <v/>
      </c>
    </row>
    <row r="28" spans="1:13" ht="25.5" customHeight="1" x14ac:dyDescent="0.25">
      <c r="A28" s="39" t="s">
        <v>184</v>
      </c>
      <c r="B28" s="40"/>
      <c r="C28" s="40"/>
      <c r="D28" s="40"/>
      <c r="E28" s="40"/>
      <c r="F28" s="40"/>
      <c r="G28" s="40"/>
      <c r="H28" s="40"/>
    </row>
    <row r="29" spans="1:13" ht="31.5" customHeight="1" x14ac:dyDescent="0.25">
      <c r="A29" s="4" t="s">
        <v>176</v>
      </c>
      <c r="B29" s="4" t="str">
        <f>IF(CFD_L1000!B3="","Q1","vₓ/v₀ (Q="&amp;CFD_L1000!B3&amp;")")</f>
        <v>vₓ/v₀ (Q=80)</v>
      </c>
      <c r="C29" s="4" t="str">
        <f>IF(CFD_L1000!I3="","Q2","vₓ/v₀ (Q="&amp;CFD_L1000!I3&amp;")")</f>
        <v>vₓ/v₀ (Q=150)</v>
      </c>
      <c r="D29" s="4" t="str">
        <f>IF(CFD_L1000!P3="","Q3","vₓ/v₀ (Q="&amp;CFD_L1000!P3&amp;")")</f>
        <v>vₓ/v₀ (Q=250)</v>
      </c>
      <c r="E29" s="4" t="str">
        <f>IF(CFD_L1000!W3="","Q4","vₓ/v₀ (Q="&amp;CFD_L1000!W3&amp;")")</f>
        <v>Q4</v>
      </c>
      <c r="F29" s="4" t="str">
        <f>IF(CFD_L1000!AD3="","Q5","vₓ/v₀ (Q="&amp;CFD_L1000!AD3&amp;")")</f>
        <v>Q5</v>
      </c>
      <c r="G29" s="4" t="s">
        <v>177</v>
      </c>
      <c r="H29" s="4" t="s">
        <v>178</v>
      </c>
      <c r="I29" s="4" t="s">
        <v>179</v>
      </c>
      <c r="J29" s="4" t="s">
        <v>180</v>
      </c>
      <c r="K29" s="4" t="s">
        <v>181</v>
      </c>
      <c r="L29" s="4" t="s">
        <v>182</v>
      </c>
      <c r="M29" s="4" t="s">
        <v>183</v>
      </c>
    </row>
    <row r="30" spans="1:13" x14ac:dyDescent="0.25">
      <c r="A30" s="9">
        <v>0.5</v>
      </c>
      <c r="B30" s="13">
        <f>IF(I30="","",IFERROR(EXP(LN(INDEX(CFD_L1000!$B$1:$B$130,8+I30))+(LN($A30)-LN(INDEX(CFD_L1000!$A$1:$A$130,8+I30)))*(LN(INDEX(CFD_L1000!$B$1:$B$130,9+I30))-LN(INDEX(CFD_L1000!$B$1:$B$130,8+I30)))/(LN(INDEX(CFD_L1000!$A$1:$A$130,9+I30))-LN(INDEX(CFD_L1000!$A$1:$A$130,8+I30))))/CFD_L1000!$B$4,""))</f>
        <v>0.22489739869657568</v>
      </c>
      <c r="C30" s="13">
        <f>IF(J30="","",IFERROR(EXP(LN(INDEX(CFD_L1000!$I$1:$I$130,8+J30))+(LN($A30)-LN(INDEX(CFD_L1000!$H$1:$H$130,8+J30)))*(LN(INDEX(CFD_L1000!$I$1:$I$130,9+J30))-LN(INDEX(CFD_L1000!$I$1:$I$130,8+J30)))/(LN(INDEX(CFD_L1000!$H$1:$H$130,9+J30))-LN(INDEX(CFD_L1000!$H$1:$H$130,8+J30))))/CFD_L1000!$I$4,""))</f>
        <v>0.21841886307617672</v>
      </c>
      <c r="D30" s="13">
        <f>IF(K30="","",IFERROR(EXP(LN(INDEX(CFD_L1000!$P$1:$P$130,8+K30))+(LN($A30)-LN(INDEX(CFD_L1000!$O$1:$O$130,8+K30)))*(LN(INDEX(CFD_L1000!$P$1:$P$130,9+K30))-LN(INDEX(CFD_L1000!$P$1:$P$130,8+K30)))/(LN(INDEX(CFD_L1000!$O$1:$O$130,9+K30))-LN(INDEX(CFD_L1000!$O$1:$O$130,8+K30))))/CFD_L1000!$P$4,""))</f>
        <v>0.21550402378185382</v>
      </c>
      <c r="E30" s="13" t="str">
        <f>IF(L30="","",IFERROR(EXP(LN(INDEX(CFD_L1000!$W$1:$W$130,8+L30))+(LN($A30)-LN(INDEX(CFD_L1000!$V$1:$V$130,8+L30)))*(LN(INDEX(CFD_L1000!$W$1:$W$130,9+L30))-LN(INDEX(CFD_L1000!$W$1:$W$130,8+L30)))/(LN(INDEX(CFD_L1000!$V$1:$V$130,9+L30))-LN(INDEX(CFD_L1000!$V$1:$V$130,8+L30))))/CFD_L1000!$W$4,""))</f>
        <v/>
      </c>
      <c r="F30" s="13" t="str">
        <f>IF(M30="","",IFERROR(EXP(LN(INDEX(CFD_L1000!$AD$1:$AD$130,8+M30))+(LN($A30)-LN(INDEX(CFD_L1000!$AC$1:$AC$130,8+M30)))*(LN(INDEX(CFD_L1000!$AD$1:$AD$130,9+M30))-LN(INDEX(CFD_L1000!$AD$1:$AD$130,8+M30)))/(LN(INDEX(CFD_L1000!$AC$1:$AC$130,9+M30))-LN(INDEX(CFD_L1000!$AC$1:$AC$130,8+M30))))/CFD_L1000!$AD$4,""))</f>
        <v/>
      </c>
      <c r="G30" s="25">
        <f t="shared" ref="G30:G48" si="2">IFERROR(AVERAGE(B30:F30),"")</f>
        <v>0.21960676185153541</v>
      </c>
      <c r="H30" s="38">
        <f t="shared" ref="H30:H48" si="3">IFERROR((MAX(B30:F30)-MIN(B30:F30))/G30,"")</f>
        <v>4.2773614234484413E-2</v>
      </c>
      <c r="I30" s="18">
        <f>IF(OR(CFD_L1000!$B$3="",$A30&gt;MAX(CFD_L1000!$A$9:$A$108)),"",IFERROR(MATCH($A30,INDEX(CFD_L1000!$A$9:$A$108,1):INDEX(CFD_L1000!$A$9:$A$108,COUNT(CFD_L1000!$A$9:$A$108)),1),""))</f>
        <v>16</v>
      </c>
      <c r="J30" s="18">
        <f>IF(OR(CFD_L1000!$I$3="",$A30&gt;MAX(CFD_L1000!$H$9:$H$108)),"",IFERROR(MATCH($A30,INDEX(CFD_L1000!$H$9:$H$108,1):INDEX(CFD_L1000!$H$9:$H$108,COUNT(CFD_L1000!$H$9:$H$108)),1),""))</f>
        <v>16</v>
      </c>
      <c r="K30" s="18">
        <f>IF(OR(CFD_L1000!$P$3="",$A30&gt;MAX(CFD_L1000!$O$9:$O$108)),"",IFERROR(MATCH($A30,INDEX(CFD_L1000!$O$9:$O$108,1):INDEX(CFD_L1000!$O$9:$O$108,COUNT(CFD_L1000!$O$9:$O$108)),1),""))</f>
        <v>17</v>
      </c>
      <c r="L30" s="18" t="str">
        <f>IF(OR(CFD_L1000!$W$3="",$A30&gt;MAX(CFD_L1000!$V$9:$V$108)),"",IFERROR(MATCH($A30,INDEX(CFD_L1000!$V$9:$V$108,1):INDEX(CFD_L1000!$V$9:$V$108,COUNT(CFD_L1000!$V$9:$V$108)),1),""))</f>
        <v/>
      </c>
      <c r="M30" s="18" t="str">
        <f>IF(OR(CFD_L1000!$AD$3="",$A30&gt;MAX(CFD_L1000!$AC$9:$AC$108)),"",IFERROR(MATCH($A30,INDEX(CFD_L1000!$AC$9:$AC$108,1):INDEX(CFD_L1000!$AC$9:$AC$108,COUNT(CFD_L1000!$AC$9:$AC$108)),1),""))</f>
        <v/>
      </c>
    </row>
    <row r="31" spans="1:13" x14ac:dyDescent="0.25">
      <c r="A31" s="9">
        <v>1</v>
      </c>
      <c r="B31" s="13">
        <f>IF(I31="","",IFERROR(EXP(LN(INDEX(CFD_L1000!$B$1:$B$130,8+I31))+(LN($A31)-LN(INDEX(CFD_L1000!$A$1:$A$130,8+I31)))*(LN(INDEX(CFD_L1000!$B$1:$B$130,9+I31))-LN(INDEX(CFD_L1000!$B$1:$B$130,8+I31)))/(LN(INDEX(CFD_L1000!$A$1:$A$130,9+I31))-LN(INDEX(CFD_L1000!$A$1:$A$130,8+I31))))/CFD_L1000!$B$4,""))</f>
        <v>0.21736970423031604</v>
      </c>
      <c r="C31" s="13">
        <f>IF(J31="","",IFERROR(EXP(LN(INDEX(CFD_L1000!$I$1:$I$130,8+J31))+(LN($A31)-LN(INDEX(CFD_L1000!$H$1:$H$130,8+J31)))*(LN(INDEX(CFD_L1000!$I$1:$I$130,9+J31))-LN(INDEX(CFD_L1000!$I$1:$I$130,8+J31)))/(LN(INDEX(CFD_L1000!$H$1:$H$130,9+J31))-LN(INDEX(CFD_L1000!$H$1:$H$130,8+J31))))/CFD_L1000!$I$4,""))</f>
        <v>0.21522144849703886</v>
      </c>
      <c r="D31" s="13">
        <f>IF(K31="","",IFERROR(EXP(LN(INDEX(CFD_L1000!$P$1:$P$130,8+K31))+(LN($A31)-LN(INDEX(CFD_L1000!$O$1:$O$130,8+K31)))*(LN(INDEX(CFD_L1000!$P$1:$P$130,9+K31))-LN(INDEX(CFD_L1000!$P$1:$P$130,8+K31)))/(LN(INDEX(CFD_L1000!$O$1:$O$130,9+K31))-LN(INDEX(CFD_L1000!$O$1:$O$130,8+K31))))/CFD_L1000!$P$4,""))</f>
        <v>0.21465147410494856</v>
      </c>
      <c r="E31" s="13" t="str">
        <f>IF(L31="","",IFERROR(EXP(LN(INDEX(CFD_L1000!$W$1:$W$130,8+L31))+(LN($A31)-LN(INDEX(CFD_L1000!$V$1:$V$130,8+L31)))*(LN(INDEX(CFD_L1000!$W$1:$W$130,9+L31))-LN(INDEX(CFD_L1000!$W$1:$W$130,8+L31)))/(LN(INDEX(CFD_L1000!$V$1:$V$130,9+L31))-LN(INDEX(CFD_L1000!$V$1:$V$130,8+L31))))/CFD_L1000!$W$4,""))</f>
        <v/>
      </c>
      <c r="F31" s="13" t="str">
        <f>IF(M31="","",IFERROR(EXP(LN(INDEX(CFD_L1000!$AD$1:$AD$130,8+M31))+(LN($A31)-LN(INDEX(CFD_L1000!$AC$1:$AC$130,8+M31)))*(LN(INDEX(CFD_L1000!$AD$1:$AD$130,9+M31))-LN(INDEX(CFD_L1000!$AD$1:$AD$130,8+M31)))/(LN(INDEX(CFD_L1000!$AC$1:$AC$130,9+M31))-LN(INDEX(CFD_L1000!$AC$1:$AC$130,8+M31))))/CFD_L1000!$AD$4,""))</f>
        <v/>
      </c>
      <c r="G31" s="25">
        <f t="shared" si="2"/>
        <v>0.21574754227743451</v>
      </c>
      <c r="H31" s="38">
        <f t="shared" si="3"/>
        <v>1.2599124405653949E-2</v>
      </c>
      <c r="I31" s="18">
        <f>IF(OR(CFD_L1000!$B$3="",$A31&gt;MAX(CFD_L1000!$A$9:$A$108)),"",IFERROR(MATCH($A31,INDEX(CFD_L1000!$A$9:$A$108,1):INDEX(CFD_L1000!$A$9:$A$108,COUNT(CFD_L1000!$A$9:$A$108)),1),""))</f>
        <v>18</v>
      </c>
      <c r="J31" s="18">
        <f>IF(OR(CFD_L1000!$I$3="",$A31&gt;MAX(CFD_L1000!$H$9:$H$108)),"",IFERROR(MATCH($A31,INDEX(CFD_L1000!$H$9:$H$108,1):INDEX(CFD_L1000!$H$9:$H$108,COUNT(CFD_L1000!$H$9:$H$108)),1),""))</f>
        <v>18</v>
      </c>
      <c r="K31" s="18">
        <f>IF(OR(CFD_L1000!$P$3="",$A31&gt;MAX(CFD_L1000!$O$9:$O$108)),"",IFERROR(MATCH($A31,INDEX(CFD_L1000!$O$9:$O$108,1):INDEX(CFD_L1000!$O$9:$O$108,COUNT(CFD_L1000!$O$9:$O$108)),1),""))</f>
        <v>19</v>
      </c>
      <c r="L31" s="18" t="str">
        <f>IF(OR(CFD_L1000!$W$3="",$A31&gt;MAX(CFD_L1000!$V$9:$V$108)),"",IFERROR(MATCH($A31,INDEX(CFD_L1000!$V$9:$V$108,1):INDEX(CFD_L1000!$V$9:$V$108,COUNT(CFD_L1000!$V$9:$V$108)),1),""))</f>
        <v/>
      </c>
      <c r="M31" s="18" t="str">
        <f>IF(OR(CFD_L1000!$AD$3="",$A31&gt;MAX(CFD_L1000!$AC$9:$AC$108)),"",IFERROR(MATCH($A31,INDEX(CFD_L1000!$AC$9:$AC$108,1):INDEX(CFD_L1000!$AC$9:$AC$108,COUNT(CFD_L1000!$AC$9:$AC$108)),1),""))</f>
        <v/>
      </c>
    </row>
    <row r="32" spans="1:13" x14ac:dyDescent="0.25">
      <c r="A32" s="9">
        <v>1.5</v>
      </c>
      <c r="B32" s="13">
        <f>IF(I32="","",IFERROR(EXP(LN(INDEX(CFD_L1000!$B$1:$B$130,8+I32))+(LN($A32)-LN(INDEX(CFD_L1000!$A$1:$A$130,8+I32)))*(LN(INDEX(CFD_L1000!$B$1:$B$130,9+I32))-LN(INDEX(CFD_L1000!$B$1:$B$130,8+I32)))/(LN(INDEX(CFD_L1000!$A$1:$A$130,9+I32))-LN(INDEX(CFD_L1000!$A$1:$A$130,8+I32))))/CFD_L1000!$B$4,""))</f>
        <v>0.21541517702539209</v>
      </c>
      <c r="C32" s="13">
        <f>IF(J32="","",IFERROR(EXP(LN(INDEX(CFD_L1000!$I$1:$I$130,8+J32))+(LN($A32)-LN(INDEX(CFD_L1000!$H$1:$H$130,8+J32)))*(LN(INDEX(CFD_L1000!$I$1:$I$130,9+J32))-LN(INDEX(CFD_L1000!$I$1:$I$130,8+J32)))/(LN(INDEX(CFD_L1000!$H$1:$H$130,9+J32))-LN(INDEX(CFD_L1000!$H$1:$H$130,8+J32))))/CFD_L1000!$I$4,""))</f>
        <v>0.21582414732980199</v>
      </c>
      <c r="D32" s="13">
        <f>IF(K32="","",IFERROR(EXP(LN(INDEX(CFD_L1000!$P$1:$P$130,8+K32))+(LN($A32)-LN(INDEX(CFD_L1000!$O$1:$O$130,8+K32)))*(LN(INDEX(CFD_L1000!$P$1:$P$130,9+K32))-LN(INDEX(CFD_L1000!$P$1:$P$130,8+K32)))/(LN(INDEX(CFD_L1000!$O$1:$O$130,9+K32))-LN(INDEX(CFD_L1000!$O$1:$O$130,8+K32))))/CFD_L1000!$P$4,""))</f>
        <v>0.21764156792446282</v>
      </c>
      <c r="E32" s="13" t="str">
        <f>IF(L32="","",IFERROR(EXP(LN(INDEX(CFD_L1000!$W$1:$W$130,8+L32))+(LN($A32)-LN(INDEX(CFD_L1000!$V$1:$V$130,8+L32)))*(LN(INDEX(CFD_L1000!$W$1:$W$130,9+L32))-LN(INDEX(CFD_L1000!$W$1:$W$130,8+L32)))/(LN(INDEX(CFD_L1000!$V$1:$V$130,9+L32))-LN(INDEX(CFD_L1000!$V$1:$V$130,8+L32))))/CFD_L1000!$W$4,""))</f>
        <v/>
      </c>
      <c r="F32" s="13" t="str">
        <f>IF(M32="","",IFERROR(EXP(LN(INDEX(CFD_L1000!$AD$1:$AD$130,8+M32))+(LN($A32)-LN(INDEX(CFD_L1000!$AC$1:$AC$130,8+M32)))*(LN(INDEX(CFD_L1000!$AD$1:$AD$130,9+M32))-LN(INDEX(CFD_L1000!$AD$1:$AD$130,8+M32)))/(LN(INDEX(CFD_L1000!$AC$1:$AC$130,9+M32))-LN(INDEX(CFD_L1000!$AC$1:$AC$130,8+M32))))/CFD_L1000!$AD$4,""))</f>
        <v/>
      </c>
      <c r="G32" s="25">
        <f t="shared" si="2"/>
        <v>0.21629363075988564</v>
      </c>
      <c r="H32" s="38">
        <f t="shared" si="3"/>
        <v>1.0293372445822577E-2</v>
      </c>
      <c r="I32" s="18">
        <f>IF(OR(CFD_L1000!$B$3="",$A32&gt;MAX(CFD_L1000!$A$9:$A$108)),"",IFERROR(MATCH($A32,INDEX(CFD_L1000!$A$9:$A$108,1):INDEX(CFD_L1000!$A$9:$A$108,COUNT(CFD_L1000!$A$9:$A$108)),1),""))</f>
        <v>18</v>
      </c>
      <c r="J32" s="18">
        <f>IF(OR(CFD_L1000!$I$3="",$A32&gt;MAX(CFD_L1000!$H$9:$H$108)),"",IFERROR(MATCH($A32,INDEX(CFD_L1000!$H$9:$H$108,1):INDEX(CFD_L1000!$H$9:$H$108,COUNT(CFD_L1000!$H$9:$H$108)),1),""))</f>
        <v>20</v>
      </c>
      <c r="K32" s="18">
        <f>IF(OR(CFD_L1000!$P$3="",$A32&gt;MAX(CFD_L1000!$O$9:$O$108)),"",IFERROR(MATCH($A32,INDEX(CFD_L1000!$O$9:$O$108,1):INDEX(CFD_L1000!$O$9:$O$108,COUNT(CFD_L1000!$O$9:$O$108)),1),""))</f>
        <v>20</v>
      </c>
      <c r="L32" s="18" t="str">
        <f>IF(OR(CFD_L1000!$W$3="",$A32&gt;MAX(CFD_L1000!$V$9:$V$108)),"",IFERROR(MATCH($A32,INDEX(CFD_L1000!$V$9:$V$108,1):INDEX(CFD_L1000!$V$9:$V$108,COUNT(CFD_L1000!$V$9:$V$108)),1),""))</f>
        <v/>
      </c>
      <c r="M32" s="18" t="str">
        <f>IF(OR(CFD_L1000!$AD$3="",$A32&gt;MAX(CFD_L1000!$AC$9:$AC$108)),"",IFERROR(MATCH($A32,INDEX(CFD_L1000!$AC$9:$AC$108,1):INDEX(CFD_L1000!$AC$9:$AC$108,COUNT(CFD_L1000!$AC$9:$AC$108)),1),""))</f>
        <v/>
      </c>
    </row>
    <row r="33" spans="1:13" x14ac:dyDescent="0.25">
      <c r="A33" s="9">
        <v>2</v>
      </c>
      <c r="B33" s="13">
        <f>IF(I33="","",IFERROR(EXP(LN(INDEX(CFD_L1000!$B$1:$B$130,8+I33))+(LN($A33)-LN(INDEX(CFD_L1000!$A$1:$A$130,8+I33)))*(LN(INDEX(CFD_L1000!$B$1:$B$130,9+I33))-LN(INDEX(CFD_L1000!$B$1:$B$130,8+I33)))/(LN(INDEX(CFD_L1000!$A$1:$A$130,9+I33))-LN(INDEX(CFD_L1000!$A$1:$A$130,8+I33))))/CFD_L1000!$B$4,""))</f>
        <v>0.21257251526236776</v>
      </c>
      <c r="C33" s="13">
        <f>IF(J33="","",IFERROR(EXP(LN(INDEX(CFD_L1000!$I$1:$I$130,8+J33))+(LN($A33)-LN(INDEX(CFD_L1000!$H$1:$H$130,8+J33)))*(LN(INDEX(CFD_L1000!$I$1:$I$130,9+J33))-LN(INDEX(CFD_L1000!$I$1:$I$130,8+J33)))/(LN(INDEX(CFD_L1000!$H$1:$H$130,9+J33))-LN(INDEX(CFD_L1000!$H$1:$H$130,8+J33))))/CFD_L1000!$I$4,""))</f>
        <v>0.21272277359509723</v>
      </c>
      <c r="D33" s="13">
        <f>IF(K33="","",IFERROR(EXP(LN(INDEX(CFD_L1000!$P$1:$P$130,8+K33))+(LN($A33)-LN(INDEX(CFD_L1000!$O$1:$O$130,8+K33)))*(LN(INDEX(CFD_L1000!$P$1:$P$130,9+K33))-LN(INDEX(CFD_L1000!$P$1:$P$130,8+K33)))/(LN(INDEX(CFD_L1000!$O$1:$O$130,9+K33))-LN(INDEX(CFD_L1000!$O$1:$O$130,8+K33))))/CFD_L1000!$P$4,""))</f>
        <v>0.21429740163530339</v>
      </c>
      <c r="E33" s="13" t="str">
        <f>IF(L33="","",IFERROR(EXP(LN(INDEX(CFD_L1000!$W$1:$W$130,8+L33))+(LN($A33)-LN(INDEX(CFD_L1000!$V$1:$V$130,8+L33)))*(LN(INDEX(CFD_L1000!$W$1:$W$130,9+L33))-LN(INDEX(CFD_L1000!$W$1:$W$130,8+L33)))/(LN(INDEX(CFD_L1000!$V$1:$V$130,9+L33))-LN(INDEX(CFD_L1000!$V$1:$V$130,8+L33))))/CFD_L1000!$W$4,""))</f>
        <v/>
      </c>
      <c r="F33" s="13" t="str">
        <f>IF(M33="","",IFERROR(EXP(LN(INDEX(CFD_L1000!$AD$1:$AD$130,8+M33))+(LN($A33)-LN(INDEX(CFD_L1000!$AC$1:$AC$130,8+M33)))*(LN(INDEX(CFD_L1000!$AD$1:$AD$130,9+M33))-LN(INDEX(CFD_L1000!$AD$1:$AD$130,8+M33)))/(LN(INDEX(CFD_L1000!$AC$1:$AC$130,9+M33))-LN(INDEX(CFD_L1000!$AC$1:$AC$130,8+M33))))/CFD_L1000!$AD$4,""))</f>
        <v/>
      </c>
      <c r="G33" s="25">
        <f t="shared" si="2"/>
        <v>0.21319756349758945</v>
      </c>
      <c r="H33" s="38">
        <f t="shared" si="3"/>
        <v>8.0905538723717082E-3</v>
      </c>
      <c r="I33" s="18">
        <f>IF(OR(CFD_L1000!$B$3="",$A33&gt;MAX(CFD_L1000!$A$9:$A$108)),"",IFERROR(MATCH($A33,INDEX(CFD_L1000!$A$9:$A$108,1):INDEX(CFD_L1000!$A$9:$A$108,COUNT(CFD_L1000!$A$9:$A$108)),1),""))</f>
        <v>19</v>
      </c>
      <c r="J33" s="18">
        <f>IF(OR(CFD_L1000!$I$3="",$A33&gt;MAX(CFD_L1000!$H$9:$H$108)),"",IFERROR(MATCH($A33,INDEX(CFD_L1000!$H$9:$H$108,1):INDEX(CFD_L1000!$H$9:$H$108,COUNT(CFD_L1000!$H$9:$H$108)),1),""))</f>
        <v>20</v>
      </c>
      <c r="K33" s="18">
        <f>IF(OR(CFD_L1000!$P$3="",$A33&gt;MAX(CFD_L1000!$O$9:$O$108)),"",IFERROR(MATCH($A33,INDEX(CFD_L1000!$O$9:$O$108,1):INDEX(CFD_L1000!$O$9:$O$108,COUNT(CFD_L1000!$O$9:$O$108)),1),""))</f>
        <v>21</v>
      </c>
      <c r="L33" s="18" t="str">
        <f>IF(OR(CFD_L1000!$W$3="",$A33&gt;MAX(CFD_L1000!$V$9:$V$108)),"",IFERROR(MATCH($A33,INDEX(CFD_L1000!$V$9:$V$108,1):INDEX(CFD_L1000!$V$9:$V$108,COUNT(CFD_L1000!$V$9:$V$108)),1),""))</f>
        <v/>
      </c>
      <c r="M33" s="18" t="str">
        <f>IF(OR(CFD_L1000!$AD$3="",$A33&gt;MAX(CFD_L1000!$AC$9:$AC$108)),"",IFERROR(MATCH($A33,INDEX(CFD_L1000!$AC$9:$AC$108,1):INDEX(CFD_L1000!$AC$9:$AC$108,COUNT(CFD_L1000!$AC$9:$AC$108)),1),""))</f>
        <v/>
      </c>
    </row>
    <row r="34" spans="1:13" x14ac:dyDescent="0.25">
      <c r="A34" s="9">
        <v>2.5</v>
      </c>
      <c r="B34" s="13">
        <f>IF(I34="","",IFERROR(EXP(LN(INDEX(CFD_L1000!$B$1:$B$130,8+I34))+(LN($A34)-LN(INDEX(CFD_L1000!$A$1:$A$130,8+I34)))*(LN(INDEX(CFD_L1000!$B$1:$B$130,9+I34))-LN(INDEX(CFD_L1000!$B$1:$B$130,8+I34)))/(LN(INDEX(CFD_L1000!$A$1:$A$130,9+I34))-LN(INDEX(CFD_L1000!$A$1:$A$130,8+I34))))/CFD_L1000!$B$4,""))</f>
        <v>0.20554979743825824</v>
      </c>
      <c r="C34" s="13">
        <f>IF(J34="","",IFERROR(EXP(LN(INDEX(CFD_L1000!$I$1:$I$130,8+J34))+(LN($A34)-LN(INDEX(CFD_L1000!$H$1:$H$130,8+J34)))*(LN(INDEX(CFD_L1000!$I$1:$I$130,9+J34))-LN(INDEX(CFD_L1000!$I$1:$I$130,8+J34)))/(LN(INDEX(CFD_L1000!$H$1:$H$130,9+J34))-LN(INDEX(CFD_L1000!$H$1:$H$130,8+J34))))/CFD_L1000!$I$4,""))</f>
        <v>0.20557183230135176</v>
      </c>
      <c r="D34" s="13">
        <f>IF(K34="","",IFERROR(EXP(LN(INDEX(CFD_L1000!$P$1:$P$130,8+K34))+(LN($A34)-LN(INDEX(CFD_L1000!$O$1:$O$130,8+K34)))*(LN(INDEX(CFD_L1000!$P$1:$P$130,9+K34))-LN(INDEX(CFD_L1000!$P$1:$P$130,8+K34)))/(LN(INDEX(CFD_L1000!$O$1:$O$130,9+K34))-LN(INDEX(CFD_L1000!$O$1:$O$130,8+K34))))/CFD_L1000!$P$4,""))</f>
        <v>0.20790447629103773</v>
      </c>
      <c r="E34" s="13" t="str">
        <f>IF(L34="","",IFERROR(EXP(LN(INDEX(CFD_L1000!$W$1:$W$130,8+L34))+(LN($A34)-LN(INDEX(CFD_L1000!$V$1:$V$130,8+L34)))*(LN(INDEX(CFD_L1000!$W$1:$W$130,9+L34))-LN(INDEX(CFD_L1000!$W$1:$W$130,8+L34)))/(LN(INDEX(CFD_L1000!$V$1:$V$130,9+L34))-LN(INDEX(CFD_L1000!$V$1:$V$130,8+L34))))/CFD_L1000!$W$4,""))</f>
        <v/>
      </c>
      <c r="F34" s="13" t="str">
        <f>IF(M34="","",IFERROR(EXP(LN(INDEX(CFD_L1000!$AD$1:$AD$130,8+M34))+(LN($A34)-LN(INDEX(CFD_L1000!$AC$1:$AC$130,8+M34)))*(LN(INDEX(CFD_L1000!$AD$1:$AD$130,9+M34))-LN(INDEX(CFD_L1000!$AD$1:$AD$130,8+M34)))/(LN(INDEX(CFD_L1000!$AC$1:$AC$130,9+M34))-LN(INDEX(CFD_L1000!$AC$1:$AC$130,8+M34))))/CFD_L1000!$AD$4,""))</f>
        <v/>
      </c>
      <c r="G34" s="25">
        <f t="shared" si="2"/>
        <v>0.20634203534354922</v>
      </c>
      <c r="H34" s="38">
        <f t="shared" si="3"/>
        <v>1.1411532550113028E-2</v>
      </c>
      <c r="I34" s="18">
        <f>IF(OR(CFD_L1000!$B$3="",$A34&gt;MAX(CFD_L1000!$A$9:$A$108)),"",IFERROR(MATCH($A34,INDEX(CFD_L1000!$A$9:$A$108,1):INDEX(CFD_L1000!$A$9:$A$108,COUNT(CFD_L1000!$A$9:$A$108)),1),""))</f>
        <v>19</v>
      </c>
      <c r="J34" s="18">
        <f>IF(OR(CFD_L1000!$I$3="",$A34&gt;MAX(CFD_L1000!$H$9:$H$108)),"",IFERROR(MATCH($A34,INDEX(CFD_L1000!$H$9:$H$108,1):INDEX(CFD_L1000!$H$9:$H$108,COUNT(CFD_L1000!$H$9:$H$108)),1),""))</f>
        <v>21</v>
      </c>
      <c r="K34" s="18">
        <f>IF(OR(CFD_L1000!$P$3="",$A34&gt;MAX(CFD_L1000!$O$9:$O$108)),"",IFERROR(MATCH($A34,INDEX(CFD_L1000!$O$9:$O$108,1):INDEX(CFD_L1000!$O$9:$O$108,COUNT(CFD_L1000!$O$9:$O$108)),1),""))</f>
        <v>22</v>
      </c>
      <c r="L34" s="18" t="str">
        <f>IF(OR(CFD_L1000!$W$3="",$A34&gt;MAX(CFD_L1000!$V$9:$V$108)),"",IFERROR(MATCH($A34,INDEX(CFD_L1000!$V$9:$V$108,1):INDEX(CFD_L1000!$V$9:$V$108,COUNT(CFD_L1000!$V$9:$V$108)),1),""))</f>
        <v/>
      </c>
      <c r="M34" s="18" t="str">
        <f>IF(OR(CFD_L1000!$AD$3="",$A34&gt;MAX(CFD_L1000!$AC$9:$AC$108)),"",IFERROR(MATCH($A34,INDEX(CFD_L1000!$AC$9:$AC$108,1):INDEX(CFD_L1000!$AC$9:$AC$108,COUNT(CFD_L1000!$AC$9:$AC$108)),1),""))</f>
        <v/>
      </c>
    </row>
    <row r="35" spans="1:13" x14ac:dyDescent="0.25">
      <c r="A35" s="9">
        <v>3</v>
      </c>
      <c r="B35" s="13">
        <f>IF(I35="","",IFERROR(EXP(LN(INDEX(CFD_L1000!$B$1:$B$130,8+I35))+(LN($A35)-LN(INDEX(CFD_L1000!$A$1:$A$130,8+I35)))*(LN(INDEX(CFD_L1000!$B$1:$B$130,9+I35))-LN(INDEX(CFD_L1000!$B$1:$B$130,8+I35)))/(LN(INDEX(CFD_L1000!$A$1:$A$130,9+I35))-LN(INDEX(CFD_L1000!$A$1:$A$130,8+I35))))/CFD_L1000!$B$4,""))</f>
        <v>0.19392919056532978</v>
      </c>
      <c r="C35" s="13">
        <f>IF(J35="","",IFERROR(EXP(LN(INDEX(CFD_L1000!$I$1:$I$130,8+J35))+(LN($A35)-LN(INDEX(CFD_L1000!$H$1:$H$130,8+J35)))*(LN(INDEX(CFD_L1000!$I$1:$I$130,9+J35))-LN(INDEX(CFD_L1000!$I$1:$I$130,8+J35)))/(LN(INDEX(CFD_L1000!$H$1:$H$130,9+J35))-LN(INDEX(CFD_L1000!$H$1:$H$130,8+J35))))/CFD_L1000!$I$4,""))</f>
        <v>0.19757452497800171</v>
      </c>
      <c r="D35" s="13">
        <f>IF(K35="","",IFERROR(EXP(LN(INDEX(CFD_L1000!$P$1:$P$130,8+K35))+(LN($A35)-LN(INDEX(CFD_L1000!$O$1:$O$130,8+K35)))*(LN(INDEX(CFD_L1000!$P$1:$P$130,9+K35))-LN(INDEX(CFD_L1000!$P$1:$P$130,8+K35)))/(LN(INDEX(CFD_L1000!$O$1:$O$130,9+K35))-LN(INDEX(CFD_L1000!$O$1:$O$130,8+K35))))/CFD_L1000!$P$4,""))</f>
        <v>0.19972681476071705</v>
      </c>
      <c r="E35" s="13" t="str">
        <f>IF(L35="","",IFERROR(EXP(LN(INDEX(CFD_L1000!$W$1:$W$130,8+L35))+(LN($A35)-LN(INDEX(CFD_L1000!$V$1:$V$130,8+L35)))*(LN(INDEX(CFD_L1000!$W$1:$W$130,9+L35))-LN(INDEX(CFD_L1000!$W$1:$W$130,8+L35)))/(LN(INDEX(CFD_L1000!$V$1:$V$130,9+L35))-LN(INDEX(CFD_L1000!$V$1:$V$130,8+L35))))/CFD_L1000!$W$4,""))</f>
        <v/>
      </c>
      <c r="F35" s="13" t="str">
        <f>IF(M35="","",IFERROR(EXP(LN(INDEX(CFD_L1000!$AD$1:$AD$130,8+M35))+(LN($A35)-LN(INDEX(CFD_L1000!$AC$1:$AC$130,8+M35)))*(LN(INDEX(CFD_L1000!$AD$1:$AD$130,9+M35))-LN(INDEX(CFD_L1000!$AD$1:$AD$130,8+M35)))/(LN(INDEX(CFD_L1000!$AC$1:$AC$130,9+M35))-LN(INDEX(CFD_L1000!$AC$1:$AC$130,8+M35))))/CFD_L1000!$AD$4,""))</f>
        <v/>
      </c>
      <c r="G35" s="25">
        <f t="shared" si="2"/>
        <v>0.19707684343468287</v>
      </c>
      <c r="H35" s="38">
        <f t="shared" si="3"/>
        <v>2.9418089382524378E-2</v>
      </c>
      <c r="I35" s="18">
        <f>IF(OR(CFD_L1000!$B$3="",$A35&gt;MAX(CFD_L1000!$A$9:$A$108)),"",IFERROR(MATCH($A35,INDEX(CFD_L1000!$A$9:$A$108,1):INDEX(CFD_L1000!$A$9:$A$108,COUNT(CFD_L1000!$A$9:$A$108)),1),""))</f>
        <v>20</v>
      </c>
      <c r="J35" s="18">
        <f>IF(OR(CFD_L1000!$I$3="",$A35&gt;MAX(CFD_L1000!$H$9:$H$108)),"",IFERROR(MATCH($A35,INDEX(CFD_L1000!$H$9:$H$108,1):INDEX(CFD_L1000!$H$9:$H$108,COUNT(CFD_L1000!$H$9:$H$108)),1),""))</f>
        <v>21</v>
      </c>
      <c r="K35" s="18">
        <f>IF(OR(CFD_L1000!$P$3="",$A35&gt;MAX(CFD_L1000!$O$9:$O$108)),"",IFERROR(MATCH($A35,INDEX(CFD_L1000!$O$9:$O$108,1):INDEX(CFD_L1000!$O$9:$O$108,COUNT(CFD_L1000!$O$9:$O$108)),1),""))</f>
        <v>22</v>
      </c>
      <c r="L35" s="18" t="str">
        <f>IF(OR(CFD_L1000!$W$3="",$A35&gt;MAX(CFD_L1000!$V$9:$V$108)),"",IFERROR(MATCH($A35,INDEX(CFD_L1000!$V$9:$V$108,1):INDEX(CFD_L1000!$V$9:$V$108,COUNT(CFD_L1000!$V$9:$V$108)),1),""))</f>
        <v/>
      </c>
      <c r="M35" s="18" t="str">
        <f>IF(OR(CFD_L1000!$AD$3="",$A35&gt;MAX(CFD_L1000!$AC$9:$AC$108)),"",IFERROR(MATCH($A35,INDEX(CFD_L1000!$AC$9:$AC$108,1):INDEX(CFD_L1000!$AC$9:$AC$108,COUNT(CFD_L1000!$AC$9:$AC$108)),1),""))</f>
        <v/>
      </c>
    </row>
    <row r="36" spans="1:13" x14ac:dyDescent="0.25">
      <c r="A36" s="9">
        <v>3.5</v>
      </c>
      <c r="B36" s="13">
        <f>IF(I36="","",IFERROR(EXP(LN(INDEX(CFD_L1000!$B$1:$B$130,8+I36))+(LN($A36)-LN(INDEX(CFD_L1000!$A$1:$A$130,8+I36)))*(LN(INDEX(CFD_L1000!$B$1:$B$130,9+I36))-LN(INDEX(CFD_L1000!$B$1:$B$130,8+I36)))/(LN(INDEX(CFD_L1000!$A$1:$A$130,9+I36))-LN(INDEX(CFD_L1000!$A$1:$A$130,8+I36))))/CFD_L1000!$B$4,""))</f>
        <v>0.18280584257459023</v>
      </c>
      <c r="C36" s="13">
        <f>IF(J36="","",IFERROR(EXP(LN(INDEX(CFD_L1000!$I$1:$I$130,8+J36))+(LN($A36)-LN(INDEX(CFD_L1000!$H$1:$H$130,8+J36)))*(LN(INDEX(CFD_L1000!$I$1:$I$130,9+J36))-LN(INDEX(CFD_L1000!$I$1:$I$130,8+J36)))/(LN(INDEX(CFD_L1000!$H$1:$H$130,9+J36))-LN(INDEX(CFD_L1000!$H$1:$H$130,8+J36))))/CFD_L1000!$I$4,""))</f>
        <v>0.18285656706578432</v>
      </c>
      <c r="D36" s="13">
        <f>IF(K36="","",IFERROR(EXP(LN(INDEX(CFD_L1000!$P$1:$P$130,8+K36))+(LN($A36)-LN(INDEX(CFD_L1000!$O$1:$O$130,8+K36)))*(LN(INDEX(CFD_L1000!$P$1:$P$130,9+K36))-LN(INDEX(CFD_L1000!$P$1:$P$130,8+K36)))/(LN(INDEX(CFD_L1000!$O$1:$O$130,9+K36))-LN(INDEX(CFD_L1000!$O$1:$O$130,8+K36))))/CFD_L1000!$P$4,""))</f>
        <v>0.18498686825225308</v>
      </c>
      <c r="E36" s="13" t="str">
        <f>IF(L36="","",IFERROR(EXP(LN(INDEX(CFD_L1000!$W$1:$W$130,8+L36))+(LN($A36)-LN(INDEX(CFD_L1000!$V$1:$V$130,8+L36)))*(LN(INDEX(CFD_L1000!$W$1:$W$130,9+L36))-LN(INDEX(CFD_L1000!$W$1:$W$130,8+L36)))/(LN(INDEX(CFD_L1000!$V$1:$V$130,9+L36))-LN(INDEX(CFD_L1000!$V$1:$V$130,8+L36))))/CFD_L1000!$W$4,""))</f>
        <v/>
      </c>
      <c r="F36" s="13" t="str">
        <f>IF(M36="","",IFERROR(EXP(LN(INDEX(CFD_L1000!$AD$1:$AD$130,8+M36))+(LN($A36)-LN(INDEX(CFD_L1000!$AC$1:$AC$130,8+M36)))*(LN(INDEX(CFD_L1000!$AD$1:$AD$130,9+M36))-LN(INDEX(CFD_L1000!$AD$1:$AD$130,8+M36)))/(LN(INDEX(CFD_L1000!$AC$1:$AC$130,9+M36))-LN(INDEX(CFD_L1000!$AC$1:$AC$130,8+M36))))/CFD_L1000!$AD$4,""))</f>
        <v/>
      </c>
      <c r="G36" s="25">
        <f t="shared" si="2"/>
        <v>0.18354975929754255</v>
      </c>
      <c r="H36" s="38">
        <f t="shared" si="3"/>
        <v>1.1882476370493646E-2</v>
      </c>
      <c r="I36" s="18">
        <f>IF(OR(CFD_L1000!$B$3="",$A36&gt;MAX(CFD_L1000!$A$9:$A$108)),"",IFERROR(MATCH($A36,INDEX(CFD_L1000!$A$9:$A$108,1):INDEX(CFD_L1000!$A$9:$A$108,COUNT(CFD_L1000!$A$9:$A$108)),1),""))</f>
        <v>20</v>
      </c>
      <c r="J36" s="18">
        <f>IF(OR(CFD_L1000!$I$3="",$A36&gt;MAX(CFD_L1000!$H$9:$H$108)),"",IFERROR(MATCH($A36,INDEX(CFD_L1000!$H$9:$H$108,1):INDEX(CFD_L1000!$H$9:$H$108,COUNT(CFD_L1000!$H$9:$H$108)),1),""))</f>
        <v>22</v>
      </c>
      <c r="K36" s="18">
        <f>IF(OR(CFD_L1000!$P$3="",$A36&gt;MAX(CFD_L1000!$O$9:$O$108)),"",IFERROR(MATCH($A36,INDEX(CFD_L1000!$O$9:$O$108,1):INDEX(CFD_L1000!$O$9:$O$108,COUNT(CFD_L1000!$O$9:$O$108)),1),""))</f>
        <v>23</v>
      </c>
      <c r="L36" s="18" t="str">
        <f>IF(OR(CFD_L1000!$W$3="",$A36&gt;MAX(CFD_L1000!$V$9:$V$108)),"",IFERROR(MATCH($A36,INDEX(CFD_L1000!$V$9:$V$108,1):INDEX(CFD_L1000!$V$9:$V$108,COUNT(CFD_L1000!$V$9:$V$108)),1),""))</f>
        <v/>
      </c>
      <c r="M36" s="18" t="str">
        <f>IF(OR(CFD_L1000!$AD$3="",$A36&gt;MAX(CFD_L1000!$AC$9:$AC$108)),"",IFERROR(MATCH($A36,INDEX(CFD_L1000!$AC$9:$AC$108,1):INDEX(CFD_L1000!$AC$9:$AC$108,COUNT(CFD_L1000!$AC$9:$AC$108)),1),""))</f>
        <v/>
      </c>
    </row>
    <row r="37" spans="1:13" x14ac:dyDescent="0.25">
      <c r="A37" s="9">
        <v>4</v>
      </c>
      <c r="B37" s="13">
        <f>IF(I37="","",IFERROR(EXP(LN(INDEX(CFD_L1000!$B$1:$B$130,8+I37))+(LN($A37)-LN(INDEX(CFD_L1000!$A$1:$A$130,8+I37)))*(LN(INDEX(CFD_L1000!$B$1:$B$130,9+I37))-LN(INDEX(CFD_L1000!$B$1:$B$130,8+I37)))/(LN(INDEX(CFD_L1000!$A$1:$A$130,9+I37))-LN(INDEX(CFD_L1000!$A$1:$A$130,8+I37))))/CFD_L1000!$B$4,""))</f>
        <v>0.16889420001926547</v>
      </c>
      <c r="C37" s="13">
        <f>IF(J37="","",IFERROR(EXP(LN(INDEX(CFD_L1000!$I$1:$I$130,8+J37))+(LN($A37)-LN(INDEX(CFD_L1000!$H$1:$H$130,8+J37)))*(LN(INDEX(CFD_L1000!$I$1:$I$130,9+J37))-LN(INDEX(CFD_L1000!$I$1:$I$130,8+J37)))/(LN(INDEX(CFD_L1000!$H$1:$H$130,9+J37))-LN(INDEX(CFD_L1000!$H$1:$H$130,8+J37))))/CFD_L1000!$I$4,""))</f>
        <v>0.17054026654641519</v>
      </c>
      <c r="D37" s="13">
        <f>IF(K37="","",IFERROR(EXP(LN(INDEX(CFD_L1000!$P$1:$P$130,8+K37))+(LN($A37)-LN(INDEX(CFD_L1000!$O$1:$O$130,8+K37)))*(LN(INDEX(CFD_L1000!$P$1:$P$130,9+K37))-LN(INDEX(CFD_L1000!$P$1:$P$130,8+K37)))/(LN(INDEX(CFD_L1000!$O$1:$O$130,9+K37))-LN(INDEX(CFD_L1000!$O$1:$O$130,8+K37))))/CFD_L1000!$P$4,""))</f>
        <v>0.17226101146941453</v>
      </c>
      <c r="E37" s="13" t="str">
        <f>IF(L37="","",IFERROR(EXP(LN(INDEX(CFD_L1000!$W$1:$W$130,8+L37))+(LN($A37)-LN(INDEX(CFD_L1000!$V$1:$V$130,8+L37)))*(LN(INDEX(CFD_L1000!$W$1:$W$130,9+L37))-LN(INDEX(CFD_L1000!$W$1:$W$130,8+L37)))/(LN(INDEX(CFD_L1000!$V$1:$V$130,9+L37))-LN(INDEX(CFD_L1000!$V$1:$V$130,8+L37))))/CFD_L1000!$W$4,""))</f>
        <v/>
      </c>
      <c r="F37" s="13" t="str">
        <f>IF(M37="","",IFERROR(EXP(LN(INDEX(CFD_L1000!$AD$1:$AD$130,8+M37))+(LN($A37)-LN(INDEX(CFD_L1000!$AC$1:$AC$130,8+M37)))*(LN(INDEX(CFD_L1000!$AD$1:$AD$130,9+M37))-LN(INDEX(CFD_L1000!$AD$1:$AD$130,8+M37)))/(LN(INDEX(CFD_L1000!$AC$1:$AC$130,9+M37))-LN(INDEX(CFD_L1000!$AC$1:$AC$130,8+M37))))/CFD_L1000!$AD$4,""))</f>
        <v/>
      </c>
      <c r="G37" s="25">
        <f t="shared" si="2"/>
        <v>0.17056515934503172</v>
      </c>
      <c r="H37" s="38">
        <f t="shared" si="3"/>
        <v>1.9739151085002189E-2</v>
      </c>
      <c r="I37" s="18">
        <f>IF(OR(CFD_L1000!$B$3="",$A37&gt;MAX(CFD_L1000!$A$9:$A$108)),"",IFERROR(MATCH($A37,INDEX(CFD_L1000!$A$9:$A$108,1):INDEX(CFD_L1000!$A$9:$A$108,COUNT(CFD_L1000!$A$9:$A$108)),1),""))</f>
        <v>21</v>
      </c>
      <c r="J37" s="18">
        <f>IF(OR(CFD_L1000!$I$3="",$A37&gt;MAX(CFD_L1000!$H$9:$H$108)),"",IFERROR(MATCH($A37,INDEX(CFD_L1000!$H$9:$H$108,1):INDEX(CFD_L1000!$H$9:$H$108,COUNT(CFD_L1000!$H$9:$H$108)),1),""))</f>
        <v>22</v>
      </c>
      <c r="K37" s="18">
        <f>IF(OR(CFD_L1000!$P$3="",$A37&gt;MAX(CFD_L1000!$O$9:$O$108)),"",IFERROR(MATCH($A37,INDEX(CFD_L1000!$O$9:$O$108,1):INDEX(CFD_L1000!$O$9:$O$108,COUNT(CFD_L1000!$O$9:$O$108)),1),""))</f>
        <v>23</v>
      </c>
      <c r="L37" s="18" t="str">
        <f>IF(OR(CFD_L1000!$W$3="",$A37&gt;MAX(CFD_L1000!$V$9:$V$108)),"",IFERROR(MATCH($A37,INDEX(CFD_L1000!$V$9:$V$108,1):INDEX(CFD_L1000!$V$9:$V$108,COUNT(CFD_L1000!$V$9:$V$108)),1),""))</f>
        <v/>
      </c>
      <c r="M37" s="18" t="str">
        <f>IF(OR(CFD_L1000!$AD$3="",$A37&gt;MAX(CFD_L1000!$AC$9:$AC$108)),"",IFERROR(MATCH($A37,INDEX(CFD_L1000!$AC$9:$AC$108,1):INDEX(CFD_L1000!$AC$9:$AC$108,COUNT(CFD_L1000!$AC$9:$AC$108)),1),""))</f>
        <v/>
      </c>
    </row>
    <row r="38" spans="1:13" x14ac:dyDescent="0.25">
      <c r="A38" s="9">
        <v>4.5</v>
      </c>
      <c r="B38" s="13">
        <f>IF(I38="","",IFERROR(EXP(LN(INDEX(CFD_L1000!$B$1:$B$130,8+I38))+(LN($A38)-LN(INDEX(CFD_L1000!$A$1:$A$130,8+I38)))*(LN(INDEX(CFD_L1000!$B$1:$B$130,9+I38))-LN(INDEX(CFD_L1000!$B$1:$B$130,8+I38)))/(LN(INDEX(CFD_L1000!$A$1:$A$130,9+I38))-LN(INDEX(CFD_L1000!$A$1:$A$130,8+I38))))/CFD_L1000!$B$4,""))</f>
        <v>0.15539783373000191</v>
      </c>
      <c r="C38" s="13">
        <f>IF(J38="","",IFERROR(EXP(LN(INDEX(CFD_L1000!$I$1:$I$130,8+J38))+(LN($A38)-LN(INDEX(CFD_L1000!$H$1:$H$130,8+J38)))*(LN(INDEX(CFD_L1000!$I$1:$I$130,9+J38))-LN(INDEX(CFD_L1000!$I$1:$I$130,8+J38)))/(LN(INDEX(CFD_L1000!$H$1:$H$130,9+J38))-LN(INDEX(CFD_L1000!$H$1:$H$130,8+J38))))/CFD_L1000!$I$4,""))</f>
        <v>0.16036695660358877</v>
      </c>
      <c r="D38" s="13">
        <f>IF(K38="","",IFERROR(EXP(LN(INDEX(CFD_L1000!$P$1:$P$130,8+K38))+(LN($A38)-LN(INDEX(CFD_L1000!$O$1:$O$130,8+K38)))*(LN(INDEX(CFD_L1000!$P$1:$P$130,9+K38))-LN(INDEX(CFD_L1000!$P$1:$P$130,8+K38)))/(LN(INDEX(CFD_L1000!$O$1:$O$130,9+K38))-LN(INDEX(CFD_L1000!$O$1:$O$130,8+K38))))/CFD_L1000!$P$4,""))</f>
        <v>0.16176468332478977</v>
      </c>
      <c r="E38" s="13" t="str">
        <f>IF(L38="","",IFERROR(EXP(LN(INDEX(CFD_L1000!$W$1:$W$130,8+L38))+(LN($A38)-LN(INDEX(CFD_L1000!$V$1:$V$130,8+L38)))*(LN(INDEX(CFD_L1000!$W$1:$W$130,9+L38))-LN(INDEX(CFD_L1000!$W$1:$W$130,8+L38)))/(LN(INDEX(CFD_L1000!$V$1:$V$130,9+L38))-LN(INDEX(CFD_L1000!$V$1:$V$130,8+L38))))/CFD_L1000!$W$4,""))</f>
        <v/>
      </c>
      <c r="F38" s="13" t="str">
        <f>IF(M38="","",IFERROR(EXP(LN(INDEX(CFD_L1000!$AD$1:$AD$130,8+M38))+(LN($A38)-LN(INDEX(CFD_L1000!$AC$1:$AC$130,8+M38)))*(LN(INDEX(CFD_L1000!$AD$1:$AD$130,9+M38))-LN(INDEX(CFD_L1000!$AD$1:$AD$130,8+M38)))/(LN(INDEX(CFD_L1000!$AC$1:$AC$130,9+M38))-LN(INDEX(CFD_L1000!$AC$1:$AC$130,8+M38))))/CFD_L1000!$AD$4,""))</f>
        <v/>
      </c>
      <c r="G38" s="25">
        <f t="shared" si="2"/>
        <v>0.15917649121946015</v>
      </c>
      <c r="H38" s="38">
        <f t="shared" si="3"/>
        <v>3.9998680370518715E-2</v>
      </c>
      <c r="I38" s="18">
        <f>IF(OR(CFD_L1000!$B$3="",$A38&gt;MAX(CFD_L1000!$A$9:$A$108)),"",IFERROR(MATCH($A38,INDEX(CFD_L1000!$A$9:$A$108,1):INDEX(CFD_L1000!$A$9:$A$108,COUNT(CFD_L1000!$A$9:$A$108)),1),""))</f>
        <v>21</v>
      </c>
      <c r="J38" s="18">
        <f>IF(OR(CFD_L1000!$I$3="",$A38&gt;MAX(CFD_L1000!$H$9:$H$108)),"",IFERROR(MATCH($A38,INDEX(CFD_L1000!$H$9:$H$108,1):INDEX(CFD_L1000!$H$9:$H$108,COUNT(CFD_L1000!$H$9:$H$108)),1),""))</f>
        <v>22</v>
      </c>
      <c r="K38" s="18">
        <f>IF(OR(CFD_L1000!$P$3="",$A38&gt;MAX(CFD_L1000!$O$9:$O$108)),"",IFERROR(MATCH($A38,INDEX(CFD_L1000!$O$9:$O$108,1):INDEX(CFD_L1000!$O$9:$O$108,COUNT(CFD_L1000!$O$9:$O$108)),1),""))</f>
        <v>23</v>
      </c>
      <c r="L38" s="18" t="str">
        <f>IF(OR(CFD_L1000!$W$3="",$A38&gt;MAX(CFD_L1000!$V$9:$V$108)),"",IFERROR(MATCH($A38,INDEX(CFD_L1000!$V$9:$V$108,1):INDEX(CFD_L1000!$V$9:$V$108,COUNT(CFD_L1000!$V$9:$V$108)),1),""))</f>
        <v/>
      </c>
      <c r="M38" s="18" t="str">
        <f>IF(OR(CFD_L1000!$AD$3="",$A38&gt;MAX(CFD_L1000!$AC$9:$AC$108)),"",IFERROR(MATCH($A38,INDEX(CFD_L1000!$AC$9:$AC$108,1):INDEX(CFD_L1000!$AC$9:$AC$108,COUNT(CFD_L1000!$AC$9:$AC$108)),1),""))</f>
        <v/>
      </c>
    </row>
    <row r="39" spans="1:13" x14ac:dyDescent="0.25">
      <c r="A39" s="9">
        <v>5</v>
      </c>
      <c r="B39" s="13">
        <f>IF(I39="","",IFERROR(EXP(LN(INDEX(CFD_L1000!$B$1:$B$130,8+I39))+(LN($A39)-LN(INDEX(CFD_L1000!$A$1:$A$130,8+I39)))*(LN(INDEX(CFD_L1000!$B$1:$B$130,9+I39))-LN(INDEX(CFD_L1000!$B$1:$B$130,8+I39)))/(LN(INDEX(CFD_L1000!$A$1:$A$130,9+I39))-LN(INDEX(CFD_L1000!$A$1:$A$130,8+I39))))/CFD_L1000!$B$4,""))</f>
        <v>0.14415827543707632</v>
      </c>
      <c r="C39" s="13">
        <f>IF(J39="","",IFERROR(EXP(LN(INDEX(CFD_L1000!$I$1:$I$130,8+J39))+(LN($A39)-LN(INDEX(CFD_L1000!$H$1:$H$130,8+J39)))*(LN(INDEX(CFD_L1000!$I$1:$I$130,9+J39))-LN(INDEX(CFD_L1000!$I$1:$I$130,8+J39)))/(LN(INDEX(CFD_L1000!$H$1:$H$130,9+J39))-LN(INDEX(CFD_L1000!$H$1:$H$130,8+J39))))/CFD_L1000!$I$4,""))</f>
        <v>0.14743902915097512</v>
      </c>
      <c r="D39" s="13">
        <f>IF(K39="","",IFERROR(EXP(LN(INDEX(CFD_L1000!$P$1:$P$130,8+K39))+(LN($A39)-LN(INDEX(CFD_L1000!$O$1:$O$130,8+K39)))*(LN(INDEX(CFD_L1000!$P$1:$P$130,9+K39))-LN(INDEX(CFD_L1000!$P$1:$P$130,8+K39)))/(LN(INDEX(CFD_L1000!$O$1:$O$130,9+K39))-LN(INDEX(CFD_L1000!$O$1:$O$130,8+K39))))/CFD_L1000!$P$4,""))</f>
        <v>0.14972892323193154</v>
      </c>
      <c r="E39" s="13" t="str">
        <f>IF(L39="","",IFERROR(EXP(LN(INDEX(CFD_L1000!$W$1:$W$130,8+L39))+(LN($A39)-LN(INDEX(CFD_L1000!$V$1:$V$130,8+L39)))*(LN(INDEX(CFD_L1000!$W$1:$W$130,9+L39))-LN(INDEX(CFD_L1000!$W$1:$W$130,8+L39)))/(LN(INDEX(CFD_L1000!$V$1:$V$130,9+L39))-LN(INDEX(CFD_L1000!$V$1:$V$130,8+L39))))/CFD_L1000!$W$4,""))</f>
        <v/>
      </c>
      <c r="F39" s="13" t="str">
        <f>IF(M39="","",IFERROR(EXP(LN(INDEX(CFD_L1000!$AD$1:$AD$130,8+M39))+(LN($A39)-LN(INDEX(CFD_L1000!$AC$1:$AC$130,8+M39)))*(LN(INDEX(CFD_L1000!$AD$1:$AD$130,9+M39))-LN(INDEX(CFD_L1000!$AD$1:$AD$130,8+M39)))/(LN(INDEX(CFD_L1000!$AC$1:$AC$130,9+M39))-LN(INDEX(CFD_L1000!$AC$1:$AC$130,8+M39))))/CFD_L1000!$AD$4,""))</f>
        <v/>
      </c>
      <c r="G39" s="25">
        <f t="shared" si="2"/>
        <v>0.14710874260666099</v>
      </c>
      <c r="H39" s="38">
        <f t="shared" si="3"/>
        <v>3.7867550875273312E-2</v>
      </c>
      <c r="I39" s="18">
        <f>IF(OR(CFD_L1000!$B$3="",$A39&gt;MAX(CFD_L1000!$A$9:$A$108)),"",IFERROR(MATCH($A39,INDEX(CFD_L1000!$A$9:$A$108,1):INDEX(CFD_L1000!$A$9:$A$108,COUNT(CFD_L1000!$A$9:$A$108)),1),""))</f>
        <v>22</v>
      </c>
      <c r="J39" s="18">
        <f>IF(OR(CFD_L1000!$I$3="",$A39&gt;MAX(CFD_L1000!$H$9:$H$108)),"",IFERROR(MATCH($A39,INDEX(CFD_L1000!$H$9:$H$108,1):INDEX(CFD_L1000!$H$9:$H$108,COUNT(CFD_L1000!$H$9:$H$108)),1),""))</f>
        <v>24</v>
      </c>
      <c r="K39" s="18">
        <f>IF(OR(CFD_L1000!$P$3="",$A39&gt;MAX(CFD_L1000!$O$9:$O$108)),"",IFERROR(MATCH($A39,INDEX(CFD_L1000!$O$9:$O$108,1):INDEX(CFD_L1000!$O$9:$O$108,COUNT(CFD_L1000!$O$9:$O$108)),1),""))</f>
        <v>25</v>
      </c>
      <c r="L39" s="18" t="str">
        <f>IF(OR(CFD_L1000!$W$3="",$A39&gt;MAX(CFD_L1000!$V$9:$V$108)),"",IFERROR(MATCH($A39,INDEX(CFD_L1000!$V$9:$V$108,1):INDEX(CFD_L1000!$V$9:$V$108,COUNT(CFD_L1000!$V$9:$V$108)),1),""))</f>
        <v/>
      </c>
      <c r="M39" s="18" t="str">
        <f>IF(OR(CFD_L1000!$AD$3="",$A39&gt;MAX(CFD_L1000!$AC$9:$AC$108)),"",IFERROR(MATCH($A39,INDEX(CFD_L1000!$AC$9:$AC$108,1):INDEX(CFD_L1000!$AC$9:$AC$108,COUNT(CFD_L1000!$AC$9:$AC$108)),1),""))</f>
        <v/>
      </c>
    </row>
    <row r="40" spans="1:13" x14ac:dyDescent="0.25">
      <c r="A40" s="9">
        <v>5.5</v>
      </c>
      <c r="B40" s="13">
        <f>IF(I40="","",IFERROR(EXP(LN(INDEX(CFD_L1000!$B$1:$B$130,8+I40))+(LN($A40)-LN(INDEX(CFD_L1000!$A$1:$A$130,8+I40)))*(LN(INDEX(CFD_L1000!$B$1:$B$130,9+I40))-LN(INDEX(CFD_L1000!$B$1:$B$130,8+I40)))/(LN(INDEX(CFD_L1000!$A$1:$A$130,9+I40))-LN(INDEX(CFD_L1000!$A$1:$A$130,8+I40))))/CFD_L1000!$B$4,""))</f>
        <v>0.13217813488040642</v>
      </c>
      <c r="C40" s="13">
        <f>IF(J40="","",IFERROR(EXP(LN(INDEX(CFD_L1000!$I$1:$I$130,8+J40))+(LN($A40)-LN(INDEX(CFD_L1000!$H$1:$H$130,8+J40)))*(LN(INDEX(CFD_L1000!$I$1:$I$130,9+J40))-LN(INDEX(CFD_L1000!$I$1:$I$130,8+J40)))/(LN(INDEX(CFD_L1000!$H$1:$H$130,9+J40))-LN(INDEX(CFD_L1000!$H$1:$H$130,8+J40))))/CFD_L1000!$I$4,""))</f>
        <v>0.13466053600510366</v>
      </c>
      <c r="D40" s="13">
        <f>IF(K40="","",IFERROR(EXP(LN(INDEX(CFD_L1000!$P$1:$P$130,8+K40))+(LN($A40)-LN(INDEX(CFD_L1000!$O$1:$O$130,8+K40)))*(LN(INDEX(CFD_L1000!$P$1:$P$130,9+K40))-LN(INDEX(CFD_L1000!$P$1:$P$130,8+K40)))/(LN(INDEX(CFD_L1000!$O$1:$O$130,9+K40))-LN(INDEX(CFD_L1000!$O$1:$O$130,8+K40))))/CFD_L1000!$P$4,""))</f>
        <v>0.13667789970570673</v>
      </c>
      <c r="E40" s="13" t="str">
        <f>IF(L40="","",IFERROR(EXP(LN(INDEX(CFD_L1000!$W$1:$W$130,8+L40))+(LN($A40)-LN(INDEX(CFD_L1000!$V$1:$V$130,8+L40)))*(LN(INDEX(CFD_L1000!$W$1:$W$130,9+L40))-LN(INDEX(CFD_L1000!$W$1:$W$130,8+L40)))/(LN(INDEX(CFD_L1000!$V$1:$V$130,9+L40))-LN(INDEX(CFD_L1000!$V$1:$V$130,8+L40))))/CFD_L1000!$W$4,""))</f>
        <v/>
      </c>
      <c r="F40" s="13" t="str">
        <f>IF(M40="","",IFERROR(EXP(LN(INDEX(CFD_L1000!$AD$1:$AD$130,8+M40))+(LN($A40)-LN(INDEX(CFD_L1000!$AC$1:$AC$130,8+M40)))*(LN(INDEX(CFD_L1000!$AD$1:$AD$130,9+M40))-LN(INDEX(CFD_L1000!$AD$1:$AD$130,8+M40)))/(LN(INDEX(CFD_L1000!$AC$1:$AC$130,9+M40))-LN(INDEX(CFD_L1000!$AC$1:$AC$130,8+M40))))/CFD_L1000!$AD$4,""))</f>
        <v/>
      </c>
      <c r="G40" s="25">
        <f t="shared" si="2"/>
        <v>0.1345055235304056</v>
      </c>
      <c r="H40" s="38">
        <f t="shared" si="3"/>
        <v>3.3454126694530316E-2</v>
      </c>
      <c r="I40" s="18">
        <f>IF(OR(CFD_L1000!$B$3="",$A40&gt;MAX(CFD_L1000!$A$9:$A$108)),"",IFERROR(MATCH($A40,INDEX(CFD_L1000!$A$9:$A$108,1):INDEX(CFD_L1000!$A$9:$A$108,COUNT(CFD_L1000!$A$9:$A$108)),1),""))</f>
        <v>22</v>
      </c>
      <c r="J40" s="18">
        <f>IF(OR(CFD_L1000!$I$3="",$A40&gt;MAX(CFD_L1000!$H$9:$H$108)),"",IFERROR(MATCH($A40,INDEX(CFD_L1000!$H$9:$H$108,1):INDEX(CFD_L1000!$H$9:$H$108,COUNT(CFD_L1000!$H$9:$H$108)),1),""))</f>
        <v>24</v>
      </c>
      <c r="K40" s="18">
        <f>IF(OR(CFD_L1000!$P$3="",$A40&gt;MAX(CFD_L1000!$O$9:$O$108)),"",IFERROR(MATCH($A40,INDEX(CFD_L1000!$O$9:$O$108,1):INDEX(CFD_L1000!$O$9:$O$108,COUNT(CFD_L1000!$O$9:$O$108)),1),""))</f>
        <v>25</v>
      </c>
      <c r="L40" s="18" t="str">
        <f>IF(OR(CFD_L1000!$W$3="",$A40&gt;MAX(CFD_L1000!$V$9:$V$108)),"",IFERROR(MATCH($A40,INDEX(CFD_L1000!$V$9:$V$108,1):INDEX(CFD_L1000!$V$9:$V$108,COUNT(CFD_L1000!$V$9:$V$108)),1),""))</f>
        <v/>
      </c>
      <c r="M40" s="18" t="str">
        <f>IF(OR(CFD_L1000!$AD$3="",$A40&gt;MAX(CFD_L1000!$AC$9:$AC$108)),"",IFERROR(MATCH($A40,INDEX(CFD_L1000!$AC$9:$AC$108,1):INDEX(CFD_L1000!$AC$9:$AC$108,COUNT(CFD_L1000!$AC$9:$AC$108)),1),""))</f>
        <v/>
      </c>
    </row>
    <row r="41" spans="1:13" x14ac:dyDescent="0.25">
      <c r="A41" s="9">
        <v>6</v>
      </c>
      <c r="B41" s="13">
        <f>IF(I41="","",IFERROR(EXP(LN(INDEX(CFD_L1000!$B$1:$B$130,8+I41))+(LN($A41)-LN(INDEX(CFD_L1000!$A$1:$A$130,8+I41)))*(LN(INDEX(CFD_L1000!$B$1:$B$130,9+I41))-LN(INDEX(CFD_L1000!$B$1:$B$130,8+I41)))/(LN(INDEX(CFD_L1000!$A$1:$A$130,9+I41))-LN(INDEX(CFD_L1000!$A$1:$A$130,8+I41))))/CFD_L1000!$B$4,""))</f>
        <v>0.12211260951706809</v>
      </c>
      <c r="C41" s="13">
        <f>IF(J41="","",IFERROR(EXP(LN(INDEX(CFD_L1000!$I$1:$I$130,8+J41))+(LN($A41)-LN(INDEX(CFD_L1000!$H$1:$H$130,8+J41)))*(LN(INDEX(CFD_L1000!$I$1:$I$130,9+J41))-LN(INDEX(CFD_L1000!$I$1:$I$130,8+J41)))/(LN(INDEX(CFD_L1000!$H$1:$H$130,9+J41))-LN(INDEX(CFD_L1000!$H$1:$H$130,8+J41))))/CFD_L1000!$I$4,""))</f>
        <v>0.12396423538750842</v>
      </c>
      <c r="D41" s="13">
        <f>IF(K41="","",IFERROR(EXP(LN(INDEX(CFD_L1000!$P$1:$P$130,8+K41))+(LN($A41)-LN(INDEX(CFD_L1000!$O$1:$O$130,8+K41)))*(LN(INDEX(CFD_L1000!$P$1:$P$130,9+K41))-LN(INDEX(CFD_L1000!$P$1:$P$130,8+K41)))/(LN(INDEX(CFD_L1000!$O$1:$O$130,9+K41))-LN(INDEX(CFD_L1000!$O$1:$O$130,8+K41))))/CFD_L1000!$P$4,""))</f>
        <v>0.12575914288940088</v>
      </c>
      <c r="E41" s="13" t="str">
        <f>IF(L41="","",IFERROR(EXP(LN(INDEX(CFD_L1000!$W$1:$W$130,8+L41))+(LN($A41)-LN(INDEX(CFD_L1000!$V$1:$V$130,8+L41)))*(LN(INDEX(CFD_L1000!$W$1:$W$130,9+L41))-LN(INDEX(CFD_L1000!$W$1:$W$130,8+L41)))/(LN(INDEX(CFD_L1000!$V$1:$V$130,9+L41))-LN(INDEX(CFD_L1000!$V$1:$V$130,8+L41))))/CFD_L1000!$W$4,""))</f>
        <v/>
      </c>
      <c r="F41" s="13" t="str">
        <f>IF(M41="","",IFERROR(EXP(LN(INDEX(CFD_L1000!$AD$1:$AD$130,8+M41))+(LN($A41)-LN(INDEX(CFD_L1000!$AC$1:$AC$130,8+M41)))*(LN(INDEX(CFD_L1000!$AD$1:$AD$130,9+M41))-LN(INDEX(CFD_L1000!$AD$1:$AD$130,8+M41)))/(LN(INDEX(CFD_L1000!$AC$1:$AC$130,9+M41))-LN(INDEX(CFD_L1000!$AC$1:$AC$130,8+M41))))/CFD_L1000!$AD$4,""))</f>
        <v/>
      </c>
      <c r="G41" s="25">
        <f t="shared" si="2"/>
        <v>0.12394532926465913</v>
      </c>
      <c r="H41" s="38">
        <f t="shared" si="3"/>
        <v>2.9420498488865035E-2</v>
      </c>
      <c r="I41" s="18">
        <f>IF(OR(CFD_L1000!$B$3="",$A41&gt;MAX(CFD_L1000!$A$9:$A$108)),"",IFERROR(MATCH($A41,INDEX(CFD_L1000!$A$9:$A$108,1):INDEX(CFD_L1000!$A$9:$A$108,COUNT(CFD_L1000!$A$9:$A$108)),1),""))</f>
        <v>22</v>
      </c>
      <c r="J41" s="18">
        <f>IF(OR(CFD_L1000!$I$3="",$A41&gt;MAX(CFD_L1000!$H$9:$H$108)),"",IFERROR(MATCH($A41,INDEX(CFD_L1000!$H$9:$H$108,1):INDEX(CFD_L1000!$H$9:$H$108,COUNT(CFD_L1000!$H$9:$H$108)),1),""))</f>
        <v>24</v>
      </c>
      <c r="K41" s="18">
        <f>IF(OR(CFD_L1000!$P$3="",$A41&gt;MAX(CFD_L1000!$O$9:$O$108)),"",IFERROR(MATCH($A41,INDEX(CFD_L1000!$O$9:$O$108,1):INDEX(CFD_L1000!$O$9:$O$108,COUNT(CFD_L1000!$O$9:$O$108)),1),""))</f>
        <v>25</v>
      </c>
      <c r="L41" s="18" t="str">
        <f>IF(OR(CFD_L1000!$W$3="",$A41&gt;MAX(CFD_L1000!$V$9:$V$108)),"",IFERROR(MATCH($A41,INDEX(CFD_L1000!$V$9:$V$108,1):INDEX(CFD_L1000!$V$9:$V$108,COUNT(CFD_L1000!$V$9:$V$108)),1),""))</f>
        <v/>
      </c>
      <c r="M41" s="18" t="str">
        <f>IF(OR(CFD_L1000!$AD$3="",$A41&gt;MAX(CFD_L1000!$AC$9:$AC$108)),"",IFERROR(MATCH($A41,INDEX(CFD_L1000!$AC$9:$AC$108,1):INDEX(CFD_L1000!$AC$9:$AC$108,COUNT(CFD_L1000!$AC$9:$AC$108)),1),""))</f>
        <v/>
      </c>
    </row>
    <row r="42" spans="1:13" x14ac:dyDescent="0.25">
      <c r="A42" s="9">
        <v>6.5</v>
      </c>
      <c r="B42" s="13">
        <f>IF(I42="","",IFERROR(EXP(LN(INDEX(CFD_L1000!$B$1:$B$130,8+I42))+(LN($A42)-LN(INDEX(CFD_L1000!$A$1:$A$130,8+I42)))*(LN(INDEX(CFD_L1000!$B$1:$B$130,9+I42))-LN(INDEX(CFD_L1000!$B$1:$B$130,8+I42)))/(LN(INDEX(CFD_L1000!$A$1:$A$130,9+I42))-LN(INDEX(CFD_L1000!$A$1:$A$130,8+I42))))/CFD_L1000!$B$4,""))</f>
        <v>0.11341225423084404</v>
      </c>
      <c r="C42" s="13">
        <f>IF(J42="","",IFERROR(EXP(LN(INDEX(CFD_L1000!$I$1:$I$130,8+J42))+(LN($A42)-LN(INDEX(CFD_L1000!$H$1:$H$130,8+J42)))*(LN(INDEX(CFD_L1000!$I$1:$I$130,9+J42))-LN(INDEX(CFD_L1000!$I$1:$I$130,8+J42)))/(LN(INDEX(CFD_L1000!$H$1:$H$130,9+J42))-LN(INDEX(CFD_L1000!$H$1:$H$130,8+J42))))/CFD_L1000!$I$4,""))</f>
        <v>0.11456691534834765</v>
      </c>
      <c r="D42" s="13">
        <f>IF(K42="","",IFERROR(EXP(LN(INDEX(CFD_L1000!$P$1:$P$130,8+K42))+(LN($A42)-LN(INDEX(CFD_L1000!$O$1:$O$130,8+K42)))*(LN(INDEX(CFD_L1000!$P$1:$P$130,9+K42))-LN(INDEX(CFD_L1000!$P$1:$P$130,8+K42)))/(LN(INDEX(CFD_L1000!$O$1:$O$130,9+K42))-LN(INDEX(CFD_L1000!$O$1:$O$130,8+K42))))/CFD_L1000!$P$4,""))</f>
        <v>0.11602111765517228</v>
      </c>
      <c r="E42" s="13" t="str">
        <f>IF(L42="","",IFERROR(EXP(LN(INDEX(CFD_L1000!$W$1:$W$130,8+L42))+(LN($A42)-LN(INDEX(CFD_L1000!$V$1:$V$130,8+L42)))*(LN(INDEX(CFD_L1000!$W$1:$W$130,9+L42))-LN(INDEX(CFD_L1000!$W$1:$W$130,8+L42)))/(LN(INDEX(CFD_L1000!$V$1:$V$130,9+L42))-LN(INDEX(CFD_L1000!$V$1:$V$130,8+L42))))/CFD_L1000!$W$4,""))</f>
        <v/>
      </c>
      <c r="F42" s="13" t="str">
        <f>IF(M42="","",IFERROR(EXP(LN(INDEX(CFD_L1000!$AD$1:$AD$130,8+M42))+(LN($A42)-LN(INDEX(CFD_L1000!$AC$1:$AC$130,8+M42)))*(LN(INDEX(CFD_L1000!$AD$1:$AD$130,9+M42))-LN(INDEX(CFD_L1000!$AD$1:$AD$130,8+M42)))/(LN(INDEX(CFD_L1000!$AC$1:$AC$130,9+M42))-LN(INDEX(CFD_L1000!$AC$1:$AC$130,8+M42))))/CFD_L1000!$AD$4,""))</f>
        <v/>
      </c>
      <c r="G42" s="25">
        <f t="shared" si="2"/>
        <v>0.11466676241145464</v>
      </c>
      <c r="H42" s="38">
        <f t="shared" si="3"/>
        <v>2.2751696912545163E-2</v>
      </c>
      <c r="I42" s="18">
        <f>IF(OR(CFD_L1000!$B$3="",$A42&gt;MAX(CFD_L1000!$A$9:$A$108)),"",IFERROR(MATCH($A42,INDEX(CFD_L1000!$A$9:$A$108,1):INDEX(CFD_L1000!$A$9:$A$108,COUNT(CFD_L1000!$A$9:$A$108)),1),""))</f>
        <v>23</v>
      </c>
      <c r="J42" s="18">
        <f>IF(OR(CFD_L1000!$I$3="",$A42&gt;MAX(CFD_L1000!$H$9:$H$108)),"",IFERROR(MATCH($A42,INDEX(CFD_L1000!$H$9:$H$108,1):INDEX(CFD_L1000!$H$9:$H$108,COUNT(CFD_L1000!$H$9:$H$108)),1),""))</f>
        <v>25</v>
      </c>
      <c r="K42" s="18">
        <f>IF(OR(CFD_L1000!$P$3="",$A42&gt;MAX(CFD_L1000!$O$9:$O$108)),"",IFERROR(MATCH($A42,INDEX(CFD_L1000!$O$9:$O$108,1):INDEX(CFD_L1000!$O$9:$O$108,COUNT(CFD_L1000!$O$9:$O$108)),1),""))</f>
        <v>26</v>
      </c>
      <c r="L42" s="18" t="str">
        <f>IF(OR(CFD_L1000!$W$3="",$A42&gt;MAX(CFD_L1000!$V$9:$V$108)),"",IFERROR(MATCH($A42,INDEX(CFD_L1000!$V$9:$V$108,1):INDEX(CFD_L1000!$V$9:$V$108,COUNT(CFD_L1000!$V$9:$V$108)),1),""))</f>
        <v/>
      </c>
      <c r="M42" s="18" t="str">
        <f>IF(OR(CFD_L1000!$AD$3="",$A42&gt;MAX(CFD_L1000!$AC$9:$AC$108)),"",IFERROR(MATCH($A42,INDEX(CFD_L1000!$AC$9:$AC$108,1):INDEX(CFD_L1000!$AC$9:$AC$108,COUNT(CFD_L1000!$AC$9:$AC$108)),1),""))</f>
        <v/>
      </c>
    </row>
    <row r="43" spans="1:13" x14ac:dyDescent="0.25">
      <c r="A43" s="9">
        <v>7</v>
      </c>
      <c r="B43" s="13">
        <f>IF(I43="","",IFERROR(EXP(LN(INDEX(CFD_L1000!$B$1:$B$130,8+I43))+(LN($A43)-LN(INDEX(CFD_L1000!$A$1:$A$130,8+I43)))*(LN(INDEX(CFD_L1000!$B$1:$B$130,9+I43))-LN(INDEX(CFD_L1000!$B$1:$B$130,8+I43)))/(LN(INDEX(CFD_L1000!$A$1:$A$130,9+I43))-LN(INDEX(CFD_L1000!$A$1:$A$130,8+I43))))/CFD_L1000!$B$4,""))</f>
        <v>0.10587376150693641</v>
      </c>
      <c r="C43" s="13">
        <f>IF(J43="","",IFERROR(EXP(LN(INDEX(CFD_L1000!$I$1:$I$130,8+J43))+(LN($A43)-LN(INDEX(CFD_L1000!$H$1:$H$130,8+J43)))*(LN(INDEX(CFD_L1000!$I$1:$I$130,9+J43))-LN(INDEX(CFD_L1000!$I$1:$I$130,8+J43)))/(LN(INDEX(CFD_L1000!$H$1:$H$130,9+J43))-LN(INDEX(CFD_L1000!$H$1:$H$130,8+J43))))/CFD_L1000!$I$4,""))</f>
        <v>0.10628089181655108</v>
      </c>
      <c r="D43" s="13">
        <f>IF(K43="","",IFERROR(EXP(LN(INDEX(CFD_L1000!$P$1:$P$130,8+K43))+(LN($A43)-LN(INDEX(CFD_L1000!$O$1:$O$130,8+K43)))*(LN(INDEX(CFD_L1000!$P$1:$P$130,9+K43))-LN(INDEX(CFD_L1000!$P$1:$P$130,8+K43)))/(LN(INDEX(CFD_L1000!$O$1:$O$130,9+K43))-LN(INDEX(CFD_L1000!$O$1:$O$130,8+K43))))/CFD_L1000!$P$4,""))</f>
        <v>0.10719279202748355</v>
      </c>
      <c r="E43" s="13" t="str">
        <f>IF(L43="","",IFERROR(EXP(LN(INDEX(CFD_L1000!$W$1:$W$130,8+L43))+(LN($A43)-LN(INDEX(CFD_L1000!$V$1:$V$130,8+L43)))*(LN(INDEX(CFD_L1000!$W$1:$W$130,9+L43))-LN(INDEX(CFD_L1000!$W$1:$W$130,8+L43)))/(LN(INDEX(CFD_L1000!$V$1:$V$130,9+L43))-LN(INDEX(CFD_L1000!$V$1:$V$130,8+L43))))/CFD_L1000!$W$4,""))</f>
        <v/>
      </c>
      <c r="F43" s="13" t="str">
        <f>IF(M43="","",IFERROR(EXP(LN(INDEX(CFD_L1000!$AD$1:$AD$130,8+M43))+(LN($A43)-LN(INDEX(CFD_L1000!$AC$1:$AC$130,8+M43)))*(LN(INDEX(CFD_L1000!$AD$1:$AD$130,9+M43))-LN(INDEX(CFD_L1000!$AD$1:$AD$130,8+M43)))/(LN(INDEX(CFD_L1000!$AC$1:$AC$130,9+M43))-LN(INDEX(CFD_L1000!$AC$1:$AC$130,8+M43))))/CFD_L1000!$AD$4,""))</f>
        <v/>
      </c>
      <c r="G43" s="25">
        <f t="shared" si="2"/>
        <v>0.10644914845032367</v>
      </c>
      <c r="H43" s="38">
        <f t="shared" si="3"/>
        <v>1.2391179635999569E-2</v>
      </c>
      <c r="I43" s="18">
        <f>IF(OR(CFD_L1000!$B$3="",$A43&gt;MAX(CFD_L1000!$A$9:$A$108)),"",IFERROR(MATCH($A43,INDEX(CFD_L1000!$A$9:$A$108,1):INDEX(CFD_L1000!$A$9:$A$108,COUNT(CFD_L1000!$A$9:$A$108)),1),""))</f>
        <v>23</v>
      </c>
      <c r="J43" s="18">
        <f>IF(OR(CFD_L1000!$I$3="",$A43&gt;MAX(CFD_L1000!$H$9:$H$108)),"",IFERROR(MATCH($A43,INDEX(CFD_L1000!$H$9:$H$108,1):INDEX(CFD_L1000!$H$9:$H$108,COUNT(CFD_L1000!$H$9:$H$108)),1),""))</f>
        <v>25</v>
      </c>
      <c r="K43" s="18">
        <f>IF(OR(CFD_L1000!$P$3="",$A43&gt;MAX(CFD_L1000!$O$9:$O$108)),"",IFERROR(MATCH($A43,INDEX(CFD_L1000!$O$9:$O$108,1):INDEX(CFD_L1000!$O$9:$O$108,COUNT(CFD_L1000!$O$9:$O$108)),1),""))</f>
        <v>26</v>
      </c>
      <c r="L43" s="18" t="str">
        <f>IF(OR(CFD_L1000!$W$3="",$A43&gt;MAX(CFD_L1000!$V$9:$V$108)),"",IFERROR(MATCH($A43,INDEX(CFD_L1000!$V$9:$V$108,1):INDEX(CFD_L1000!$V$9:$V$108,COUNT(CFD_L1000!$V$9:$V$108)),1),""))</f>
        <v/>
      </c>
      <c r="M43" s="18" t="str">
        <f>IF(OR(CFD_L1000!$AD$3="",$A43&gt;MAX(CFD_L1000!$AC$9:$AC$108)),"",IFERROR(MATCH($A43,INDEX(CFD_L1000!$AC$9:$AC$108,1):INDEX(CFD_L1000!$AC$9:$AC$108,COUNT(CFD_L1000!$AC$9:$AC$108)),1),""))</f>
        <v/>
      </c>
    </row>
    <row r="44" spans="1:13" x14ac:dyDescent="0.25">
      <c r="A44" s="9">
        <v>7.5</v>
      </c>
      <c r="B44" s="13">
        <f>IF(I44="","",IFERROR(EXP(LN(INDEX(CFD_L1000!$B$1:$B$130,8+I44))+(LN($A44)-LN(INDEX(CFD_L1000!$A$1:$A$130,8+I44)))*(LN(INDEX(CFD_L1000!$B$1:$B$130,9+I44))-LN(INDEX(CFD_L1000!$B$1:$B$130,8+I44)))/(LN(INDEX(CFD_L1000!$A$1:$A$130,9+I44))-LN(INDEX(CFD_L1000!$A$1:$A$130,8+I44))))/CFD_L1000!$B$4,""))</f>
        <v>9.9157904947795278E-2</v>
      </c>
      <c r="C44" s="13">
        <f>IF(J44="","",IFERROR(EXP(LN(INDEX(CFD_L1000!$I$1:$I$130,8+J44))+(LN($A44)-LN(INDEX(CFD_L1000!$H$1:$H$130,8+J44)))*(LN(INDEX(CFD_L1000!$I$1:$I$130,9+J44))-LN(INDEX(CFD_L1000!$I$1:$I$130,8+J44)))/(LN(INDEX(CFD_L1000!$H$1:$H$130,9+J44))-LN(INDEX(CFD_L1000!$H$1:$H$130,8+J44))))/CFD_L1000!$I$4,""))</f>
        <v>9.9106368793123359E-2</v>
      </c>
      <c r="D44" s="13">
        <f>IF(K44="","",IFERROR(EXP(LN(INDEX(CFD_L1000!$P$1:$P$130,8+K44))+(LN($A44)-LN(INDEX(CFD_L1000!$O$1:$O$130,8+K44)))*(LN(INDEX(CFD_L1000!$P$1:$P$130,9+K44))-LN(INDEX(CFD_L1000!$P$1:$P$130,8+K44)))/(LN(INDEX(CFD_L1000!$O$1:$O$130,9+K44))-LN(INDEX(CFD_L1000!$O$1:$O$130,8+K44))))/CFD_L1000!$P$4,""))</f>
        <v>9.9578715003449045E-2</v>
      </c>
      <c r="E44" s="13" t="str">
        <f>IF(L44="","",IFERROR(EXP(LN(INDEX(CFD_L1000!$W$1:$W$130,8+L44))+(LN($A44)-LN(INDEX(CFD_L1000!$V$1:$V$130,8+L44)))*(LN(INDEX(CFD_L1000!$W$1:$W$130,9+L44))-LN(INDEX(CFD_L1000!$W$1:$W$130,8+L44)))/(LN(INDEX(CFD_L1000!$V$1:$V$130,9+L44))-LN(INDEX(CFD_L1000!$V$1:$V$130,8+L44))))/CFD_L1000!$W$4,""))</f>
        <v/>
      </c>
      <c r="F44" s="13" t="str">
        <f>IF(M44="","",IFERROR(EXP(LN(INDEX(CFD_L1000!$AD$1:$AD$130,8+M44))+(LN($A44)-LN(INDEX(CFD_L1000!$AC$1:$AC$130,8+M44)))*(LN(INDEX(CFD_L1000!$AD$1:$AD$130,9+M44))-LN(INDEX(CFD_L1000!$AD$1:$AD$130,8+M44)))/(LN(INDEX(CFD_L1000!$AC$1:$AC$130,9+M44))-LN(INDEX(CFD_L1000!$AC$1:$AC$130,8+M44))))/CFD_L1000!$AD$4,""))</f>
        <v/>
      </c>
      <c r="G44" s="25">
        <f t="shared" si="2"/>
        <v>9.9280996248122574E-2</v>
      </c>
      <c r="H44" s="38">
        <f t="shared" si="3"/>
        <v>4.757669928545042E-3</v>
      </c>
      <c r="I44" s="18">
        <f>IF(OR(CFD_L1000!$B$3="",$A44&gt;MAX(CFD_L1000!$A$9:$A$108)),"",IFERROR(MATCH($A44,INDEX(CFD_L1000!$A$9:$A$108,1):INDEX(CFD_L1000!$A$9:$A$108,COUNT(CFD_L1000!$A$9:$A$108)),1),""))</f>
        <v>24</v>
      </c>
      <c r="J44" s="18">
        <f>IF(OR(CFD_L1000!$I$3="",$A44&gt;MAX(CFD_L1000!$H$9:$H$108)),"",IFERROR(MATCH($A44,INDEX(CFD_L1000!$H$9:$H$108,1):INDEX(CFD_L1000!$H$9:$H$108,COUNT(CFD_L1000!$H$9:$H$108)),1),""))</f>
        <v>25</v>
      </c>
      <c r="K44" s="18">
        <f>IF(OR(CFD_L1000!$P$3="",$A44&gt;MAX(CFD_L1000!$O$9:$O$108)),"",IFERROR(MATCH($A44,INDEX(CFD_L1000!$O$9:$O$108,1):INDEX(CFD_L1000!$O$9:$O$108,COUNT(CFD_L1000!$O$9:$O$108)),1),""))</f>
        <v>26</v>
      </c>
      <c r="L44" s="18" t="str">
        <f>IF(OR(CFD_L1000!$W$3="",$A44&gt;MAX(CFD_L1000!$V$9:$V$108)),"",IFERROR(MATCH($A44,INDEX(CFD_L1000!$V$9:$V$108,1):INDEX(CFD_L1000!$V$9:$V$108,COUNT(CFD_L1000!$V$9:$V$108)),1),""))</f>
        <v/>
      </c>
      <c r="M44" s="18" t="str">
        <f>IF(OR(CFD_L1000!$AD$3="",$A44&gt;MAX(CFD_L1000!$AC$9:$AC$108)),"",IFERROR(MATCH($A44,INDEX(CFD_L1000!$AC$9:$AC$108,1):INDEX(CFD_L1000!$AC$9:$AC$108,COUNT(CFD_L1000!$AC$9:$AC$108)),1),""))</f>
        <v/>
      </c>
    </row>
    <row r="45" spans="1:13" x14ac:dyDescent="0.25">
      <c r="A45" s="9">
        <v>8</v>
      </c>
      <c r="B45" s="13">
        <f>IF(I45="","",IFERROR(EXP(LN(INDEX(CFD_L1000!$B$1:$B$130,8+I45))+(LN($A45)-LN(INDEX(CFD_L1000!$A$1:$A$130,8+I45)))*(LN(INDEX(CFD_L1000!$B$1:$B$130,9+I45))-LN(INDEX(CFD_L1000!$B$1:$B$130,8+I45)))/(LN(INDEX(CFD_L1000!$A$1:$A$130,9+I45))-LN(INDEX(CFD_L1000!$A$1:$A$130,8+I45))))/CFD_L1000!$B$4,""))</f>
        <v>9.199695405814598E-2</v>
      </c>
      <c r="C45" s="13">
        <f>IF(J45="","",IFERROR(EXP(LN(INDEX(CFD_L1000!$I$1:$I$130,8+J45))+(LN($A45)-LN(INDEX(CFD_L1000!$H$1:$H$130,8+J45)))*(LN(INDEX(CFD_L1000!$I$1:$I$130,9+J45))-LN(INDEX(CFD_L1000!$I$1:$I$130,8+J45)))/(LN(INDEX(CFD_L1000!$H$1:$H$130,9+J45))-LN(INDEX(CFD_L1000!$H$1:$H$130,8+J45))))/CFD_L1000!$I$4,""))</f>
        <v>9.0992651645415965E-2</v>
      </c>
      <c r="D45" s="13">
        <f>IF(K45="","",IFERROR(EXP(LN(INDEX(CFD_L1000!$P$1:$P$130,8+K45))+(LN($A45)-LN(INDEX(CFD_L1000!$O$1:$O$130,8+K45)))*(LN(INDEX(CFD_L1000!$P$1:$P$130,9+K45))-LN(INDEX(CFD_L1000!$P$1:$P$130,8+K45)))/(LN(INDEX(CFD_L1000!$O$1:$O$130,9+K45))-LN(INDEX(CFD_L1000!$O$1:$O$130,8+K45))))/CFD_L1000!$P$4,""))</f>
        <v>9.1186239271818167E-2</v>
      </c>
      <c r="E45" s="13" t="str">
        <f>IF(L45="","",IFERROR(EXP(LN(INDEX(CFD_L1000!$W$1:$W$130,8+L45))+(LN($A45)-LN(INDEX(CFD_L1000!$V$1:$V$130,8+L45)))*(LN(INDEX(CFD_L1000!$W$1:$W$130,9+L45))-LN(INDEX(CFD_L1000!$W$1:$W$130,8+L45)))/(LN(INDEX(CFD_L1000!$V$1:$V$130,9+L45))-LN(INDEX(CFD_L1000!$V$1:$V$130,8+L45))))/CFD_L1000!$W$4,""))</f>
        <v/>
      </c>
      <c r="F45" s="13" t="str">
        <f>IF(M45="","",IFERROR(EXP(LN(INDEX(CFD_L1000!$AD$1:$AD$130,8+M45))+(LN($A45)-LN(INDEX(CFD_L1000!$AC$1:$AC$130,8+M45)))*(LN(INDEX(CFD_L1000!$AD$1:$AD$130,9+M45))-LN(INDEX(CFD_L1000!$AD$1:$AD$130,8+M45)))/(LN(INDEX(CFD_L1000!$AC$1:$AC$130,9+M45))-LN(INDEX(CFD_L1000!$AC$1:$AC$130,8+M45))))/CFD_L1000!$AD$4,""))</f>
        <v/>
      </c>
      <c r="G45" s="25">
        <f t="shared" si="2"/>
        <v>9.1391948325126704E-2</v>
      </c>
      <c r="H45" s="38">
        <f t="shared" si="3"/>
        <v>1.0988959433901237E-2</v>
      </c>
      <c r="I45" s="18">
        <f>IF(OR(CFD_L1000!$B$3="",$A45&gt;MAX(CFD_L1000!$A$9:$A$108)),"",IFERROR(MATCH($A45,INDEX(CFD_L1000!$A$9:$A$108,1):INDEX(CFD_L1000!$A$9:$A$108,COUNT(CFD_L1000!$A$9:$A$108)),1),""))</f>
        <v>24</v>
      </c>
      <c r="J45" s="18">
        <f>IF(OR(CFD_L1000!$I$3="",$A45&gt;MAX(CFD_L1000!$H$9:$H$108)),"",IFERROR(MATCH($A45,INDEX(CFD_L1000!$H$9:$H$108,1):INDEX(CFD_L1000!$H$9:$H$108,COUNT(CFD_L1000!$H$9:$H$108)),1),""))</f>
        <v>26</v>
      </c>
      <c r="K45" s="18">
        <f>IF(OR(CFD_L1000!$P$3="",$A45&gt;MAX(CFD_L1000!$O$9:$O$108)),"",IFERROR(MATCH($A45,INDEX(CFD_L1000!$O$9:$O$108,1):INDEX(CFD_L1000!$O$9:$O$108,COUNT(CFD_L1000!$O$9:$O$108)),1),""))</f>
        <v>27</v>
      </c>
      <c r="L45" s="18" t="str">
        <f>IF(OR(CFD_L1000!$W$3="",$A45&gt;MAX(CFD_L1000!$V$9:$V$108)),"",IFERROR(MATCH($A45,INDEX(CFD_L1000!$V$9:$V$108,1):INDEX(CFD_L1000!$V$9:$V$108,COUNT(CFD_L1000!$V$9:$V$108)),1),""))</f>
        <v/>
      </c>
      <c r="M45" s="18" t="str">
        <f>IF(OR(CFD_L1000!$AD$3="",$A45&gt;MAX(CFD_L1000!$AC$9:$AC$108)),"",IFERROR(MATCH($A45,INDEX(CFD_L1000!$AC$9:$AC$108,1):INDEX(CFD_L1000!$AC$9:$AC$108,COUNT(CFD_L1000!$AC$9:$AC$108)),1),""))</f>
        <v/>
      </c>
    </row>
    <row r="46" spans="1:13" x14ac:dyDescent="0.25">
      <c r="A46" s="9">
        <v>8.5</v>
      </c>
      <c r="B46" s="13">
        <f>IF(I46="","",IFERROR(EXP(LN(INDEX(CFD_L1000!$B$1:$B$130,8+I46))+(LN($A46)-LN(INDEX(CFD_L1000!$A$1:$A$130,8+I46)))*(LN(INDEX(CFD_L1000!$B$1:$B$130,9+I46))-LN(INDEX(CFD_L1000!$B$1:$B$130,8+I46)))/(LN(INDEX(CFD_L1000!$A$1:$A$130,9+I46))-LN(INDEX(CFD_L1000!$A$1:$A$130,8+I46))))/CFD_L1000!$B$4,""))</f>
        <v>8.5742030838801164E-2</v>
      </c>
      <c r="C46" s="13">
        <f>IF(J46="","",IFERROR(EXP(LN(INDEX(CFD_L1000!$I$1:$I$130,8+J46))+(LN($A46)-LN(INDEX(CFD_L1000!$H$1:$H$130,8+J46)))*(LN(INDEX(CFD_L1000!$I$1:$I$130,9+J46))-LN(INDEX(CFD_L1000!$I$1:$I$130,8+J46)))/(LN(INDEX(CFD_L1000!$H$1:$H$130,9+J46))-LN(INDEX(CFD_L1000!$H$1:$H$130,8+J46))))/CFD_L1000!$I$4,""))</f>
        <v>8.3898782221846269E-2</v>
      </c>
      <c r="D46" s="13">
        <f>IF(K46="","",IFERROR(EXP(LN(INDEX(CFD_L1000!$P$1:$P$130,8+K46))+(LN($A46)-LN(INDEX(CFD_L1000!$O$1:$O$130,8+K46)))*(LN(INDEX(CFD_L1000!$P$1:$P$130,9+K46))-LN(INDEX(CFD_L1000!$P$1:$P$130,8+K46)))/(LN(INDEX(CFD_L1000!$O$1:$O$130,9+K46))-LN(INDEX(CFD_L1000!$O$1:$O$130,8+K46))))/CFD_L1000!$P$4,""))</f>
        <v>8.3186257569589375E-2</v>
      </c>
      <c r="E46" s="13" t="str">
        <f>IF(L46="","",IFERROR(EXP(LN(INDEX(CFD_L1000!$W$1:$W$130,8+L46))+(LN($A46)-LN(INDEX(CFD_L1000!$V$1:$V$130,8+L46)))*(LN(INDEX(CFD_L1000!$W$1:$W$130,9+L46))-LN(INDEX(CFD_L1000!$W$1:$W$130,8+L46)))/(LN(INDEX(CFD_L1000!$V$1:$V$130,9+L46))-LN(INDEX(CFD_L1000!$V$1:$V$130,8+L46))))/CFD_L1000!$W$4,""))</f>
        <v/>
      </c>
      <c r="F46" s="13" t="str">
        <f>IF(M46="","",IFERROR(EXP(LN(INDEX(CFD_L1000!$AD$1:$AD$130,8+M46))+(LN($A46)-LN(INDEX(CFD_L1000!$AC$1:$AC$130,8+M46)))*(LN(INDEX(CFD_L1000!$AD$1:$AD$130,9+M46))-LN(INDEX(CFD_L1000!$AD$1:$AD$130,8+M46)))/(LN(INDEX(CFD_L1000!$AC$1:$AC$130,9+M46))-LN(INDEX(CFD_L1000!$AC$1:$AC$130,8+M46))))/CFD_L1000!$AD$4,""))</f>
        <v/>
      </c>
      <c r="G46" s="25">
        <f t="shared" si="2"/>
        <v>8.4275690210078927E-2</v>
      </c>
      <c r="H46" s="38">
        <f t="shared" si="3"/>
        <v>3.0326340405410671E-2</v>
      </c>
      <c r="I46" s="18">
        <f>IF(OR(CFD_L1000!$B$3="",$A46&gt;MAX(CFD_L1000!$A$9:$A$108)),"",IFERROR(MATCH($A46,INDEX(CFD_L1000!$A$9:$A$108,1):INDEX(CFD_L1000!$A$9:$A$108,COUNT(CFD_L1000!$A$9:$A$108)),1),""))</f>
        <v>24</v>
      </c>
      <c r="J46" s="18">
        <f>IF(OR(CFD_L1000!$I$3="",$A46&gt;MAX(CFD_L1000!$H$9:$H$108)),"",IFERROR(MATCH($A46,INDEX(CFD_L1000!$H$9:$H$108,1):INDEX(CFD_L1000!$H$9:$H$108,COUNT(CFD_L1000!$H$9:$H$108)),1),""))</f>
        <v>26</v>
      </c>
      <c r="K46" s="18">
        <f>IF(OR(CFD_L1000!$P$3="",$A46&gt;MAX(CFD_L1000!$O$9:$O$108)),"",IFERROR(MATCH($A46,INDEX(CFD_L1000!$O$9:$O$108,1):INDEX(CFD_L1000!$O$9:$O$108,COUNT(CFD_L1000!$O$9:$O$108)),1),""))</f>
        <v>27</v>
      </c>
      <c r="L46" s="18" t="str">
        <f>IF(OR(CFD_L1000!$W$3="",$A46&gt;MAX(CFD_L1000!$V$9:$V$108)),"",IFERROR(MATCH($A46,INDEX(CFD_L1000!$V$9:$V$108,1):INDEX(CFD_L1000!$V$9:$V$108,COUNT(CFD_L1000!$V$9:$V$108)),1),""))</f>
        <v/>
      </c>
      <c r="M46" s="18" t="str">
        <f>IF(OR(CFD_L1000!$AD$3="",$A46&gt;MAX(CFD_L1000!$AC$9:$AC$108)),"",IFERROR(MATCH($A46,INDEX(CFD_L1000!$AC$9:$AC$108,1):INDEX(CFD_L1000!$AC$9:$AC$108,COUNT(CFD_L1000!$AC$9:$AC$108)),1),""))</f>
        <v/>
      </c>
    </row>
    <row r="47" spans="1:13" x14ac:dyDescent="0.25">
      <c r="A47" s="9">
        <v>9</v>
      </c>
      <c r="B47" s="13">
        <f>IF(I47="","",IFERROR(EXP(LN(INDEX(CFD_L1000!$B$1:$B$130,8+I47))+(LN($A47)-LN(INDEX(CFD_L1000!$A$1:$A$130,8+I47)))*(LN(INDEX(CFD_L1000!$B$1:$B$130,9+I47))-LN(INDEX(CFD_L1000!$B$1:$B$130,8+I47)))/(LN(INDEX(CFD_L1000!$A$1:$A$130,9+I47))-LN(INDEX(CFD_L1000!$A$1:$A$130,8+I47))))/CFD_L1000!$B$4,""))</f>
        <v>7.4146010482709884E-2</v>
      </c>
      <c r="C47" s="13">
        <f>IF(J47="","",IFERROR(EXP(LN(INDEX(CFD_L1000!$I$1:$I$130,8+J47))+(LN($A47)-LN(INDEX(CFD_L1000!$H$1:$H$130,8+J47)))*(LN(INDEX(CFD_L1000!$I$1:$I$130,9+J47))-LN(INDEX(CFD_L1000!$I$1:$I$130,8+J47)))/(LN(INDEX(CFD_L1000!$H$1:$H$130,9+J47))-LN(INDEX(CFD_L1000!$H$1:$H$130,8+J47))))/CFD_L1000!$I$4,""))</f>
        <v>7.1585585008851996E-2</v>
      </c>
      <c r="D47" s="13">
        <f>IF(K47="","",IFERROR(EXP(LN(INDEX(CFD_L1000!$P$1:$P$130,8+K47))+(LN($A47)-LN(INDEX(CFD_L1000!$O$1:$O$130,8+K47)))*(LN(INDEX(CFD_L1000!$P$1:$P$130,9+K47))-LN(INDEX(CFD_L1000!$P$1:$P$130,8+K47)))/(LN(INDEX(CFD_L1000!$O$1:$O$130,9+K47))-LN(INDEX(CFD_L1000!$O$1:$O$130,8+K47))))/CFD_L1000!$P$4,""))</f>
        <v>7.0537807554261492E-2</v>
      </c>
      <c r="E47" s="13" t="str">
        <f>IF(L47="","",IFERROR(EXP(LN(INDEX(CFD_L1000!$W$1:$W$130,8+L47))+(LN($A47)-LN(INDEX(CFD_L1000!$V$1:$V$130,8+L47)))*(LN(INDEX(CFD_L1000!$W$1:$W$130,9+L47))-LN(INDEX(CFD_L1000!$W$1:$W$130,8+L47)))/(LN(INDEX(CFD_L1000!$V$1:$V$130,9+L47))-LN(INDEX(CFD_L1000!$V$1:$V$130,8+L47))))/CFD_L1000!$W$4,""))</f>
        <v/>
      </c>
      <c r="F47" s="13" t="str">
        <f>IF(M47="","",IFERROR(EXP(LN(INDEX(CFD_L1000!$AD$1:$AD$130,8+M47))+(LN($A47)-LN(INDEX(CFD_L1000!$AC$1:$AC$130,8+M47)))*(LN(INDEX(CFD_L1000!$AD$1:$AD$130,9+M47))-LN(INDEX(CFD_L1000!$AD$1:$AD$130,8+M47)))/(LN(INDEX(CFD_L1000!$AC$1:$AC$130,9+M47))-LN(INDEX(CFD_L1000!$AC$1:$AC$130,8+M47))))/CFD_L1000!$AD$4,""))</f>
        <v/>
      </c>
      <c r="G47" s="25">
        <f t="shared" si="2"/>
        <v>7.2089801015274457E-2</v>
      </c>
      <c r="H47" s="38">
        <f t="shared" si="3"/>
        <v>5.0051503508573743E-2</v>
      </c>
      <c r="I47" s="18">
        <f>IF(OR(CFD_L1000!$B$3="",$A47&gt;MAX(CFD_L1000!$A$9:$A$108)),"",IFERROR(MATCH($A47,INDEX(CFD_L1000!$A$9:$A$108,1):INDEX(CFD_L1000!$A$9:$A$108,COUNT(CFD_L1000!$A$9:$A$108)),1),""))</f>
        <v>25</v>
      </c>
      <c r="J47" s="18">
        <f>IF(OR(CFD_L1000!$I$3="",$A47&gt;MAX(CFD_L1000!$H$9:$H$108)),"",IFERROR(MATCH($A47,INDEX(CFD_L1000!$H$9:$H$108,1):INDEX(CFD_L1000!$H$9:$H$108,COUNT(CFD_L1000!$H$9:$H$108)),1),""))</f>
        <v>27</v>
      </c>
      <c r="K47" s="18">
        <f>IF(OR(CFD_L1000!$P$3="",$A47&gt;MAX(CFD_L1000!$O$9:$O$108)),"",IFERROR(MATCH($A47,INDEX(CFD_L1000!$O$9:$O$108,1):INDEX(CFD_L1000!$O$9:$O$108,COUNT(CFD_L1000!$O$9:$O$108)),1),""))</f>
        <v>28</v>
      </c>
      <c r="L47" s="18" t="str">
        <f>IF(OR(CFD_L1000!$W$3="",$A47&gt;MAX(CFD_L1000!$V$9:$V$108)),"",IFERROR(MATCH($A47,INDEX(CFD_L1000!$V$9:$V$108,1):INDEX(CFD_L1000!$V$9:$V$108,COUNT(CFD_L1000!$V$9:$V$108)),1),""))</f>
        <v/>
      </c>
      <c r="M47" s="18" t="str">
        <f>IF(OR(CFD_L1000!$AD$3="",$A47&gt;MAX(CFD_L1000!$AC$9:$AC$108)),"",IFERROR(MATCH($A47,INDEX(CFD_L1000!$AC$9:$AC$108,1):INDEX(CFD_L1000!$AC$9:$AC$108,COUNT(CFD_L1000!$AC$9:$AC$108)),1),""))</f>
        <v/>
      </c>
    </row>
    <row r="48" spans="1:13" x14ac:dyDescent="0.25">
      <c r="A48" s="9">
        <v>9.5</v>
      </c>
      <c r="B48" s="13">
        <f>IF(I48="","",IFERROR(EXP(LN(INDEX(CFD_L1000!$B$1:$B$130,8+I48))+(LN($A48)-LN(INDEX(CFD_L1000!$A$1:$A$130,8+I48)))*(LN(INDEX(CFD_L1000!$B$1:$B$130,9+I48))-LN(INDEX(CFD_L1000!$B$1:$B$130,8+I48)))/(LN(INDEX(CFD_L1000!$A$1:$A$130,9+I48))-LN(INDEX(CFD_L1000!$A$1:$A$130,8+I48))))/CFD_L1000!$B$4,""))</f>
        <v>4.6489497148381652E-2</v>
      </c>
      <c r="C48" s="13">
        <f>IF(J48="","",IFERROR(EXP(LN(INDEX(CFD_L1000!$I$1:$I$130,8+J48))+(LN($A48)-LN(INDEX(CFD_L1000!$H$1:$H$130,8+J48)))*(LN(INDEX(CFD_L1000!$I$1:$I$130,9+J48))-LN(INDEX(CFD_L1000!$I$1:$I$130,8+J48)))/(LN(INDEX(CFD_L1000!$H$1:$H$130,9+J48))-LN(INDEX(CFD_L1000!$H$1:$H$130,8+J48))))/CFD_L1000!$I$4,""))</f>
        <v>4.435377162351143E-2</v>
      </c>
      <c r="D48" s="13">
        <f>IF(K48="","",IFERROR(EXP(LN(INDEX(CFD_L1000!$P$1:$P$130,8+K48))+(LN($A48)-LN(INDEX(CFD_L1000!$O$1:$O$130,8+K48)))*(LN(INDEX(CFD_L1000!$P$1:$P$130,9+K48))-LN(INDEX(CFD_L1000!$P$1:$P$130,8+K48)))/(LN(INDEX(CFD_L1000!$O$1:$O$130,9+K48))-LN(INDEX(CFD_L1000!$O$1:$O$130,8+K48))))/CFD_L1000!$P$4,""))</f>
        <v>4.5629906515471379E-2</v>
      </c>
      <c r="E48" s="13" t="str">
        <f>IF(L48="","",IFERROR(EXP(LN(INDEX(CFD_L1000!$W$1:$W$130,8+L48))+(LN($A48)-LN(INDEX(CFD_L1000!$V$1:$V$130,8+L48)))*(LN(INDEX(CFD_L1000!$W$1:$W$130,9+L48))-LN(INDEX(CFD_L1000!$W$1:$W$130,8+L48)))/(LN(INDEX(CFD_L1000!$V$1:$V$130,9+L48))-LN(INDEX(CFD_L1000!$V$1:$V$130,8+L48))))/CFD_L1000!$W$4,""))</f>
        <v/>
      </c>
      <c r="F48" s="13" t="str">
        <f>IF(M48="","",IFERROR(EXP(LN(INDEX(CFD_L1000!$AD$1:$AD$130,8+M48))+(LN($A48)-LN(INDEX(CFD_L1000!$AC$1:$AC$130,8+M48)))*(LN(INDEX(CFD_L1000!$AD$1:$AD$130,9+M48))-LN(INDEX(CFD_L1000!$AD$1:$AD$130,8+M48)))/(LN(INDEX(CFD_L1000!$AC$1:$AC$130,9+M48))-LN(INDEX(CFD_L1000!$AC$1:$AC$130,8+M48))))/CFD_L1000!$AD$4,""))</f>
        <v/>
      </c>
      <c r="G48" s="25">
        <f t="shared" si="2"/>
        <v>4.5491058429121489E-2</v>
      </c>
      <c r="H48" s="38">
        <f t="shared" si="3"/>
        <v>4.6948248702497079E-2</v>
      </c>
      <c r="I48" s="18">
        <f>IF(OR(CFD_L1000!$B$3="",$A48&gt;MAX(CFD_L1000!$A$9:$A$108)),"",IFERROR(MATCH($A48,INDEX(CFD_L1000!$A$9:$A$108,1):INDEX(CFD_L1000!$A$9:$A$108,COUNT(CFD_L1000!$A$9:$A$108)),1),""))</f>
        <v>27</v>
      </c>
      <c r="J48" s="18">
        <f>IF(OR(CFD_L1000!$I$3="",$A48&gt;MAX(CFD_L1000!$H$9:$H$108)),"",IFERROR(MATCH($A48,INDEX(CFD_L1000!$H$9:$H$108,1):INDEX(CFD_L1000!$H$9:$H$108,COUNT(CFD_L1000!$H$9:$H$108)),1),""))</f>
        <v>29</v>
      </c>
      <c r="K48" s="18">
        <f>IF(OR(CFD_L1000!$P$3="",$A48&gt;MAX(CFD_L1000!$O$9:$O$108)),"",IFERROR(MATCH($A48,INDEX(CFD_L1000!$O$9:$O$108,1):INDEX(CFD_L1000!$O$9:$O$108,COUNT(CFD_L1000!$O$9:$O$108)),1),""))</f>
        <v>30</v>
      </c>
      <c r="L48" s="18" t="str">
        <f>IF(OR(CFD_L1000!$W$3="",$A48&gt;MAX(CFD_L1000!$V$9:$V$108)),"",IFERROR(MATCH($A48,INDEX(CFD_L1000!$V$9:$V$108,1):INDEX(CFD_L1000!$V$9:$V$108,COUNT(CFD_L1000!$V$9:$V$108)),1),""))</f>
        <v/>
      </c>
      <c r="M48" s="18" t="str">
        <f>IF(OR(CFD_L1000!$AD$3="",$A48&gt;MAX(CFD_L1000!$AC$9:$AC$108)),"",IFERROR(MATCH($A48,INDEX(CFD_L1000!$AC$9:$AC$108,1):INDEX(CFD_L1000!$AC$9:$AC$108,COUNT(CFD_L1000!$AC$9:$AC$108)),1),""))</f>
        <v/>
      </c>
    </row>
    <row r="52" spans="1:13" ht="25.5" customHeight="1" x14ac:dyDescent="0.25">
      <c r="A52" s="39" t="s">
        <v>185</v>
      </c>
      <c r="B52" s="40"/>
      <c r="C52" s="40"/>
      <c r="D52" s="40"/>
      <c r="E52" s="40"/>
      <c r="F52" s="40"/>
      <c r="G52" s="40"/>
      <c r="H52" s="40"/>
    </row>
    <row r="53" spans="1:13" ht="31.5" customHeight="1" x14ac:dyDescent="0.25">
      <c r="A53" s="4" t="s">
        <v>176</v>
      </c>
      <c r="B53" s="4" t="str">
        <f>IF(CFD_L1500!B3="","Q1","vₓ/v₀ (Q="&amp;CFD_L1500!B3&amp;")")</f>
        <v>vₓ/v₀ (Q=80)</v>
      </c>
      <c r="C53" s="4" t="str">
        <f>IF(CFD_L1500!I3="","Q2","vₓ/v₀ (Q="&amp;CFD_L1500!I3&amp;")")</f>
        <v>vₓ/v₀ (Q=150)</v>
      </c>
      <c r="D53" s="4" t="str">
        <f>IF(CFD_L1500!P3="","Q3","vₓ/v₀ (Q="&amp;CFD_L1500!P3&amp;")")</f>
        <v>vₓ/v₀ (Q=250)</v>
      </c>
      <c r="E53" s="4" t="str">
        <f>IF(CFD_L1500!W3="","Q4","vₓ/v₀ (Q="&amp;CFD_L1500!W3&amp;")")</f>
        <v>vₓ/v₀ (Q=300)</v>
      </c>
      <c r="F53" s="4" t="str">
        <f>IF(CFD_L1500!AD3="","Q5","vₓ/v₀ (Q="&amp;CFD_L1500!AD3&amp;")")</f>
        <v>Q5</v>
      </c>
      <c r="G53" s="4" t="s">
        <v>177</v>
      </c>
      <c r="H53" s="4" t="s">
        <v>178</v>
      </c>
      <c r="I53" s="4" t="s">
        <v>179</v>
      </c>
      <c r="J53" s="4" t="s">
        <v>180</v>
      </c>
      <c r="K53" s="4" t="s">
        <v>181</v>
      </c>
      <c r="L53" s="4" t="s">
        <v>182</v>
      </c>
      <c r="M53" s="4" t="s">
        <v>183</v>
      </c>
    </row>
    <row r="54" spans="1:13" x14ac:dyDescent="0.25">
      <c r="A54" s="9">
        <v>0.5</v>
      </c>
      <c r="B54" s="13">
        <f>IF(I54="","",IFERROR(EXP(LN(INDEX(CFD_L1500!$B$1:$B$130,8+I54))+(LN($A54)-LN(INDEX(CFD_L1500!$A$1:$A$130,8+I54)))*(LN(INDEX(CFD_L1500!$B$1:$B$130,9+I54))-LN(INDEX(CFD_L1500!$B$1:$B$130,8+I54)))/(LN(INDEX(CFD_L1500!$A$1:$A$130,9+I54))-LN(INDEX(CFD_L1500!$A$1:$A$130,8+I54))))/CFD_L1500!$B$4,""))</f>
        <v>0.31361659933312952</v>
      </c>
      <c r="C54" s="13">
        <f>IF(J54="","",IFERROR(EXP(LN(INDEX(CFD_L1500!$I$1:$I$130,8+J54))+(LN($A54)-LN(INDEX(CFD_L1500!$H$1:$H$130,8+J54)))*(LN(INDEX(CFD_L1500!$I$1:$I$130,9+J54))-LN(INDEX(CFD_L1500!$I$1:$I$130,8+J54)))/(LN(INDEX(CFD_L1500!$H$1:$H$130,9+J54))-LN(INDEX(CFD_L1500!$H$1:$H$130,8+J54))))/CFD_L1500!$I$4,""))</f>
        <v>0.31566931031633494</v>
      </c>
      <c r="D54" s="13">
        <f>IF(K54="","",IFERROR(EXP(LN(INDEX(CFD_L1500!$P$1:$P$130,8+K54))+(LN($A54)-LN(INDEX(CFD_L1500!$O$1:$O$130,8+K54)))*(LN(INDEX(CFD_L1500!$P$1:$P$130,9+K54))-LN(INDEX(CFD_L1500!$P$1:$P$130,8+K54)))/(LN(INDEX(CFD_L1500!$O$1:$O$130,9+K54))-LN(INDEX(CFD_L1500!$O$1:$O$130,8+K54))))/CFD_L1500!$P$4,""))</f>
        <v>0.33278724720551872</v>
      </c>
      <c r="E54" s="13">
        <f>IF(L54="","",IFERROR(EXP(LN(INDEX(CFD_L1500!$W$1:$W$130,8+L54))+(LN($A54)-LN(INDEX(CFD_L1500!$V$1:$V$130,8+L54)))*(LN(INDEX(CFD_L1500!$W$1:$W$130,9+L54))-LN(INDEX(CFD_L1500!$W$1:$W$130,8+L54)))/(LN(INDEX(CFD_L1500!$V$1:$V$130,9+L54))-LN(INDEX(CFD_L1500!$V$1:$V$130,8+L54))))/CFD_L1500!$W$4,""))</f>
        <v>0.32789278407536626</v>
      </c>
      <c r="F54" s="13" t="str">
        <f>IF(M54="","",IFERROR(EXP(LN(INDEX(CFD_L1500!$AD$1:$AD$130,8+M54))+(LN($A54)-LN(INDEX(CFD_L1500!$AC$1:$AC$130,8+M54)))*(LN(INDEX(CFD_L1500!$AD$1:$AD$130,9+M54))-LN(INDEX(CFD_L1500!$AD$1:$AD$130,8+M54)))/(LN(INDEX(CFD_L1500!$AC$1:$AC$130,9+M54))-LN(INDEX(CFD_L1500!$AC$1:$AC$130,8+M54))))/CFD_L1500!$AD$4,""))</f>
        <v/>
      </c>
      <c r="G54" s="25">
        <f t="shared" ref="G54:G72" si="4">IFERROR(AVERAGE(B54:F54),"")</f>
        <v>0.32249148523258736</v>
      </c>
      <c r="H54" s="38">
        <f t="shared" ref="H54:H72" si="5">IFERROR((MAX(B54:F54)-MIN(B54:F54))/G54,"")</f>
        <v>5.9445438872790531E-2</v>
      </c>
      <c r="I54" s="18">
        <f>IF(OR(CFD_L1500!$B$3="",$A54&gt;MAX(CFD_L1500!$A$9:$A$108)),"",IFERROR(MATCH($A54,INDEX(CFD_L1500!$A$9:$A$108,1):INDEX(CFD_L1500!$A$9:$A$108,COUNT(CFD_L1500!$A$9:$A$108)),1),""))</f>
        <v>16</v>
      </c>
      <c r="J54" s="18">
        <f>IF(OR(CFD_L1500!$I$3="",$A54&gt;MAX(CFD_L1500!$H$9:$H$108)),"",IFERROR(MATCH($A54,INDEX(CFD_L1500!$H$9:$H$108,1):INDEX(CFD_L1500!$H$9:$H$108,COUNT(CFD_L1500!$H$9:$H$108)),1),""))</f>
        <v>18</v>
      </c>
      <c r="K54" s="18">
        <f>IF(OR(CFD_L1500!$P$3="",$A54&gt;MAX(CFD_L1500!$O$9:$O$108)),"",IFERROR(MATCH($A54,INDEX(CFD_L1500!$O$9:$O$108,1):INDEX(CFD_L1500!$O$9:$O$108,COUNT(CFD_L1500!$O$9:$O$108)),1),""))</f>
        <v>15</v>
      </c>
      <c r="L54" s="18">
        <f>IF(OR(CFD_L1500!$W$3="",$A54&gt;MAX(CFD_L1500!$V$9:$V$108)),"",IFERROR(MATCH($A54,INDEX(CFD_L1500!$V$9:$V$108,1):INDEX(CFD_L1500!$V$9:$V$108,COUNT(CFD_L1500!$V$9:$V$108)),1),""))</f>
        <v>15</v>
      </c>
      <c r="M54" s="18" t="str">
        <f>IF(OR(CFD_L1500!$AD$3="",$A54&gt;MAX(CFD_L1500!$AC$9:$AC$108)),"",IFERROR(MATCH($A54,INDEX(CFD_L1500!$AC$9:$AC$108,1):INDEX(CFD_L1500!$AC$9:$AC$108,COUNT(CFD_L1500!$AC$9:$AC$108)),1),""))</f>
        <v/>
      </c>
    </row>
    <row r="55" spans="1:13" x14ac:dyDescent="0.25">
      <c r="A55" s="9">
        <v>1</v>
      </c>
      <c r="B55" s="13">
        <f>IF(I55="","",IFERROR(EXP(LN(INDEX(CFD_L1500!$B$1:$B$130,8+I55))+(LN($A55)-LN(INDEX(CFD_L1500!$A$1:$A$130,8+I55)))*(LN(INDEX(CFD_L1500!$B$1:$B$130,9+I55))-LN(INDEX(CFD_L1500!$B$1:$B$130,8+I55)))/(LN(INDEX(CFD_L1500!$A$1:$A$130,9+I55))-LN(INDEX(CFD_L1500!$A$1:$A$130,8+I55))))/CFD_L1500!$B$4,""))</f>
        <v>0.18629623824335459</v>
      </c>
      <c r="C55" s="13">
        <f>IF(J55="","",IFERROR(EXP(LN(INDEX(CFD_L1500!$I$1:$I$130,8+J55))+(LN($A55)-LN(INDEX(CFD_L1500!$H$1:$H$130,8+J55)))*(LN(INDEX(CFD_L1500!$I$1:$I$130,9+J55))-LN(INDEX(CFD_L1500!$I$1:$I$130,8+J55)))/(LN(INDEX(CFD_L1500!$H$1:$H$130,9+J55))-LN(INDEX(CFD_L1500!$H$1:$H$130,8+J55))))/CFD_L1500!$I$4,""))</f>
        <v>0.19074871305538185</v>
      </c>
      <c r="D55" s="13">
        <f>IF(K55="","",IFERROR(EXP(LN(INDEX(CFD_L1500!$P$1:$P$130,8+K55))+(LN($A55)-LN(INDEX(CFD_L1500!$O$1:$O$130,8+K55)))*(LN(INDEX(CFD_L1500!$P$1:$P$130,9+K55))-LN(INDEX(CFD_L1500!$P$1:$P$130,8+K55)))/(LN(INDEX(CFD_L1500!$O$1:$O$130,9+K55))-LN(INDEX(CFD_L1500!$O$1:$O$130,8+K55))))/CFD_L1500!$P$4,""))</f>
        <v>0.19821222969645427</v>
      </c>
      <c r="E55" s="13">
        <f>IF(L55="","",IFERROR(EXP(LN(INDEX(CFD_L1500!$W$1:$W$130,8+L55))+(LN($A55)-LN(INDEX(CFD_L1500!$V$1:$V$130,8+L55)))*(LN(INDEX(CFD_L1500!$W$1:$W$130,9+L55))-LN(INDEX(CFD_L1500!$W$1:$W$130,8+L55)))/(LN(INDEX(CFD_L1500!$V$1:$V$130,9+L55))-LN(INDEX(CFD_L1500!$V$1:$V$130,8+L55))))/CFD_L1500!$W$4,""))</f>
        <v>0.19104153071712848</v>
      </c>
      <c r="F55" s="13" t="str">
        <f>IF(M55="","",IFERROR(EXP(LN(INDEX(CFD_L1500!$AD$1:$AD$130,8+M55))+(LN($A55)-LN(INDEX(CFD_L1500!$AC$1:$AC$130,8+M55)))*(LN(INDEX(CFD_L1500!$AD$1:$AD$130,9+M55))-LN(INDEX(CFD_L1500!$AD$1:$AD$130,8+M55)))/(LN(INDEX(CFD_L1500!$AC$1:$AC$130,9+M55))-LN(INDEX(CFD_L1500!$AC$1:$AC$130,8+M55))))/CFD_L1500!$AD$4,""))</f>
        <v/>
      </c>
      <c r="G55" s="25">
        <f t="shared" si="4"/>
        <v>0.19157467792807981</v>
      </c>
      <c r="H55" s="38">
        <f t="shared" si="5"/>
        <v>6.2200242651970619E-2</v>
      </c>
      <c r="I55" s="18">
        <f>IF(OR(CFD_L1500!$B$3="",$A55&gt;MAX(CFD_L1500!$A$9:$A$108)),"",IFERROR(MATCH($A55,INDEX(CFD_L1500!$A$9:$A$108,1):INDEX(CFD_L1500!$A$9:$A$108,COUNT(CFD_L1500!$A$9:$A$108)),1),""))</f>
        <v>19</v>
      </c>
      <c r="J55" s="18">
        <f>IF(OR(CFD_L1500!$I$3="",$A55&gt;MAX(CFD_L1500!$H$9:$H$108)),"",IFERROR(MATCH($A55,INDEX(CFD_L1500!$H$9:$H$108,1):INDEX(CFD_L1500!$H$9:$H$108,COUNT(CFD_L1500!$H$9:$H$108)),1),""))</f>
        <v>21</v>
      </c>
      <c r="K55" s="18">
        <f>IF(OR(CFD_L1500!$P$3="",$A55&gt;MAX(CFD_L1500!$O$9:$O$108)),"",IFERROR(MATCH($A55,INDEX(CFD_L1500!$O$9:$O$108,1):INDEX(CFD_L1500!$O$9:$O$108,COUNT(CFD_L1500!$O$9:$O$108)),1),""))</f>
        <v>18</v>
      </c>
      <c r="L55" s="18">
        <f>IF(OR(CFD_L1500!$W$3="",$A55&gt;MAX(CFD_L1500!$V$9:$V$108)),"",IFERROR(MATCH($A55,INDEX(CFD_L1500!$V$9:$V$108,1):INDEX(CFD_L1500!$V$9:$V$108,COUNT(CFD_L1500!$V$9:$V$108)),1),""))</f>
        <v>18</v>
      </c>
      <c r="M55" s="18" t="str">
        <f>IF(OR(CFD_L1500!$AD$3="",$A55&gt;MAX(CFD_L1500!$AC$9:$AC$108)),"",IFERROR(MATCH($A55,INDEX(CFD_L1500!$AC$9:$AC$108,1):INDEX(CFD_L1500!$AC$9:$AC$108,COUNT(CFD_L1500!$AC$9:$AC$108)),1),""))</f>
        <v/>
      </c>
    </row>
    <row r="56" spans="1:13" x14ac:dyDescent="0.25">
      <c r="A56" s="9">
        <v>1.5</v>
      </c>
      <c r="B56" s="13">
        <f>IF(I56="","",IFERROR(EXP(LN(INDEX(CFD_L1500!$B$1:$B$130,8+I56))+(LN($A56)-LN(INDEX(CFD_L1500!$A$1:$A$130,8+I56)))*(LN(INDEX(CFD_L1500!$B$1:$B$130,9+I56))-LN(INDEX(CFD_L1500!$B$1:$B$130,8+I56)))/(LN(INDEX(CFD_L1500!$A$1:$A$130,9+I56))-LN(INDEX(CFD_L1500!$A$1:$A$130,8+I56))))/CFD_L1500!$B$4,""))</f>
        <v>0.1630167411222295</v>
      </c>
      <c r="C56" s="13">
        <f>IF(J56="","",IFERROR(EXP(LN(INDEX(CFD_L1500!$I$1:$I$130,8+J56))+(LN($A56)-LN(INDEX(CFD_L1500!$H$1:$H$130,8+J56)))*(LN(INDEX(CFD_L1500!$I$1:$I$130,9+J56))-LN(INDEX(CFD_L1500!$I$1:$I$130,8+J56)))/(LN(INDEX(CFD_L1500!$H$1:$H$130,9+J56))-LN(INDEX(CFD_L1500!$H$1:$H$130,8+J56))))/CFD_L1500!$I$4,""))</f>
        <v>0.16813466578974767</v>
      </c>
      <c r="D56" s="13">
        <f>IF(K56="","",IFERROR(EXP(LN(INDEX(CFD_L1500!$P$1:$P$130,8+K56))+(LN($A56)-LN(INDEX(CFD_L1500!$O$1:$O$130,8+K56)))*(LN(INDEX(CFD_L1500!$P$1:$P$130,9+K56))-LN(INDEX(CFD_L1500!$P$1:$P$130,8+K56)))/(LN(INDEX(CFD_L1500!$O$1:$O$130,9+K56))-LN(INDEX(CFD_L1500!$O$1:$O$130,8+K56))))/CFD_L1500!$P$4,""))</f>
        <v>0.1766674549697666</v>
      </c>
      <c r="E56" s="13">
        <f>IF(L56="","",IFERROR(EXP(LN(INDEX(CFD_L1500!$W$1:$W$130,8+L56))+(LN($A56)-LN(INDEX(CFD_L1500!$V$1:$V$130,8+L56)))*(LN(INDEX(CFD_L1500!$W$1:$W$130,9+L56))-LN(INDEX(CFD_L1500!$W$1:$W$130,8+L56)))/(LN(INDEX(CFD_L1500!$V$1:$V$130,9+L56))-LN(INDEX(CFD_L1500!$V$1:$V$130,8+L56))))/CFD_L1500!$W$4,""))</f>
        <v>0.16755537981320551</v>
      </c>
      <c r="F56" s="13" t="str">
        <f>IF(M56="","",IFERROR(EXP(LN(INDEX(CFD_L1500!$AD$1:$AD$130,8+M56))+(LN($A56)-LN(INDEX(CFD_L1500!$AC$1:$AC$130,8+M56)))*(LN(INDEX(CFD_L1500!$AD$1:$AD$130,9+M56))-LN(INDEX(CFD_L1500!$AD$1:$AD$130,8+M56)))/(LN(INDEX(CFD_L1500!$AC$1:$AC$130,9+M56))-LN(INDEX(CFD_L1500!$AC$1:$AC$130,8+M56))))/CFD_L1500!$AD$4,""))</f>
        <v/>
      </c>
      <c r="G56" s="25">
        <f t="shared" si="4"/>
        <v>0.16884356042373733</v>
      </c>
      <c r="H56" s="38">
        <f t="shared" si="5"/>
        <v>8.0848294203691662E-2</v>
      </c>
      <c r="I56" s="18">
        <f>IF(OR(CFD_L1500!$B$3="",$A56&gt;MAX(CFD_L1500!$A$9:$A$108)),"",IFERROR(MATCH($A56,INDEX(CFD_L1500!$A$9:$A$108,1):INDEX(CFD_L1500!$A$9:$A$108,COUNT(CFD_L1500!$A$9:$A$108)),1),""))</f>
        <v>20</v>
      </c>
      <c r="J56" s="18">
        <f>IF(OR(CFD_L1500!$I$3="",$A56&gt;MAX(CFD_L1500!$H$9:$H$108)),"",IFERROR(MATCH($A56,INDEX(CFD_L1500!$H$9:$H$108,1):INDEX(CFD_L1500!$H$9:$H$108,COUNT(CFD_L1500!$H$9:$H$108)),1),""))</f>
        <v>22</v>
      </c>
      <c r="K56" s="18">
        <f>IF(OR(CFD_L1500!$P$3="",$A56&gt;MAX(CFD_L1500!$O$9:$O$108)),"",IFERROR(MATCH($A56,INDEX(CFD_L1500!$O$9:$O$108,1):INDEX(CFD_L1500!$O$9:$O$108,COUNT(CFD_L1500!$O$9:$O$108)),1),""))</f>
        <v>19</v>
      </c>
      <c r="L56" s="18">
        <f>IF(OR(CFD_L1500!$W$3="",$A56&gt;MAX(CFD_L1500!$V$9:$V$108)),"",IFERROR(MATCH($A56,INDEX(CFD_L1500!$V$9:$V$108,1):INDEX(CFD_L1500!$V$9:$V$108,COUNT(CFD_L1500!$V$9:$V$108)),1),""))</f>
        <v>19</v>
      </c>
      <c r="M56" s="18" t="str">
        <f>IF(OR(CFD_L1500!$AD$3="",$A56&gt;MAX(CFD_L1500!$AC$9:$AC$108)),"",IFERROR(MATCH($A56,INDEX(CFD_L1500!$AC$9:$AC$108,1):INDEX(CFD_L1500!$AC$9:$AC$108,COUNT(CFD_L1500!$AC$9:$AC$108)),1),""))</f>
        <v/>
      </c>
    </row>
    <row r="57" spans="1:13" x14ac:dyDescent="0.25">
      <c r="A57" s="9">
        <v>2</v>
      </c>
      <c r="B57" s="13">
        <f>IF(I57="","",IFERROR(EXP(LN(INDEX(CFD_L1500!$B$1:$B$130,8+I57))+(LN($A57)-LN(INDEX(CFD_L1500!$A$1:$A$130,8+I57)))*(LN(INDEX(CFD_L1500!$B$1:$B$130,9+I57))-LN(INDEX(CFD_L1500!$B$1:$B$130,8+I57)))/(LN(INDEX(CFD_L1500!$A$1:$A$130,9+I57))-LN(INDEX(CFD_L1500!$A$1:$A$130,8+I57))))/CFD_L1500!$B$4,""))</f>
        <v>0.15359310621119673</v>
      </c>
      <c r="C57" s="13">
        <f>IF(J57="","",IFERROR(EXP(LN(INDEX(CFD_L1500!$I$1:$I$130,8+J57))+(LN($A57)-LN(INDEX(CFD_L1500!$H$1:$H$130,8+J57)))*(LN(INDEX(CFD_L1500!$I$1:$I$130,9+J57))-LN(INDEX(CFD_L1500!$I$1:$I$130,8+J57)))/(LN(INDEX(CFD_L1500!$H$1:$H$130,9+J57))-LN(INDEX(CFD_L1500!$H$1:$H$130,8+J57))))/CFD_L1500!$I$4,""))</f>
        <v>0.15838480143390532</v>
      </c>
      <c r="D57" s="13">
        <f>IF(K57="","",IFERROR(EXP(LN(INDEX(CFD_L1500!$P$1:$P$130,8+K57))+(LN($A57)-LN(INDEX(CFD_L1500!$O$1:$O$130,8+K57)))*(LN(INDEX(CFD_L1500!$P$1:$P$130,9+K57))-LN(INDEX(CFD_L1500!$P$1:$P$130,8+K57)))/(LN(INDEX(CFD_L1500!$O$1:$O$130,9+K57))-LN(INDEX(CFD_L1500!$O$1:$O$130,8+K57))))/CFD_L1500!$P$4,""))</f>
        <v>0.16642281858813285</v>
      </c>
      <c r="E57" s="13">
        <f>IF(L57="","",IFERROR(EXP(LN(INDEX(CFD_L1500!$W$1:$W$130,8+L57))+(LN($A57)-LN(INDEX(CFD_L1500!$V$1:$V$130,8+L57)))*(LN(INDEX(CFD_L1500!$W$1:$W$130,9+L57))-LN(INDEX(CFD_L1500!$W$1:$W$130,8+L57)))/(LN(INDEX(CFD_L1500!$V$1:$V$130,9+L57))-LN(INDEX(CFD_L1500!$V$1:$V$130,8+L57))))/CFD_L1500!$W$4,""))</f>
        <v>0.15927487693560247</v>
      </c>
      <c r="F57" s="13" t="str">
        <f>IF(M57="","",IFERROR(EXP(LN(INDEX(CFD_L1500!$AD$1:$AD$130,8+M57))+(LN($A57)-LN(INDEX(CFD_L1500!$AC$1:$AC$130,8+M57)))*(LN(INDEX(CFD_L1500!$AD$1:$AD$130,9+M57))-LN(INDEX(CFD_L1500!$AD$1:$AD$130,8+M57)))/(LN(INDEX(CFD_L1500!$AC$1:$AC$130,9+M57))-LN(INDEX(CFD_L1500!$AC$1:$AC$130,8+M57))))/CFD_L1500!$AD$4,""))</f>
        <v/>
      </c>
      <c r="G57" s="25">
        <f t="shared" si="4"/>
        <v>0.15941890079220933</v>
      </c>
      <c r="H57" s="38">
        <f t="shared" si="5"/>
        <v>8.0477987949864799E-2</v>
      </c>
      <c r="I57" s="18">
        <f>IF(OR(CFD_L1500!$B$3="",$A57&gt;MAX(CFD_L1500!$A$9:$A$108)),"",IFERROR(MATCH($A57,INDEX(CFD_L1500!$A$9:$A$108,1):INDEX(CFD_L1500!$A$9:$A$108,COUNT(CFD_L1500!$A$9:$A$108)),1),""))</f>
        <v>21</v>
      </c>
      <c r="J57" s="18">
        <f>IF(OR(CFD_L1500!$I$3="",$A57&gt;MAX(CFD_L1500!$H$9:$H$108)),"",IFERROR(MATCH($A57,INDEX(CFD_L1500!$H$9:$H$108,1):INDEX(CFD_L1500!$H$9:$H$108,COUNT(CFD_L1500!$H$9:$H$108)),1),""))</f>
        <v>23</v>
      </c>
      <c r="K57" s="18">
        <f>IF(OR(CFD_L1500!$P$3="",$A57&gt;MAX(CFD_L1500!$O$9:$O$108)),"",IFERROR(MATCH($A57,INDEX(CFD_L1500!$O$9:$O$108,1):INDEX(CFD_L1500!$O$9:$O$108,COUNT(CFD_L1500!$O$9:$O$108)),1),""))</f>
        <v>20</v>
      </c>
      <c r="L57" s="18">
        <f>IF(OR(CFD_L1500!$W$3="",$A57&gt;MAX(CFD_L1500!$V$9:$V$108)),"",IFERROR(MATCH($A57,INDEX(CFD_L1500!$V$9:$V$108,1):INDEX(CFD_L1500!$V$9:$V$108,COUNT(CFD_L1500!$V$9:$V$108)),1),""))</f>
        <v>21</v>
      </c>
      <c r="M57" s="18" t="str">
        <f>IF(OR(CFD_L1500!$AD$3="",$A57&gt;MAX(CFD_L1500!$AC$9:$AC$108)),"",IFERROR(MATCH($A57,INDEX(CFD_L1500!$AC$9:$AC$108,1):INDEX(CFD_L1500!$AC$9:$AC$108,COUNT(CFD_L1500!$AC$9:$AC$108)),1),""))</f>
        <v/>
      </c>
    </row>
    <row r="58" spans="1:13" x14ac:dyDescent="0.25">
      <c r="A58" s="9">
        <v>2.5</v>
      </c>
      <c r="B58" s="13">
        <f>IF(I58="","",IFERROR(EXP(LN(INDEX(CFD_L1500!$B$1:$B$130,8+I58))+(LN($A58)-LN(INDEX(CFD_L1500!$A$1:$A$130,8+I58)))*(LN(INDEX(CFD_L1500!$B$1:$B$130,9+I58))-LN(INDEX(CFD_L1500!$B$1:$B$130,8+I58)))/(LN(INDEX(CFD_L1500!$A$1:$A$130,9+I58))-LN(INDEX(CFD_L1500!$A$1:$A$130,8+I58))))/CFD_L1500!$B$4,""))</f>
        <v>0.15004615977283534</v>
      </c>
      <c r="C58" s="13">
        <f>IF(J58="","",IFERROR(EXP(LN(INDEX(CFD_L1500!$I$1:$I$130,8+J58))+(LN($A58)-LN(INDEX(CFD_L1500!$H$1:$H$130,8+J58)))*(LN(INDEX(CFD_L1500!$I$1:$I$130,9+J58))-LN(INDEX(CFD_L1500!$I$1:$I$130,8+J58)))/(LN(INDEX(CFD_L1500!$H$1:$H$130,9+J58))-LN(INDEX(CFD_L1500!$H$1:$H$130,8+J58))))/CFD_L1500!$I$4,""))</f>
        <v>0.15482936336020672</v>
      </c>
      <c r="D58" s="13">
        <f>IF(K58="","",IFERROR(EXP(LN(INDEX(CFD_L1500!$P$1:$P$130,8+K58))+(LN($A58)-LN(INDEX(CFD_L1500!$O$1:$O$130,8+K58)))*(LN(INDEX(CFD_L1500!$P$1:$P$130,9+K58))-LN(INDEX(CFD_L1500!$P$1:$P$130,8+K58)))/(LN(INDEX(CFD_L1500!$O$1:$O$130,9+K58))-LN(INDEX(CFD_L1500!$O$1:$O$130,8+K58))))/CFD_L1500!$P$4,""))</f>
        <v>0.16148786512313837</v>
      </c>
      <c r="E58" s="13">
        <f>IF(L58="","",IFERROR(EXP(LN(INDEX(CFD_L1500!$W$1:$W$130,8+L58))+(LN($A58)-LN(INDEX(CFD_L1500!$V$1:$V$130,8+L58)))*(LN(INDEX(CFD_L1500!$W$1:$W$130,9+L58))-LN(INDEX(CFD_L1500!$W$1:$W$130,8+L58)))/(LN(INDEX(CFD_L1500!$V$1:$V$130,9+L58))-LN(INDEX(CFD_L1500!$V$1:$V$130,8+L58))))/CFD_L1500!$W$4,""))</f>
        <v>0.15516999023531411</v>
      </c>
      <c r="F58" s="13" t="str">
        <f>IF(M58="","",IFERROR(EXP(LN(INDEX(CFD_L1500!$AD$1:$AD$130,8+M58))+(LN($A58)-LN(INDEX(CFD_L1500!$AC$1:$AC$130,8+M58)))*(LN(INDEX(CFD_L1500!$AD$1:$AD$130,9+M58))-LN(INDEX(CFD_L1500!$AD$1:$AD$130,8+M58)))/(LN(INDEX(CFD_L1500!$AC$1:$AC$130,9+M58))-LN(INDEX(CFD_L1500!$AC$1:$AC$130,8+M58))))/CFD_L1500!$AD$4,""))</f>
        <v/>
      </c>
      <c r="G58" s="25">
        <f t="shared" si="4"/>
        <v>0.15538334462287362</v>
      </c>
      <c r="H58" s="38">
        <f t="shared" si="5"/>
        <v>7.363533960523802E-2</v>
      </c>
      <c r="I58" s="18">
        <f>IF(OR(CFD_L1500!$B$3="",$A58&gt;MAX(CFD_L1500!$A$9:$A$108)),"",IFERROR(MATCH($A58,INDEX(CFD_L1500!$A$9:$A$108,1):INDEX(CFD_L1500!$A$9:$A$108,COUNT(CFD_L1500!$A$9:$A$108)),1),""))</f>
        <v>22</v>
      </c>
      <c r="J58" s="18">
        <f>IF(OR(CFD_L1500!$I$3="",$A58&gt;MAX(CFD_L1500!$H$9:$H$108)),"",IFERROR(MATCH($A58,INDEX(CFD_L1500!$H$9:$H$108,1):INDEX(CFD_L1500!$H$9:$H$108,COUNT(CFD_L1500!$H$9:$H$108)),1),""))</f>
        <v>24</v>
      </c>
      <c r="K58" s="18">
        <f>IF(OR(CFD_L1500!$P$3="",$A58&gt;MAX(CFD_L1500!$O$9:$O$108)),"",IFERROR(MATCH($A58,INDEX(CFD_L1500!$O$9:$O$108,1):INDEX(CFD_L1500!$O$9:$O$108,COUNT(CFD_L1500!$O$9:$O$108)),1),""))</f>
        <v>21</v>
      </c>
      <c r="L58" s="18">
        <f>IF(OR(CFD_L1500!$W$3="",$A58&gt;MAX(CFD_L1500!$V$9:$V$108)),"",IFERROR(MATCH($A58,INDEX(CFD_L1500!$V$9:$V$108,1):INDEX(CFD_L1500!$V$9:$V$108,COUNT(CFD_L1500!$V$9:$V$108)),1),""))</f>
        <v>21</v>
      </c>
      <c r="M58" s="18" t="str">
        <f>IF(OR(CFD_L1500!$AD$3="",$A58&gt;MAX(CFD_L1500!$AC$9:$AC$108)),"",IFERROR(MATCH($A58,INDEX(CFD_L1500!$AC$9:$AC$108,1):INDEX(CFD_L1500!$AC$9:$AC$108,COUNT(CFD_L1500!$AC$9:$AC$108)),1),""))</f>
        <v/>
      </c>
    </row>
    <row r="59" spans="1:13" x14ac:dyDescent="0.25">
      <c r="A59" s="9">
        <v>3</v>
      </c>
      <c r="B59" s="13">
        <f>IF(I59="","",IFERROR(EXP(LN(INDEX(CFD_L1500!$B$1:$B$130,8+I59))+(LN($A59)-LN(INDEX(CFD_L1500!$A$1:$A$130,8+I59)))*(LN(INDEX(CFD_L1500!$B$1:$B$130,9+I59))-LN(INDEX(CFD_L1500!$B$1:$B$130,8+I59)))/(LN(INDEX(CFD_L1500!$A$1:$A$130,9+I59))-LN(INDEX(CFD_L1500!$A$1:$A$130,8+I59))))/CFD_L1500!$B$4,""))</f>
        <v>0.14727305164773541</v>
      </c>
      <c r="C59" s="13">
        <f>IF(J59="","",IFERROR(EXP(LN(INDEX(CFD_L1500!$I$1:$I$130,8+J59))+(LN($A59)-LN(INDEX(CFD_L1500!$H$1:$H$130,8+J59)))*(LN(INDEX(CFD_L1500!$I$1:$I$130,9+J59))-LN(INDEX(CFD_L1500!$I$1:$I$130,8+J59)))/(LN(INDEX(CFD_L1500!$H$1:$H$130,9+J59))-LN(INDEX(CFD_L1500!$H$1:$H$130,8+J59))))/CFD_L1500!$I$4,""))</f>
        <v>0.15236437679150305</v>
      </c>
      <c r="D59" s="13">
        <f>IF(K59="","",IFERROR(EXP(LN(INDEX(CFD_L1500!$P$1:$P$130,8+K59))+(LN($A59)-LN(INDEX(CFD_L1500!$O$1:$O$130,8+K59)))*(LN(INDEX(CFD_L1500!$P$1:$P$130,9+K59))-LN(INDEX(CFD_L1500!$P$1:$P$130,8+K59)))/(LN(INDEX(CFD_L1500!$O$1:$O$130,9+K59))-LN(INDEX(CFD_L1500!$O$1:$O$130,8+K59))))/CFD_L1500!$P$4,""))</f>
        <v>0.15776181235071696</v>
      </c>
      <c r="E59" s="13">
        <f>IF(L59="","",IFERROR(EXP(LN(INDEX(CFD_L1500!$W$1:$W$130,8+L59))+(LN($A59)-LN(INDEX(CFD_L1500!$V$1:$V$130,8+L59)))*(LN(INDEX(CFD_L1500!$W$1:$W$130,9+L59))-LN(INDEX(CFD_L1500!$W$1:$W$130,8+L59)))/(LN(INDEX(CFD_L1500!$V$1:$V$130,9+L59))-LN(INDEX(CFD_L1500!$V$1:$V$130,8+L59))))/CFD_L1500!$W$4,""))</f>
        <v>0.15189471018894676</v>
      </c>
      <c r="F59" s="13" t="str">
        <f>IF(M59="","",IFERROR(EXP(LN(INDEX(CFD_L1500!$AD$1:$AD$130,8+M59))+(LN($A59)-LN(INDEX(CFD_L1500!$AC$1:$AC$130,8+M59)))*(LN(INDEX(CFD_L1500!$AD$1:$AD$130,9+M59))-LN(INDEX(CFD_L1500!$AD$1:$AD$130,8+M59)))/(LN(INDEX(CFD_L1500!$AC$1:$AC$130,9+M59))-LN(INDEX(CFD_L1500!$AC$1:$AC$130,8+M59))))/CFD_L1500!$AD$4,""))</f>
        <v/>
      </c>
      <c r="G59" s="25">
        <f t="shared" si="4"/>
        <v>0.15232348774472554</v>
      </c>
      <c r="H59" s="38">
        <f t="shared" si="5"/>
        <v>6.8858459442311046E-2</v>
      </c>
      <c r="I59" s="18">
        <f>IF(OR(CFD_L1500!$B$3="",$A59&gt;MAX(CFD_L1500!$A$9:$A$108)),"",IFERROR(MATCH($A59,INDEX(CFD_L1500!$A$9:$A$108,1):INDEX(CFD_L1500!$A$9:$A$108,COUNT(CFD_L1500!$A$9:$A$108)),1),""))</f>
        <v>22</v>
      </c>
      <c r="J59" s="18">
        <f>IF(OR(CFD_L1500!$I$3="",$A59&gt;MAX(CFD_L1500!$H$9:$H$108)),"",IFERROR(MATCH($A59,INDEX(CFD_L1500!$H$9:$H$108,1):INDEX(CFD_L1500!$H$9:$H$108,COUNT(CFD_L1500!$H$9:$H$108)),1),""))</f>
        <v>24</v>
      </c>
      <c r="K59" s="18">
        <f>IF(OR(CFD_L1500!$P$3="",$A59&gt;MAX(CFD_L1500!$O$9:$O$108)),"",IFERROR(MATCH($A59,INDEX(CFD_L1500!$O$9:$O$108,1):INDEX(CFD_L1500!$O$9:$O$108,COUNT(CFD_L1500!$O$9:$O$108)),1),""))</f>
        <v>21</v>
      </c>
      <c r="L59" s="18">
        <f>IF(OR(CFD_L1500!$W$3="",$A59&gt;MAX(CFD_L1500!$V$9:$V$108)),"",IFERROR(MATCH($A59,INDEX(CFD_L1500!$V$9:$V$108,1):INDEX(CFD_L1500!$V$9:$V$108,COUNT(CFD_L1500!$V$9:$V$108)),1),""))</f>
        <v>21</v>
      </c>
      <c r="M59" s="18" t="str">
        <f>IF(OR(CFD_L1500!$AD$3="",$A59&gt;MAX(CFD_L1500!$AC$9:$AC$108)),"",IFERROR(MATCH($A59,INDEX(CFD_L1500!$AC$9:$AC$108,1):INDEX(CFD_L1500!$AC$9:$AC$108,COUNT(CFD_L1500!$AC$9:$AC$108)),1),""))</f>
        <v/>
      </c>
    </row>
    <row r="60" spans="1:13" x14ac:dyDescent="0.25">
      <c r="A60" s="9">
        <v>3.5</v>
      </c>
      <c r="B60" s="13">
        <f>IF(I60="","",IFERROR(EXP(LN(INDEX(CFD_L1500!$B$1:$B$130,8+I60))+(LN($A60)-LN(INDEX(CFD_L1500!$A$1:$A$130,8+I60)))*(LN(INDEX(CFD_L1500!$B$1:$B$130,9+I60))-LN(INDEX(CFD_L1500!$B$1:$B$130,8+I60)))/(LN(INDEX(CFD_L1500!$A$1:$A$130,9+I60))-LN(INDEX(CFD_L1500!$A$1:$A$130,8+I60))))/CFD_L1500!$B$4,""))</f>
        <v>0.14408127025812037</v>
      </c>
      <c r="C60" s="13">
        <f>IF(J60="","",IFERROR(EXP(LN(INDEX(CFD_L1500!$I$1:$I$130,8+J60))+(LN($A60)-LN(INDEX(CFD_L1500!$H$1:$H$130,8+J60)))*(LN(INDEX(CFD_L1500!$I$1:$I$130,9+J60))-LN(INDEX(CFD_L1500!$I$1:$I$130,8+J60)))/(LN(INDEX(CFD_L1500!$H$1:$H$130,9+J60))-LN(INDEX(CFD_L1500!$H$1:$H$130,8+J60))))/CFD_L1500!$I$4,""))</f>
        <v>0.15031090269162878</v>
      </c>
      <c r="D60" s="13">
        <f>IF(K60="","",IFERROR(EXP(LN(INDEX(CFD_L1500!$P$1:$P$130,8+K60))+(LN($A60)-LN(INDEX(CFD_L1500!$O$1:$O$130,8+K60)))*(LN(INDEX(CFD_L1500!$P$1:$P$130,9+K60))-LN(INDEX(CFD_L1500!$P$1:$P$130,8+K60)))/(LN(INDEX(CFD_L1500!$O$1:$O$130,9+K60))-LN(INDEX(CFD_L1500!$O$1:$O$130,8+K60))))/CFD_L1500!$P$4,""))</f>
        <v>0.15417784607570778</v>
      </c>
      <c r="E60" s="13">
        <f>IF(L60="","",IFERROR(EXP(LN(INDEX(CFD_L1500!$W$1:$W$130,8+L60))+(LN($A60)-LN(INDEX(CFD_L1500!$V$1:$V$130,8+L60)))*(LN(INDEX(CFD_L1500!$W$1:$W$130,9+L60))-LN(INDEX(CFD_L1500!$W$1:$W$130,8+L60)))/(LN(INDEX(CFD_L1500!$V$1:$V$130,9+L60))-LN(INDEX(CFD_L1500!$V$1:$V$130,8+L60))))/CFD_L1500!$W$4,""))</f>
        <v>0.14605755792777819</v>
      </c>
      <c r="F60" s="13" t="str">
        <f>IF(M60="","",IFERROR(EXP(LN(INDEX(CFD_L1500!$AD$1:$AD$130,8+M60))+(LN($A60)-LN(INDEX(CFD_L1500!$AC$1:$AC$130,8+M60)))*(LN(INDEX(CFD_L1500!$AD$1:$AD$130,9+M60))-LN(INDEX(CFD_L1500!$AD$1:$AD$130,8+M60)))/(LN(INDEX(CFD_L1500!$AC$1:$AC$130,9+M60))-LN(INDEX(CFD_L1500!$AC$1:$AC$130,8+M60))))/CFD_L1500!$AD$4,""))</f>
        <v/>
      </c>
      <c r="G60" s="25">
        <f t="shared" si="4"/>
        <v>0.1486568942383088</v>
      </c>
      <c r="H60" s="38">
        <f t="shared" si="5"/>
        <v>6.7918651666446075E-2</v>
      </c>
      <c r="I60" s="18">
        <f>IF(OR(CFD_L1500!$B$3="",$A60&gt;MAX(CFD_L1500!$A$9:$A$108)),"",IFERROR(MATCH($A60,INDEX(CFD_L1500!$A$9:$A$108,1):INDEX(CFD_L1500!$A$9:$A$108,COUNT(CFD_L1500!$A$9:$A$108)),1),""))</f>
        <v>23</v>
      </c>
      <c r="J60" s="18">
        <f>IF(OR(CFD_L1500!$I$3="",$A60&gt;MAX(CFD_L1500!$H$9:$H$108)),"",IFERROR(MATCH($A60,INDEX(CFD_L1500!$H$9:$H$108,1):INDEX(CFD_L1500!$H$9:$H$108,COUNT(CFD_L1500!$H$9:$H$108)),1),""))</f>
        <v>24</v>
      </c>
      <c r="K60" s="18">
        <f>IF(OR(CFD_L1500!$P$3="",$A60&gt;MAX(CFD_L1500!$O$9:$O$108)),"",IFERROR(MATCH($A60,INDEX(CFD_L1500!$O$9:$O$108,1):INDEX(CFD_L1500!$O$9:$O$108,COUNT(CFD_L1500!$O$9:$O$108)),1),""))</f>
        <v>22</v>
      </c>
      <c r="L60" s="18">
        <f>IF(OR(CFD_L1500!$W$3="",$A60&gt;MAX(CFD_L1500!$V$9:$V$108)),"",IFERROR(MATCH($A60,INDEX(CFD_L1500!$V$9:$V$108,1):INDEX(CFD_L1500!$V$9:$V$108,COUNT(CFD_L1500!$V$9:$V$108)),1),""))</f>
        <v>22</v>
      </c>
      <c r="M60" s="18" t="str">
        <f>IF(OR(CFD_L1500!$AD$3="",$A60&gt;MAX(CFD_L1500!$AC$9:$AC$108)),"",IFERROR(MATCH($A60,INDEX(CFD_L1500!$AC$9:$AC$108,1):INDEX(CFD_L1500!$AC$9:$AC$108,COUNT(CFD_L1500!$AC$9:$AC$108)),1),""))</f>
        <v/>
      </c>
    </row>
    <row r="61" spans="1:13" x14ac:dyDescent="0.25">
      <c r="A61" s="9">
        <v>4</v>
      </c>
      <c r="B61" s="13">
        <f>IF(I61="","",IFERROR(EXP(LN(INDEX(CFD_L1500!$B$1:$B$130,8+I61))+(LN($A61)-LN(INDEX(CFD_L1500!$A$1:$A$130,8+I61)))*(LN(INDEX(CFD_L1500!$B$1:$B$130,9+I61))-LN(INDEX(CFD_L1500!$B$1:$B$130,8+I61)))/(LN(INDEX(CFD_L1500!$A$1:$A$130,9+I61))-LN(INDEX(CFD_L1500!$A$1:$A$130,8+I61))))/CFD_L1500!$B$4,""))</f>
        <v>0.13777968077005368</v>
      </c>
      <c r="C61" s="13">
        <f>IF(J61="","",IFERROR(EXP(LN(INDEX(CFD_L1500!$I$1:$I$130,8+J61))+(LN($A61)-LN(INDEX(CFD_L1500!$H$1:$H$130,8+J61)))*(LN(INDEX(CFD_L1500!$I$1:$I$130,9+J61))-LN(INDEX(CFD_L1500!$I$1:$I$130,8+J61)))/(LN(INDEX(CFD_L1500!$H$1:$H$130,9+J61))-LN(INDEX(CFD_L1500!$H$1:$H$130,8+J61))))/CFD_L1500!$I$4,""))</f>
        <v>0.14492885929887089</v>
      </c>
      <c r="D61" s="13">
        <f>IF(K61="","",IFERROR(EXP(LN(INDEX(CFD_L1500!$P$1:$P$130,8+K61))+(LN($A61)-LN(INDEX(CFD_L1500!$O$1:$O$130,8+K61)))*(LN(INDEX(CFD_L1500!$P$1:$P$130,9+K61))-LN(INDEX(CFD_L1500!$P$1:$P$130,8+K61)))/(LN(INDEX(CFD_L1500!$O$1:$O$130,9+K61))-LN(INDEX(CFD_L1500!$O$1:$O$130,8+K61))))/CFD_L1500!$P$4,""))</f>
        <v>0.14644985433853391</v>
      </c>
      <c r="E61" s="13">
        <f>IF(L61="","",IFERROR(EXP(LN(INDEX(CFD_L1500!$W$1:$W$130,8+L61))+(LN($A61)-LN(INDEX(CFD_L1500!$V$1:$V$130,8+L61)))*(LN(INDEX(CFD_L1500!$W$1:$W$130,9+L61))-LN(INDEX(CFD_L1500!$W$1:$W$130,8+L61)))/(LN(INDEX(CFD_L1500!$V$1:$V$130,9+L61))-LN(INDEX(CFD_L1500!$V$1:$V$130,8+L61))))/CFD_L1500!$W$4,""))</f>
        <v>0.13901000269151828</v>
      </c>
      <c r="F61" s="13" t="str">
        <f>IF(M61="","",IFERROR(EXP(LN(INDEX(CFD_L1500!$AD$1:$AD$130,8+M61))+(LN($A61)-LN(INDEX(CFD_L1500!$AC$1:$AC$130,8+M61)))*(LN(INDEX(CFD_L1500!$AD$1:$AD$130,9+M61))-LN(INDEX(CFD_L1500!$AD$1:$AD$130,8+M61)))/(LN(INDEX(CFD_L1500!$AC$1:$AC$130,9+M61))-LN(INDEX(CFD_L1500!$AC$1:$AC$130,8+M61))))/CFD_L1500!$AD$4,""))</f>
        <v/>
      </c>
      <c r="G61" s="25">
        <f t="shared" si="4"/>
        <v>0.14204209927474418</v>
      </c>
      <c r="H61" s="38">
        <f t="shared" si="5"/>
        <v>6.1039463741731956E-2</v>
      </c>
      <c r="I61" s="18">
        <f>IF(OR(CFD_L1500!$B$3="",$A61&gt;MAX(CFD_L1500!$A$9:$A$108)),"",IFERROR(MATCH($A61,INDEX(CFD_L1500!$A$9:$A$108,1):INDEX(CFD_L1500!$A$9:$A$108,COUNT(CFD_L1500!$A$9:$A$108)),1),""))</f>
        <v>23</v>
      </c>
      <c r="J61" s="18">
        <f>IF(OR(CFD_L1500!$I$3="",$A61&gt;MAX(CFD_L1500!$H$9:$H$108)),"",IFERROR(MATCH($A61,INDEX(CFD_L1500!$H$9:$H$108,1):INDEX(CFD_L1500!$H$9:$H$108,COUNT(CFD_L1500!$H$9:$H$108)),1),""))</f>
        <v>25</v>
      </c>
      <c r="K61" s="18">
        <f>IF(OR(CFD_L1500!$P$3="",$A61&gt;MAX(CFD_L1500!$O$9:$O$108)),"",IFERROR(MATCH($A61,INDEX(CFD_L1500!$O$9:$O$108,1):INDEX(CFD_L1500!$O$9:$O$108,COUNT(CFD_L1500!$O$9:$O$108)),1),""))</f>
        <v>22</v>
      </c>
      <c r="L61" s="18">
        <f>IF(OR(CFD_L1500!$W$3="",$A61&gt;MAX(CFD_L1500!$V$9:$V$108)),"",IFERROR(MATCH($A61,INDEX(CFD_L1500!$V$9:$V$108,1):INDEX(CFD_L1500!$V$9:$V$108,COUNT(CFD_L1500!$V$9:$V$108)),1),""))</f>
        <v>22</v>
      </c>
      <c r="M61" s="18" t="str">
        <f>IF(OR(CFD_L1500!$AD$3="",$A61&gt;MAX(CFD_L1500!$AC$9:$AC$108)),"",IFERROR(MATCH($A61,INDEX(CFD_L1500!$AC$9:$AC$108,1):INDEX(CFD_L1500!$AC$9:$AC$108,COUNT(CFD_L1500!$AC$9:$AC$108)),1),""))</f>
        <v/>
      </c>
    </row>
    <row r="62" spans="1:13" x14ac:dyDescent="0.25">
      <c r="A62" s="9">
        <v>4.5</v>
      </c>
      <c r="B62" s="13">
        <f>IF(I62="","",IFERROR(EXP(LN(INDEX(CFD_L1500!$B$1:$B$130,8+I62))+(LN($A62)-LN(INDEX(CFD_L1500!$A$1:$A$130,8+I62)))*(LN(INDEX(CFD_L1500!$B$1:$B$130,9+I62))-LN(INDEX(CFD_L1500!$B$1:$B$130,8+I62)))/(LN(INDEX(CFD_L1500!$A$1:$A$130,9+I62))-LN(INDEX(CFD_L1500!$A$1:$A$130,8+I62))))/CFD_L1500!$B$4,""))</f>
        <v>0.13245045158954483</v>
      </c>
      <c r="C62" s="13">
        <f>IF(J62="","",IFERROR(EXP(LN(INDEX(CFD_L1500!$I$1:$I$130,8+J62))+(LN($A62)-LN(INDEX(CFD_L1500!$H$1:$H$130,8+J62)))*(LN(INDEX(CFD_L1500!$I$1:$I$130,9+J62))-LN(INDEX(CFD_L1500!$I$1:$I$130,8+J62)))/(LN(INDEX(CFD_L1500!$H$1:$H$130,9+J62))-LN(INDEX(CFD_L1500!$H$1:$H$130,8+J62))))/CFD_L1500!$I$4,""))</f>
        <v>0.13954662252267305</v>
      </c>
      <c r="D62" s="13">
        <f>IF(K62="","",IFERROR(EXP(LN(INDEX(CFD_L1500!$P$1:$P$130,8+K62))+(LN($A62)-LN(INDEX(CFD_L1500!$O$1:$O$130,8+K62)))*(LN(INDEX(CFD_L1500!$P$1:$P$130,9+K62))-LN(INDEX(CFD_L1500!$P$1:$P$130,8+K62)))/(LN(INDEX(CFD_L1500!$O$1:$O$130,9+K62))-LN(INDEX(CFD_L1500!$O$1:$O$130,8+K62))))/CFD_L1500!$P$4,""))</f>
        <v>0.13995545015685212</v>
      </c>
      <c r="E62" s="13">
        <f>IF(L62="","",IFERROR(EXP(LN(INDEX(CFD_L1500!$W$1:$W$130,8+L62))+(LN($A62)-LN(INDEX(CFD_L1500!$V$1:$V$130,8+L62)))*(LN(INDEX(CFD_L1500!$W$1:$W$130,9+L62))-LN(INDEX(CFD_L1500!$W$1:$W$130,8+L62)))/(LN(INDEX(CFD_L1500!$V$1:$V$130,9+L62))-LN(INDEX(CFD_L1500!$V$1:$V$130,8+L62))))/CFD_L1500!$W$4,""))</f>
        <v>0.13307642577569165</v>
      </c>
      <c r="F62" s="13" t="str">
        <f>IF(M62="","",IFERROR(EXP(LN(INDEX(CFD_L1500!$AD$1:$AD$130,8+M62))+(LN($A62)-LN(INDEX(CFD_L1500!$AC$1:$AC$130,8+M62)))*(LN(INDEX(CFD_L1500!$AD$1:$AD$130,9+M62))-LN(INDEX(CFD_L1500!$AD$1:$AD$130,8+M62)))/(LN(INDEX(CFD_L1500!$AC$1:$AC$130,9+M62))-LN(INDEX(CFD_L1500!$AC$1:$AC$130,8+M62))))/CFD_L1500!$AD$4,""))</f>
        <v/>
      </c>
      <c r="G62" s="25">
        <f t="shared" si="4"/>
        <v>0.1362572375111904</v>
      </c>
      <c r="H62" s="38">
        <f t="shared" si="5"/>
        <v>5.5079632497987009E-2</v>
      </c>
      <c r="I62" s="18">
        <f>IF(OR(CFD_L1500!$B$3="",$A62&gt;MAX(CFD_L1500!$A$9:$A$108)),"",IFERROR(MATCH($A62,INDEX(CFD_L1500!$A$9:$A$108,1):INDEX(CFD_L1500!$A$9:$A$108,COUNT(CFD_L1500!$A$9:$A$108)),1),""))</f>
        <v>23</v>
      </c>
      <c r="J62" s="18">
        <f>IF(OR(CFD_L1500!$I$3="",$A62&gt;MAX(CFD_L1500!$H$9:$H$108)),"",IFERROR(MATCH($A62,INDEX(CFD_L1500!$H$9:$H$108,1):INDEX(CFD_L1500!$H$9:$H$108,COUNT(CFD_L1500!$H$9:$H$108)),1),""))</f>
        <v>25</v>
      </c>
      <c r="K62" s="18">
        <f>IF(OR(CFD_L1500!$P$3="",$A62&gt;MAX(CFD_L1500!$O$9:$O$108)),"",IFERROR(MATCH($A62,INDEX(CFD_L1500!$O$9:$O$108,1):INDEX(CFD_L1500!$O$9:$O$108,COUNT(CFD_L1500!$O$9:$O$108)),1),""))</f>
        <v>22</v>
      </c>
      <c r="L62" s="18">
        <f>IF(OR(CFD_L1500!$W$3="",$A62&gt;MAX(CFD_L1500!$V$9:$V$108)),"",IFERROR(MATCH($A62,INDEX(CFD_L1500!$V$9:$V$108,1):INDEX(CFD_L1500!$V$9:$V$108,COUNT(CFD_L1500!$V$9:$V$108)),1),""))</f>
        <v>22</v>
      </c>
      <c r="M62" s="18" t="str">
        <f>IF(OR(CFD_L1500!$AD$3="",$A62&gt;MAX(CFD_L1500!$AC$9:$AC$108)),"",IFERROR(MATCH($A62,INDEX(CFD_L1500!$AC$9:$AC$108,1):INDEX(CFD_L1500!$AC$9:$AC$108,COUNT(CFD_L1500!$AC$9:$AC$108)),1),""))</f>
        <v/>
      </c>
    </row>
    <row r="63" spans="1:13" x14ac:dyDescent="0.25">
      <c r="A63" s="9">
        <v>5</v>
      </c>
      <c r="B63" s="13">
        <f>IF(I63="","",IFERROR(EXP(LN(INDEX(CFD_L1500!$B$1:$B$130,8+I63))+(LN($A63)-LN(INDEX(CFD_L1500!$A$1:$A$130,8+I63)))*(LN(INDEX(CFD_L1500!$B$1:$B$130,9+I63))-LN(INDEX(CFD_L1500!$B$1:$B$130,8+I63)))/(LN(INDEX(CFD_L1500!$A$1:$A$130,9+I63))-LN(INDEX(CFD_L1500!$A$1:$A$130,8+I63))))/CFD_L1500!$B$4,""))</f>
        <v>0.12737143432671449</v>
      </c>
      <c r="C63" s="13">
        <f>IF(J63="","",IFERROR(EXP(LN(INDEX(CFD_L1500!$I$1:$I$130,8+J63))+(LN($A63)-LN(INDEX(CFD_L1500!$H$1:$H$130,8+J63)))*(LN(INDEX(CFD_L1500!$I$1:$I$130,9+J63))-LN(INDEX(CFD_L1500!$I$1:$I$130,8+J63)))/(LN(INDEX(CFD_L1500!$H$1:$H$130,9+J63))-LN(INDEX(CFD_L1500!$H$1:$H$130,8+J63))))/CFD_L1500!$I$4,""))</f>
        <v>0.13471666943103272</v>
      </c>
      <c r="D63" s="13">
        <f>IF(K63="","",IFERROR(EXP(LN(INDEX(CFD_L1500!$P$1:$P$130,8+K63))+(LN($A63)-LN(INDEX(CFD_L1500!$O$1:$O$130,8+K63)))*(LN(INDEX(CFD_L1500!$P$1:$P$130,9+K63))-LN(INDEX(CFD_L1500!$P$1:$P$130,8+K63)))/(LN(INDEX(CFD_L1500!$O$1:$O$130,9+K63))-LN(INDEX(CFD_L1500!$O$1:$O$130,8+K63))))/CFD_L1500!$P$4,""))</f>
        <v>0.13423366221526034</v>
      </c>
      <c r="E63" s="13">
        <f>IF(L63="","",IFERROR(EXP(LN(INDEX(CFD_L1500!$W$1:$W$130,8+L63))+(LN($A63)-LN(INDEX(CFD_L1500!$V$1:$V$130,8+L63)))*(LN(INDEX(CFD_L1500!$W$1:$W$130,9+L63))-LN(INDEX(CFD_L1500!$W$1:$W$130,8+L63)))/(LN(INDEX(CFD_L1500!$V$1:$V$130,9+L63))-LN(INDEX(CFD_L1500!$V$1:$V$130,8+L63))))/CFD_L1500!$W$4,""))</f>
        <v>0.12771196565321033</v>
      </c>
      <c r="F63" s="13" t="str">
        <f>IF(M63="","",IFERROR(EXP(LN(INDEX(CFD_L1500!$AD$1:$AD$130,8+M63))+(LN($A63)-LN(INDEX(CFD_L1500!$AC$1:$AC$130,8+M63)))*(LN(INDEX(CFD_L1500!$AD$1:$AD$130,9+M63))-LN(INDEX(CFD_L1500!$AD$1:$AD$130,8+M63)))/(LN(INDEX(CFD_L1500!$AC$1:$AC$130,9+M63))-LN(INDEX(CFD_L1500!$AC$1:$AC$130,8+M63))))/CFD_L1500!$AD$4,""))</f>
        <v/>
      </c>
      <c r="G63" s="25">
        <f t="shared" si="4"/>
        <v>0.13100843290655448</v>
      </c>
      <c r="H63" s="38">
        <f t="shared" si="5"/>
        <v>5.6066887767121265E-2</v>
      </c>
      <c r="I63" s="18">
        <f>IF(OR(CFD_L1500!$B$3="",$A63&gt;MAX(CFD_L1500!$A$9:$A$108)),"",IFERROR(MATCH($A63,INDEX(CFD_L1500!$A$9:$A$108,1):INDEX(CFD_L1500!$A$9:$A$108,COUNT(CFD_L1500!$A$9:$A$108)),1),""))</f>
        <v>25</v>
      </c>
      <c r="J63" s="18">
        <f>IF(OR(CFD_L1500!$I$3="",$A63&gt;MAX(CFD_L1500!$H$9:$H$108)),"",IFERROR(MATCH($A63,INDEX(CFD_L1500!$H$9:$H$108,1):INDEX(CFD_L1500!$H$9:$H$108,COUNT(CFD_L1500!$H$9:$H$108)),1),""))</f>
        <v>26</v>
      </c>
      <c r="K63" s="18">
        <f>IF(OR(CFD_L1500!$P$3="",$A63&gt;MAX(CFD_L1500!$O$9:$O$108)),"",IFERROR(MATCH($A63,INDEX(CFD_L1500!$O$9:$O$108,1):INDEX(CFD_L1500!$O$9:$O$108,COUNT(CFD_L1500!$O$9:$O$108)),1),""))</f>
        <v>23</v>
      </c>
      <c r="L63" s="18">
        <f>IF(OR(CFD_L1500!$W$3="",$A63&gt;MAX(CFD_L1500!$V$9:$V$108)),"",IFERROR(MATCH($A63,INDEX(CFD_L1500!$V$9:$V$108,1):INDEX(CFD_L1500!$V$9:$V$108,COUNT(CFD_L1500!$V$9:$V$108)),1),""))</f>
        <v>24</v>
      </c>
      <c r="M63" s="18" t="str">
        <f>IF(OR(CFD_L1500!$AD$3="",$A63&gt;MAX(CFD_L1500!$AC$9:$AC$108)),"",IFERROR(MATCH($A63,INDEX(CFD_L1500!$AC$9:$AC$108,1):INDEX(CFD_L1500!$AC$9:$AC$108,COUNT(CFD_L1500!$AC$9:$AC$108)),1),""))</f>
        <v/>
      </c>
    </row>
    <row r="64" spans="1:13" x14ac:dyDescent="0.25">
      <c r="A64" s="9">
        <v>5.5</v>
      </c>
      <c r="B64" s="13">
        <f>IF(I64="","",IFERROR(EXP(LN(INDEX(CFD_L1500!$B$1:$B$130,8+I64))+(LN($A64)-LN(INDEX(CFD_L1500!$A$1:$A$130,8+I64)))*(LN(INDEX(CFD_L1500!$B$1:$B$130,9+I64))-LN(INDEX(CFD_L1500!$B$1:$B$130,8+I64)))/(LN(INDEX(CFD_L1500!$A$1:$A$130,9+I64))-LN(INDEX(CFD_L1500!$A$1:$A$130,8+I64))))/CFD_L1500!$B$4,""))</f>
        <v>0.11871261925752076</v>
      </c>
      <c r="C64" s="13">
        <f>IF(J64="","",IFERROR(EXP(LN(INDEX(CFD_L1500!$I$1:$I$130,8+J64))+(LN($A64)-LN(INDEX(CFD_L1500!$H$1:$H$130,8+J64)))*(LN(INDEX(CFD_L1500!$I$1:$I$130,9+J64))-LN(INDEX(CFD_L1500!$I$1:$I$130,8+J64)))/(LN(INDEX(CFD_L1500!$H$1:$H$130,9+J64))-LN(INDEX(CFD_L1500!$H$1:$H$130,8+J64))))/CFD_L1500!$I$4,""))</f>
        <v>0.1247687473676756</v>
      </c>
      <c r="D64" s="13">
        <f>IF(K64="","",IFERROR(EXP(LN(INDEX(CFD_L1500!$P$1:$P$130,8+K64))+(LN($A64)-LN(INDEX(CFD_L1500!$O$1:$O$130,8+K64)))*(LN(INDEX(CFD_L1500!$P$1:$P$130,9+K64))-LN(INDEX(CFD_L1500!$P$1:$P$130,8+K64)))/(LN(INDEX(CFD_L1500!$O$1:$O$130,9+K64))-LN(INDEX(CFD_L1500!$O$1:$O$130,8+K64))))/CFD_L1500!$P$4,""))</f>
        <v>0.12442114467206182</v>
      </c>
      <c r="E64" s="13">
        <f>IF(L64="","",IFERROR(EXP(LN(INDEX(CFD_L1500!$W$1:$W$130,8+L64))+(LN($A64)-LN(INDEX(CFD_L1500!$V$1:$V$130,8+L64)))*(LN(INDEX(CFD_L1500!$W$1:$W$130,9+L64))-LN(INDEX(CFD_L1500!$W$1:$W$130,8+L64)))/(LN(INDEX(CFD_L1500!$V$1:$V$130,9+L64))-LN(INDEX(CFD_L1500!$V$1:$V$130,8+L64))))/CFD_L1500!$W$4,""))</f>
        <v>0.1183377552661144</v>
      </c>
      <c r="F64" s="13" t="str">
        <f>IF(M64="","",IFERROR(EXP(LN(INDEX(CFD_L1500!$AD$1:$AD$130,8+M64))+(LN($A64)-LN(INDEX(CFD_L1500!$AC$1:$AC$130,8+M64)))*(LN(INDEX(CFD_L1500!$AD$1:$AD$130,9+M64))-LN(INDEX(CFD_L1500!$AD$1:$AD$130,8+M64)))/(LN(INDEX(CFD_L1500!$AC$1:$AC$130,9+M64))-LN(INDEX(CFD_L1500!$AC$1:$AC$130,8+M64))))/CFD_L1500!$AD$4,""))</f>
        <v/>
      </c>
      <c r="G64" s="25">
        <f t="shared" si="4"/>
        <v>0.12156006664084315</v>
      </c>
      <c r="H64" s="38">
        <f t="shared" si="5"/>
        <v>5.2903821783530036E-2</v>
      </c>
      <c r="I64" s="18">
        <f>IF(OR(CFD_L1500!$B$3="",$A64&gt;MAX(CFD_L1500!$A$9:$A$108)),"",IFERROR(MATCH($A64,INDEX(CFD_L1500!$A$9:$A$108,1):INDEX(CFD_L1500!$A$9:$A$108,COUNT(CFD_L1500!$A$9:$A$108)),1),""))</f>
        <v>25</v>
      </c>
      <c r="J64" s="18">
        <f>IF(OR(CFD_L1500!$I$3="",$A64&gt;MAX(CFD_L1500!$H$9:$H$108)),"",IFERROR(MATCH($A64,INDEX(CFD_L1500!$H$9:$H$108,1):INDEX(CFD_L1500!$H$9:$H$108,COUNT(CFD_L1500!$H$9:$H$108)),1),""))</f>
        <v>26</v>
      </c>
      <c r="K64" s="18">
        <f>IF(OR(CFD_L1500!$P$3="",$A64&gt;MAX(CFD_L1500!$O$9:$O$108)),"",IFERROR(MATCH($A64,INDEX(CFD_L1500!$O$9:$O$108,1):INDEX(CFD_L1500!$O$9:$O$108,COUNT(CFD_L1500!$O$9:$O$108)),1),""))</f>
        <v>23</v>
      </c>
      <c r="L64" s="18">
        <f>IF(OR(CFD_L1500!$W$3="",$A64&gt;MAX(CFD_L1500!$V$9:$V$108)),"",IFERROR(MATCH($A64,INDEX(CFD_L1500!$V$9:$V$108,1):INDEX(CFD_L1500!$V$9:$V$108,COUNT(CFD_L1500!$V$9:$V$108)),1),""))</f>
        <v>24</v>
      </c>
      <c r="M64" s="18" t="str">
        <f>IF(OR(CFD_L1500!$AD$3="",$A64&gt;MAX(CFD_L1500!$AC$9:$AC$108)),"",IFERROR(MATCH($A64,INDEX(CFD_L1500!$AC$9:$AC$108,1):INDEX(CFD_L1500!$AC$9:$AC$108,COUNT(CFD_L1500!$AC$9:$AC$108)),1),""))</f>
        <v/>
      </c>
    </row>
    <row r="65" spans="1:13" x14ac:dyDescent="0.25">
      <c r="A65" s="9">
        <v>6</v>
      </c>
      <c r="B65" s="13">
        <f>IF(I65="","",IFERROR(EXP(LN(INDEX(CFD_L1500!$B$1:$B$130,8+I65))+(LN($A65)-LN(INDEX(CFD_L1500!$A$1:$A$130,8+I65)))*(LN(INDEX(CFD_L1500!$B$1:$B$130,9+I65))-LN(INDEX(CFD_L1500!$B$1:$B$130,8+I65)))/(LN(INDEX(CFD_L1500!$A$1:$A$130,9+I65))-LN(INDEX(CFD_L1500!$A$1:$A$130,8+I65))))/CFD_L1500!$B$4,""))</f>
        <v>0.11132275876445445</v>
      </c>
      <c r="C65" s="13">
        <f>IF(J65="","",IFERROR(EXP(LN(INDEX(CFD_L1500!$I$1:$I$130,8+J65))+(LN($A65)-LN(INDEX(CFD_L1500!$H$1:$H$130,8+J65)))*(LN(INDEX(CFD_L1500!$I$1:$I$130,9+J65))-LN(INDEX(CFD_L1500!$I$1:$I$130,8+J65)))/(LN(INDEX(CFD_L1500!$H$1:$H$130,9+J65))-LN(INDEX(CFD_L1500!$H$1:$H$130,8+J65))))/CFD_L1500!$I$4,""))</f>
        <v>0.1163298387104769</v>
      </c>
      <c r="D65" s="13">
        <f>IF(K65="","",IFERROR(EXP(LN(INDEX(CFD_L1500!$P$1:$P$130,8+K65))+(LN($A65)-LN(INDEX(CFD_L1500!$O$1:$O$130,8+K65)))*(LN(INDEX(CFD_L1500!$P$1:$P$130,9+K65))-LN(INDEX(CFD_L1500!$P$1:$P$130,8+K65)))/(LN(INDEX(CFD_L1500!$O$1:$O$130,9+K65))-LN(INDEX(CFD_L1500!$O$1:$O$130,8+K65))))/CFD_L1500!$P$4,""))</f>
        <v>0.11609070659470262</v>
      </c>
      <c r="E65" s="13">
        <f>IF(L65="","",IFERROR(EXP(LN(INDEX(CFD_L1500!$W$1:$W$130,8+L65))+(LN($A65)-LN(INDEX(CFD_L1500!$V$1:$V$130,8+L65)))*(LN(INDEX(CFD_L1500!$W$1:$W$130,9+L65))-LN(INDEX(CFD_L1500!$W$1:$W$130,8+L65)))/(LN(INDEX(CFD_L1500!$V$1:$V$130,9+L65))-LN(INDEX(CFD_L1500!$V$1:$V$130,8+L65))))/CFD_L1500!$W$4,""))</f>
        <v>0.11038189649805909</v>
      </c>
      <c r="F65" s="13" t="str">
        <f>IF(M65="","",IFERROR(EXP(LN(INDEX(CFD_L1500!$AD$1:$AD$130,8+M65))+(LN($A65)-LN(INDEX(CFD_L1500!$AC$1:$AC$130,8+M65)))*(LN(INDEX(CFD_L1500!$AD$1:$AD$130,9+M65))-LN(INDEX(CFD_L1500!$AD$1:$AD$130,8+M65)))/(LN(INDEX(CFD_L1500!$AC$1:$AC$130,9+M65))-LN(INDEX(CFD_L1500!$AC$1:$AC$130,8+M65))))/CFD_L1500!$AD$4,""))</f>
        <v/>
      </c>
      <c r="G65" s="25">
        <f t="shared" si="4"/>
        <v>0.11353130014192327</v>
      </c>
      <c r="H65" s="38">
        <f t="shared" si="5"/>
        <v>5.2390329406801564E-2</v>
      </c>
      <c r="I65" s="18">
        <f>IF(OR(CFD_L1500!$B$3="",$A65&gt;MAX(CFD_L1500!$A$9:$A$108)),"",IFERROR(MATCH($A65,INDEX(CFD_L1500!$A$9:$A$108,1):INDEX(CFD_L1500!$A$9:$A$108,COUNT(CFD_L1500!$A$9:$A$108)),1),""))</f>
        <v>25</v>
      </c>
      <c r="J65" s="18">
        <f>IF(OR(CFD_L1500!$I$3="",$A65&gt;MAX(CFD_L1500!$H$9:$H$108)),"",IFERROR(MATCH($A65,INDEX(CFD_L1500!$H$9:$H$108,1):INDEX(CFD_L1500!$H$9:$H$108,COUNT(CFD_L1500!$H$9:$H$108)),1),""))</f>
        <v>26</v>
      </c>
      <c r="K65" s="18">
        <f>IF(OR(CFD_L1500!$P$3="",$A65&gt;MAX(CFD_L1500!$O$9:$O$108)),"",IFERROR(MATCH($A65,INDEX(CFD_L1500!$O$9:$O$108,1):INDEX(CFD_L1500!$O$9:$O$108,COUNT(CFD_L1500!$O$9:$O$108)),1),""))</f>
        <v>23</v>
      </c>
      <c r="L65" s="18">
        <f>IF(OR(CFD_L1500!$W$3="",$A65&gt;MAX(CFD_L1500!$V$9:$V$108)),"",IFERROR(MATCH($A65,INDEX(CFD_L1500!$V$9:$V$108,1):INDEX(CFD_L1500!$V$9:$V$108,COUNT(CFD_L1500!$V$9:$V$108)),1),""))</f>
        <v>24</v>
      </c>
      <c r="M65" s="18" t="str">
        <f>IF(OR(CFD_L1500!$AD$3="",$A65&gt;MAX(CFD_L1500!$AC$9:$AC$108)),"",IFERROR(MATCH($A65,INDEX(CFD_L1500!$AC$9:$AC$108,1):INDEX(CFD_L1500!$AC$9:$AC$108,COUNT(CFD_L1500!$AC$9:$AC$108)),1),""))</f>
        <v/>
      </c>
    </row>
    <row r="66" spans="1:13" x14ac:dyDescent="0.25">
      <c r="A66" s="9">
        <v>6.5</v>
      </c>
      <c r="B66" s="13">
        <f>IF(I66="","",IFERROR(EXP(LN(INDEX(CFD_L1500!$B$1:$B$130,8+I66))+(LN($A66)-LN(INDEX(CFD_L1500!$A$1:$A$130,8+I66)))*(LN(INDEX(CFD_L1500!$B$1:$B$130,9+I66))-LN(INDEX(CFD_L1500!$B$1:$B$130,8+I66)))/(LN(INDEX(CFD_L1500!$A$1:$A$130,9+I66))-LN(INDEX(CFD_L1500!$A$1:$A$130,8+I66))))/CFD_L1500!$B$4,""))</f>
        <v>0.10493166320581145</v>
      </c>
      <c r="C66" s="13">
        <f>IF(J66="","",IFERROR(EXP(LN(INDEX(CFD_L1500!$I$1:$I$130,8+J66))+(LN($A66)-LN(INDEX(CFD_L1500!$H$1:$H$130,8+J66)))*(LN(INDEX(CFD_L1500!$I$1:$I$130,9+J66))-LN(INDEX(CFD_L1500!$I$1:$I$130,8+J66)))/(LN(INDEX(CFD_L1500!$H$1:$H$130,9+J66))-LN(INDEX(CFD_L1500!$H$1:$H$130,8+J66))))/CFD_L1500!$I$4,""))</f>
        <v>0.10907176081211416</v>
      </c>
      <c r="D66" s="13">
        <f>IF(K66="","",IFERROR(EXP(LN(INDEX(CFD_L1500!$P$1:$P$130,8+K66))+(LN($A66)-LN(INDEX(CFD_L1500!$O$1:$O$130,8+K66)))*(LN(INDEX(CFD_L1500!$P$1:$P$130,9+K66))-LN(INDEX(CFD_L1500!$P$1:$P$130,8+K66)))/(LN(INDEX(CFD_L1500!$O$1:$O$130,9+K66))-LN(INDEX(CFD_L1500!$O$1:$O$130,8+K66))))/CFD_L1500!$P$4,""))</f>
        <v>0.10892087950774726</v>
      </c>
      <c r="E66" s="13">
        <f>IF(L66="","",IFERROR(EXP(LN(INDEX(CFD_L1500!$W$1:$W$130,8+L66))+(LN($A66)-LN(INDEX(CFD_L1500!$V$1:$V$130,8+L66)))*(LN(INDEX(CFD_L1500!$W$1:$W$130,9+L66))-LN(INDEX(CFD_L1500!$W$1:$W$130,8+L66)))/(LN(INDEX(CFD_L1500!$V$1:$V$130,9+L66))-LN(INDEX(CFD_L1500!$V$1:$V$130,8+L66))))/CFD_L1500!$W$4,""))</f>
        <v>0.10353641171028509</v>
      </c>
      <c r="F66" s="13" t="str">
        <f>IF(M66="","",IFERROR(EXP(LN(INDEX(CFD_L1500!$AD$1:$AD$130,8+M66))+(LN($A66)-LN(INDEX(CFD_L1500!$AC$1:$AC$130,8+M66)))*(LN(INDEX(CFD_L1500!$AD$1:$AD$130,9+M66))-LN(INDEX(CFD_L1500!$AD$1:$AD$130,8+M66)))/(LN(INDEX(CFD_L1500!$AC$1:$AC$130,9+M66))-LN(INDEX(CFD_L1500!$AC$1:$AC$130,8+M66))))/CFD_L1500!$AD$4,""))</f>
        <v/>
      </c>
      <c r="G66" s="25">
        <f t="shared" si="4"/>
        <v>0.10661517880898949</v>
      </c>
      <c r="H66" s="38">
        <f t="shared" si="5"/>
        <v>5.1918959041902794E-2</v>
      </c>
      <c r="I66" s="18">
        <f>IF(OR(CFD_L1500!$B$3="",$A66&gt;MAX(CFD_L1500!$A$9:$A$108)),"",IFERROR(MATCH($A66,INDEX(CFD_L1500!$A$9:$A$108,1):INDEX(CFD_L1500!$A$9:$A$108,COUNT(CFD_L1500!$A$9:$A$108)),1),""))</f>
        <v>25</v>
      </c>
      <c r="J66" s="18">
        <f>IF(OR(CFD_L1500!$I$3="",$A66&gt;MAX(CFD_L1500!$H$9:$H$108)),"",IFERROR(MATCH($A66,INDEX(CFD_L1500!$H$9:$H$108,1):INDEX(CFD_L1500!$H$9:$H$108,COUNT(CFD_L1500!$H$9:$H$108)),1),""))</f>
        <v>26</v>
      </c>
      <c r="K66" s="18">
        <f>IF(OR(CFD_L1500!$P$3="",$A66&gt;MAX(CFD_L1500!$O$9:$O$108)),"",IFERROR(MATCH($A66,INDEX(CFD_L1500!$O$9:$O$108,1):INDEX(CFD_L1500!$O$9:$O$108,COUNT(CFD_L1500!$O$9:$O$108)),1),""))</f>
        <v>23</v>
      </c>
      <c r="L66" s="18">
        <f>IF(OR(CFD_L1500!$W$3="",$A66&gt;MAX(CFD_L1500!$V$9:$V$108)),"",IFERROR(MATCH($A66,INDEX(CFD_L1500!$V$9:$V$108,1):INDEX(CFD_L1500!$V$9:$V$108,COUNT(CFD_L1500!$V$9:$V$108)),1),""))</f>
        <v>24</v>
      </c>
      <c r="M66" s="18" t="str">
        <f>IF(OR(CFD_L1500!$AD$3="",$A66&gt;MAX(CFD_L1500!$AC$9:$AC$108)),"",IFERROR(MATCH($A66,INDEX(CFD_L1500!$AC$9:$AC$108,1):INDEX(CFD_L1500!$AC$9:$AC$108,COUNT(CFD_L1500!$AC$9:$AC$108)),1),""))</f>
        <v/>
      </c>
    </row>
    <row r="67" spans="1:13" x14ac:dyDescent="0.25">
      <c r="A67" s="9">
        <v>7</v>
      </c>
      <c r="B67" s="13">
        <f>IF(I67="","",IFERROR(EXP(LN(INDEX(CFD_L1500!$B$1:$B$130,8+I67))+(LN($A67)-LN(INDEX(CFD_L1500!$A$1:$A$130,8+I67)))*(LN(INDEX(CFD_L1500!$B$1:$B$130,9+I67))-LN(INDEX(CFD_L1500!$B$1:$B$130,8+I67)))/(LN(INDEX(CFD_L1500!$A$1:$A$130,9+I67))-LN(INDEX(CFD_L1500!$A$1:$A$130,8+I67))))/CFD_L1500!$B$4,""))</f>
        <v>9.9342021712812437E-2</v>
      </c>
      <c r="C67" s="13">
        <f>IF(J67="","",IFERROR(EXP(LN(INDEX(CFD_L1500!$I$1:$I$130,8+J67))+(LN($A67)-LN(INDEX(CFD_L1500!$H$1:$H$130,8+J67)))*(LN(INDEX(CFD_L1500!$I$1:$I$130,9+J67))-LN(INDEX(CFD_L1500!$I$1:$I$130,8+J67)))/(LN(INDEX(CFD_L1500!$H$1:$H$130,9+J67))-LN(INDEX(CFD_L1500!$H$1:$H$130,8+J67))))/CFD_L1500!$I$4,""))</f>
        <v>0.10275619163239721</v>
      </c>
      <c r="D67" s="13">
        <f>IF(K67="","",IFERROR(EXP(LN(INDEX(CFD_L1500!$P$1:$P$130,8+K67))+(LN($A67)-LN(INDEX(CFD_L1500!$O$1:$O$130,8+K67)))*(LN(INDEX(CFD_L1500!$P$1:$P$130,9+K67))-LN(INDEX(CFD_L1500!$P$1:$P$130,8+K67)))/(LN(INDEX(CFD_L1500!$O$1:$O$130,9+K67))-LN(INDEX(CFD_L1500!$O$1:$O$130,8+K67))))/CFD_L1500!$P$4,""))</f>
        <v>0.10267805078067326</v>
      </c>
      <c r="E67" s="13">
        <f>IF(L67="","",IFERROR(EXP(LN(INDEX(CFD_L1500!$W$1:$W$130,8+L67))+(LN($A67)-LN(INDEX(CFD_L1500!$V$1:$V$130,8+L67)))*(LN(INDEX(CFD_L1500!$W$1:$W$130,9+L67))-LN(INDEX(CFD_L1500!$W$1:$W$130,8+L67)))/(LN(INDEX(CFD_L1500!$V$1:$V$130,9+L67))-LN(INDEX(CFD_L1500!$V$1:$V$130,8+L67))))/CFD_L1500!$W$4,""))</f>
        <v>9.7577556661505582E-2</v>
      </c>
      <c r="F67" s="13" t="str">
        <f>IF(M67="","",IFERROR(EXP(LN(INDEX(CFD_L1500!$AD$1:$AD$130,8+M67))+(LN($A67)-LN(INDEX(CFD_L1500!$AC$1:$AC$130,8+M67)))*(LN(INDEX(CFD_L1500!$AD$1:$AD$130,9+M67))-LN(INDEX(CFD_L1500!$AD$1:$AD$130,8+M67)))/(LN(INDEX(CFD_L1500!$AC$1:$AC$130,9+M67))-LN(INDEX(CFD_L1500!$AC$1:$AC$130,8+M67))))/CFD_L1500!$AD$4,""))</f>
        <v/>
      </c>
      <c r="G67" s="25">
        <f t="shared" si="4"/>
        <v>0.10058845519684713</v>
      </c>
      <c r="H67" s="38">
        <f t="shared" si="5"/>
        <v>5.1483393007251917E-2</v>
      </c>
      <c r="I67" s="18">
        <f>IF(OR(CFD_L1500!$B$3="",$A67&gt;MAX(CFD_L1500!$A$9:$A$108)),"",IFERROR(MATCH($A67,INDEX(CFD_L1500!$A$9:$A$108,1):INDEX(CFD_L1500!$A$9:$A$108,COUNT(CFD_L1500!$A$9:$A$108)),1),""))</f>
        <v>25</v>
      </c>
      <c r="J67" s="18">
        <f>IF(OR(CFD_L1500!$I$3="",$A67&gt;MAX(CFD_L1500!$H$9:$H$108)),"",IFERROR(MATCH($A67,INDEX(CFD_L1500!$H$9:$H$108,1):INDEX(CFD_L1500!$H$9:$H$108,COUNT(CFD_L1500!$H$9:$H$108)),1),""))</f>
        <v>26</v>
      </c>
      <c r="K67" s="18">
        <f>IF(OR(CFD_L1500!$P$3="",$A67&gt;MAX(CFD_L1500!$O$9:$O$108)),"",IFERROR(MATCH($A67,INDEX(CFD_L1500!$O$9:$O$108,1):INDEX(CFD_L1500!$O$9:$O$108,COUNT(CFD_L1500!$O$9:$O$108)),1),""))</f>
        <v>23</v>
      </c>
      <c r="L67" s="18">
        <f>IF(OR(CFD_L1500!$W$3="",$A67&gt;MAX(CFD_L1500!$V$9:$V$108)),"",IFERROR(MATCH($A67,INDEX(CFD_L1500!$V$9:$V$108,1):INDEX(CFD_L1500!$V$9:$V$108,COUNT(CFD_L1500!$V$9:$V$108)),1),""))</f>
        <v>24</v>
      </c>
      <c r="M67" s="18" t="str">
        <f>IF(OR(CFD_L1500!$AD$3="",$A67&gt;MAX(CFD_L1500!$AC$9:$AC$108)),"",IFERROR(MATCH($A67,INDEX(CFD_L1500!$AC$9:$AC$108,1):INDEX(CFD_L1500!$AC$9:$AC$108,COUNT(CFD_L1500!$AC$9:$AC$108)),1),""))</f>
        <v/>
      </c>
    </row>
    <row r="68" spans="1:13" x14ac:dyDescent="0.25">
      <c r="A68" s="9">
        <v>7.5</v>
      </c>
      <c r="B68" s="13">
        <f>IF(I68="","",IFERROR(EXP(LN(INDEX(CFD_L1500!$B$1:$B$130,8+I68))+(LN($A68)-LN(INDEX(CFD_L1500!$A$1:$A$130,8+I68)))*(LN(INDEX(CFD_L1500!$B$1:$B$130,9+I68))-LN(INDEX(CFD_L1500!$B$1:$B$130,8+I68)))/(LN(INDEX(CFD_L1500!$A$1:$A$130,9+I68))-LN(INDEX(CFD_L1500!$A$1:$A$130,8+I68))))/CFD_L1500!$B$4,""))</f>
        <v>9.3579104155773155E-2</v>
      </c>
      <c r="C68" s="13">
        <f>IF(J68="","",IFERROR(EXP(LN(INDEX(CFD_L1500!$I$1:$I$130,8+J68))+(LN($A68)-LN(INDEX(CFD_L1500!$H$1:$H$130,8+J68)))*(LN(INDEX(CFD_L1500!$I$1:$I$130,9+J68))-LN(INDEX(CFD_L1500!$I$1:$I$130,8+J68)))/(LN(INDEX(CFD_L1500!$H$1:$H$130,9+J68))-LN(INDEX(CFD_L1500!$H$1:$H$130,8+J68))))/CFD_L1500!$I$4,""))</f>
        <v>9.7205681867604851E-2</v>
      </c>
      <c r="D68" s="13">
        <f>IF(K68="","",IFERROR(EXP(LN(INDEX(CFD_L1500!$P$1:$P$130,8+K68))+(LN($A68)-LN(INDEX(CFD_L1500!$O$1:$O$130,8+K68)))*(LN(INDEX(CFD_L1500!$P$1:$P$130,9+K68))-LN(INDEX(CFD_L1500!$P$1:$P$130,8+K68)))/(LN(INDEX(CFD_L1500!$O$1:$O$130,9+K68))-LN(INDEX(CFD_L1500!$O$1:$O$130,8+K68))))/CFD_L1500!$P$4,""))</f>
        <v>9.7188163498966321E-2</v>
      </c>
      <c r="E68" s="13">
        <f>IF(L68="","",IFERROR(EXP(LN(INDEX(CFD_L1500!$W$1:$W$130,8+L68))+(LN($A68)-LN(INDEX(CFD_L1500!$V$1:$V$130,8+L68)))*(LN(INDEX(CFD_L1500!$W$1:$W$130,9+L68))-LN(INDEX(CFD_L1500!$W$1:$W$130,8+L68)))/(LN(INDEX(CFD_L1500!$V$1:$V$130,9+L68))-LN(INDEX(CFD_L1500!$V$1:$V$130,8+L68))))/CFD_L1500!$W$4,""))</f>
        <v>9.2338671310366507E-2</v>
      </c>
      <c r="F68" s="13" t="str">
        <f>IF(M68="","",IFERROR(EXP(LN(INDEX(CFD_L1500!$AD$1:$AD$130,8+M68))+(LN($A68)-LN(INDEX(CFD_L1500!$AC$1:$AC$130,8+M68)))*(LN(INDEX(CFD_L1500!$AD$1:$AD$130,9+M68))-LN(INDEX(CFD_L1500!$AD$1:$AD$130,8+M68)))/(LN(INDEX(CFD_L1500!$AC$1:$AC$130,9+M68))-LN(INDEX(CFD_L1500!$AC$1:$AC$130,8+M68))))/CFD_L1500!$AD$4,""))</f>
        <v/>
      </c>
      <c r="G68" s="25">
        <f t="shared" si="4"/>
        <v>9.5077905208177702E-2</v>
      </c>
      <c r="H68" s="38">
        <f t="shared" si="5"/>
        <v>5.1189711706224356E-2</v>
      </c>
      <c r="I68" s="18">
        <f>IF(OR(CFD_L1500!$B$3="",$A68&gt;MAX(CFD_L1500!$A$9:$A$108)),"",IFERROR(MATCH($A68,INDEX(CFD_L1500!$A$9:$A$108,1):INDEX(CFD_L1500!$A$9:$A$108,COUNT(CFD_L1500!$A$9:$A$108)),1),""))</f>
        <v>26</v>
      </c>
      <c r="J68" s="18">
        <f>IF(OR(CFD_L1500!$I$3="",$A68&gt;MAX(CFD_L1500!$H$9:$H$108)),"",IFERROR(MATCH($A68,INDEX(CFD_L1500!$H$9:$H$108,1):INDEX(CFD_L1500!$H$9:$H$108,COUNT(CFD_L1500!$H$9:$H$108)),1),""))</f>
        <v>26</v>
      </c>
      <c r="K68" s="18">
        <f>IF(OR(CFD_L1500!$P$3="",$A68&gt;MAX(CFD_L1500!$O$9:$O$108)),"",IFERROR(MATCH($A68,INDEX(CFD_L1500!$O$9:$O$108,1):INDEX(CFD_L1500!$O$9:$O$108,COUNT(CFD_L1500!$O$9:$O$108)),1),""))</f>
        <v>23</v>
      </c>
      <c r="L68" s="18">
        <f>IF(OR(CFD_L1500!$W$3="",$A68&gt;MAX(CFD_L1500!$V$9:$V$108)),"",IFERROR(MATCH($A68,INDEX(CFD_L1500!$V$9:$V$108,1):INDEX(CFD_L1500!$V$9:$V$108,COUNT(CFD_L1500!$V$9:$V$108)),1),""))</f>
        <v>24</v>
      </c>
      <c r="M68" s="18" t="str">
        <f>IF(OR(CFD_L1500!$AD$3="",$A68&gt;MAX(CFD_L1500!$AC$9:$AC$108)),"",IFERROR(MATCH($A68,INDEX(CFD_L1500!$AC$9:$AC$108,1):INDEX(CFD_L1500!$AC$9:$AC$108,COUNT(CFD_L1500!$AC$9:$AC$108)),1),""))</f>
        <v/>
      </c>
    </row>
    <row r="69" spans="1:13" x14ac:dyDescent="0.25">
      <c r="A69" s="9">
        <v>8</v>
      </c>
      <c r="B69" s="13">
        <f>IF(I69="","",IFERROR(EXP(LN(INDEX(CFD_L1500!$B$1:$B$130,8+I69))+(LN($A69)-LN(INDEX(CFD_L1500!$A$1:$A$130,8+I69)))*(LN(INDEX(CFD_L1500!$B$1:$B$130,9+I69))-LN(INDEX(CFD_L1500!$B$1:$B$130,8+I69)))/(LN(INDEX(CFD_L1500!$A$1:$A$130,9+I69))-LN(INDEX(CFD_L1500!$A$1:$A$130,8+I69))))/CFD_L1500!$B$4,""))</f>
        <v>8.6990856989706947E-2</v>
      </c>
      <c r="C69" s="13">
        <f>IF(J69="","",IFERROR(EXP(LN(INDEX(CFD_L1500!$I$1:$I$130,8+J69))+(LN($A69)-LN(INDEX(CFD_L1500!$H$1:$H$130,8+J69)))*(LN(INDEX(CFD_L1500!$I$1:$I$130,9+J69))-LN(INDEX(CFD_L1500!$I$1:$I$130,8+J69)))/(LN(INDEX(CFD_L1500!$H$1:$H$130,9+J69))-LN(INDEX(CFD_L1500!$H$1:$H$130,8+J69))))/CFD_L1500!$I$4,""))</f>
        <v>9.2285254284708532E-2</v>
      </c>
      <c r="D69" s="13">
        <f>IF(K69="","",IFERROR(EXP(LN(INDEX(CFD_L1500!$P$1:$P$130,8+K69))+(LN($A69)-LN(INDEX(CFD_L1500!$O$1:$O$130,8+K69)))*(LN(INDEX(CFD_L1500!$P$1:$P$130,9+K69))-LN(INDEX(CFD_L1500!$P$1:$P$130,8+K69)))/(LN(INDEX(CFD_L1500!$O$1:$O$130,9+K69))-LN(INDEX(CFD_L1500!$O$1:$O$130,8+K69))))/CFD_L1500!$P$4,""))</f>
        <v>8.9442608930482156E-2</v>
      </c>
      <c r="E69" s="13">
        <f>IF(L69="","",IFERROR(EXP(LN(INDEX(CFD_L1500!$W$1:$W$130,8+L69))+(LN($A69)-LN(INDEX(CFD_L1500!$V$1:$V$130,8+L69)))*(LN(INDEX(CFD_L1500!$W$1:$W$130,9+L69))-LN(INDEX(CFD_L1500!$W$1:$W$130,8+L69)))/(LN(INDEX(CFD_L1500!$V$1:$V$130,9+L69))-LN(INDEX(CFD_L1500!$V$1:$V$130,8+L69))))/CFD_L1500!$W$4,""))</f>
        <v>8.4999024807901363E-2</v>
      </c>
      <c r="F69" s="13" t="str">
        <f>IF(M69="","",IFERROR(EXP(LN(INDEX(CFD_L1500!$AD$1:$AD$130,8+M69))+(LN($A69)-LN(INDEX(CFD_L1500!$AC$1:$AC$130,8+M69)))*(LN(INDEX(CFD_L1500!$AD$1:$AD$130,9+M69))-LN(INDEX(CFD_L1500!$AD$1:$AD$130,8+M69)))/(LN(INDEX(CFD_L1500!$AC$1:$AC$130,9+M69))-LN(INDEX(CFD_L1500!$AC$1:$AC$130,8+M69))))/CFD_L1500!$AD$4,""))</f>
        <v/>
      </c>
      <c r="G69" s="25">
        <f t="shared" si="4"/>
        <v>8.8429436253199739E-2</v>
      </c>
      <c r="H69" s="38">
        <f t="shared" si="5"/>
        <v>8.239597339447613E-2</v>
      </c>
      <c r="I69" s="18">
        <f>IF(OR(CFD_L1500!$B$3="",$A69&gt;MAX(CFD_L1500!$A$9:$A$108)),"",IFERROR(MATCH($A69,INDEX(CFD_L1500!$A$9:$A$108,1):INDEX(CFD_L1500!$A$9:$A$108,COUNT(CFD_L1500!$A$9:$A$108)),1),""))</f>
        <v>26</v>
      </c>
      <c r="J69" s="18">
        <f>IF(OR(CFD_L1500!$I$3="",$A69&gt;MAX(CFD_L1500!$H$9:$H$108)),"",IFERROR(MATCH($A69,INDEX(CFD_L1500!$H$9:$H$108,1):INDEX(CFD_L1500!$H$9:$H$108,COUNT(CFD_L1500!$H$9:$H$108)),1),""))</f>
        <v>26</v>
      </c>
      <c r="K69" s="18">
        <f>IF(OR(CFD_L1500!$P$3="",$A69&gt;MAX(CFD_L1500!$O$9:$O$108)),"",IFERROR(MATCH($A69,INDEX(CFD_L1500!$O$9:$O$108,1):INDEX(CFD_L1500!$O$9:$O$108,COUNT(CFD_L1500!$O$9:$O$108)),1),""))</f>
        <v>24</v>
      </c>
      <c r="L69" s="18">
        <f>IF(OR(CFD_L1500!$W$3="",$A69&gt;MAX(CFD_L1500!$V$9:$V$108)),"",IFERROR(MATCH($A69,INDEX(CFD_L1500!$V$9:$V$108,1):INDEX(CFD_L1500!$V$9:$V$108,COUNT(CFD_L1500!$V$9:$V$108)),1),""))</f>
        <v>25</v>
      </c>
      <c r="M69" s="18" t="str">
        <f>IF(OR(CFD_L1500!$AD$3="",$A69&gt;MAX(CFD_L1500!$AC$9:$AC$108)),"",IFERROR(MATCH($A69,INDEX(CFD_L1500!$AC$9:$AC$108,1):INDEX(CFD_L1500!$AC$9:$AC$108,COUNT(CFD_L1500!$AC$9:$AC$108)),1),""))</f>
        <v/>
      </c>
    </row>
    <row r="70" spans="1:13" x14ac:dyDescent="0.25">
      <c r="A70" s="9">
        <v>8.5</v>
      </c>
      <c r="B70" s="13">
        <f>IF(I70="","",IFERROR(EXP(LN(INDEX(CFD_L1500!$B$1:$B$130,8+I70))+(LN($A70)-LN(INDEX(CFD_L1500!$A$1:$A$130,8+I70)))*(LN(INDEX(CFD_L1500!$B$1:$B$130,9+I70))-LN(INDEX(CFD_L1500!$B$1:$B$130,8+I70)))/(LN(INDEX(CFD_L1500!$A$1:$A$130,9+I70))-LN(INDEX(CFD_L1500!$A$1:$A$130,8+I70))))/CFD_L1500!$B$4,""))</f>
        <v>8.1225254792862828E-2</v>
      </c>
      <c r="C70" s="13">
        <f>IF(J70="","",IFERROR(EXP(LN(INDEX(CFD_L1500!$I$1:$I$130,8+J70))+(LN($A70)-LN(INDEX(CFD_L1500!$H$1:$H$130,8+J70)))*(LN(INDEX(CFD_L1500!$I$1:$I$130,9+J70))-LN(INDEX(CFD_L1500!$I$1:$I$130,8+J70)))/(LN(INDEX(CFD_L1500!$H$1:$H$130,9+J70))-LN(INDEX(CFD_L1500!$H$1:$H$130,8+J70))))/CFD_L1500!$I$4,""))</f>
        <v>8.4037128405006392E-2</v>
      </c>
      <c r="D70" s="13">
        <f>IF(K70="","",IFERROR(EXP(LN(INDEX(CFD_L1500!$P$1:$P$130,8+K70))+(LN($A70)-LN(INDEX(CFD_L1500!$O$1:$O$130,8+K70)))*(LN(INDEX(CFD_L1500!$P$1:$P$130,9+K70))-LN(INDEX(CFD_L1500!$P$1:$P$130,8+K70)))/(LN(INDEX(CFD_L1500!$O$1:$O$130,9+K70))-LN(INDEX(CFD_L1500!$O$1:$O$130,8+K70))))/CFD_L1500!$P$4,""))</f>
        <v>8.2469683153669357E-2</v>
      </c>
      <c r="E70" s="13">
        <f>IF(L70="","",IFERROR(EXP(LN(INDEX(CFD_L1500!$W$1:$W$130,8+L70))+(LN($A70)-LN(INDEX(CFD_L1500!$V$1:$V$130,8+L70)))*(LN(INDEX(CFD_L1500!$W$1:$W$130,9+L70))-LN(INDEX(CFD_L1500!$W$1:$W$130,8+L70)))/(LN(INDEX(CFD_L1500!$V$1:$V$130,9+L70))-LN(INDEX(CFD_L1500!$V$1:$V$130,8+L70))))/CFD_L1500!$W$4,""))</f>
        <v>7.824902930562537E-2</v>
      </c>
      <c r="F70" s="13" t="str">
        <f>IF(M70="","",IFERROR(EXP(LN(INDEX(CFD_L1500!$AD$1:$AD$130,8+M70))+(LN($A70)-LN(INDEX(CFD_L1500!$AC$1:$AC$130,8+M70)))*(LN(INDEX(CFD_L1500!$AD$1:$AD$130,9+M70))-LN(INDEX(CFD_L1500!$AD$1:$AD$130,8+M70)))/(LN(INDEX(CFD_L1500!$AC$1:$AC$130,9+M70))-LN(INDEX(CFD_L1500!$AC$1:$AC$130,8+M70))))/CFD_L1500!$AD$4,""))</f>
        <v/>
      </c>
      <c r="G70" s="25">
        <f t="shared" si="4"/>
        <v>8.1495273914290997E-2</v>
      </c>
      <c r="H70" s="38">
        <f t="shared" si="5"/>
        <v>7.1023739431422692E-2</v>
      </c>
      <c r="I70" s="18">
        <f>IF(OR(CFD_L1500!$B$3="",$A70&gt;MAX(CFD_L1500!$A$9:$A$108)),"",IFERROR(MATCH($A70,INDEX(CFD_L1500!$A$9:$A$108,1):INDEX(CFD_L1500!$A$9:$A$108,COUNT(CFD_L1500!$A$9:$A$108)),1),""))</f>
        <v>26</v>
      </c>
      <c r="J70" s="18">
        <f>IF(OR(CFD_L1500!$I$3="",$A70&gt;MAX(CFD_L1500!$H$9:$H$108)),"",IFERROR(MATCH($A70,INDEX(CFD_L1500!$H$9:$H$108,1):INDEX(CFD_L1500!$H$9:$H$108,COUNT(CFD_L1500!$H$9:$H$108)),1),""))</f>
        <v>27</v>
      </c>
      <c r="K70" s="18">
        <f>IF(OR(CFD_L1500!$P$3="",$A70&gt;MAX(CFD_L1500!$O$9:$O$108)),"",IFERROR(MATCH($A70,INDEX(CFD_L1500!$O$9:$O$108,1):INDEX(CFD_L1500!$O$9:$O$108,COUNT(CFD_L1500!$O$9:$O$108)),1),""))</f>
        <v>24</v>
      </c>
      <c r="L70" s="18">
        <f>IF(OR(CFD_L1500!$W$3="",$A70&gt;MAX(CFD_L1500!$V$9:$V$108)),"",IFERROR(MATCH($A70,INDEX(CFD_L1500!$V$9:$V$108,1):INDEX(CFD_L1500!$V$9:$V$108,COUNT(CFD_L1500!$V$9:$V$108)),1),""))</f>
        <v>25</v>
      </c>
      <c r="M70" s="18" t="str">
        <f>IF(OR(CFD_L1500!$AD$3="",$A70&gt;MAX(CFD_L1500!$AC$9:$AC$108)),"",IFERROR(MATCH($A70,INDEX(CFD_L1500!$AC$9:$AC$108,1):INDEX(CFD_L1500!$AC$9:$AC$108,COUNT(CFD_L1500!$AC$9:$AC$108)),1),""))</f>
        <v/>
      </c>
    </row>
    <row r="71" spans="1:13" x14ac:dyDescent="0.25">
      <c r="A71" s="9">
        <v>9</v>
      </c>
      <c r="B71" s="13">
        <f>IF(I71="","",IFERROR(EXP(LN(INDEX(CFD_L1500!$B$1:$B$130,8+I71))+(LN($A71)-LN(INDEX(CFD_L1500!$A$1:$A$130,8+I71)))*(LN(INDEX(CFD_L1500!$B$1:$B$130,9+I71))-LN(INDEX(CFD_L1500!$B$1:$B$130,8+I71)))/(LN(INDEX(CFD_L1500!$A$1:$A$130,9+I71))-LN(INDEX(CFD_L1500!$A$1:$A$130,8+I71))))/CFD_L1500!$B$4,""))</f>
        <v>7.0255068756371622E-2</v>
      </c>
      <c r="C71" s="13">
        <f>IF(J71="","",IFERROR(EXP(LN(INDEX(CFD_L1500!$I$1:$I$130,8+J71))+(LN($A71)-LN(INDEX(CFD_L1500!$H$1:$H$130,8+J71)))*(LN(INDEX(CFD_L1500!$I$1:$I$130,9+J71))-LN(INDEX(CFD_L1500!$I$1:$I$130,8+J71)))/(LN(INDEX(CFD_L1500!$H$1:$H$130,9+J71))-LN(INDEX(CFD_L1500!$H$1:$H$130,8+J71))))/CFD_L1500!$I$4,""))</f>
        <v>7.1778801759582428E-2</v>
      </c>
      <c r="D71" s="13">
        <f>IF(K71="","",IFERROR(EXP(LN(INDEX(CFD_L1500!$P$1:$P$130,8+K71))+(LN($A71)-LN(INDEX(CFD_L1500!$O$1:$O$130,8+K71)))*(LN(INDEX(CFD_L1500!$P$1:$P$130,9+K71))-LN(INDEX(CFD_L1500!$P$1:$P$130,8+K71)))/(LN(INDEX(CFD_L1500!$O$1:$O$130,9+K71))-LN(INDEX(CFD_L1500!$O$1:$O$130,8+K71))))/CFD_L1500!$P$4,""))</f>
        <v>7.0369371351197044E-2</v>
      </c>
      <c r="E71" s="13">
        <f>IF(L71="","",IFERROR(EXP(LN(INDEX(CFD_L1500!$W$1:$W$130,8+L71))+(LN($A71)-LN(INDEX(CFD_L1500!$V$1:$V$130,8+L71)))*(LN(INDEX(CFD_L1500!$W$1:$W$130,9+L71))-LN(INDEX(CFD_L1500!$W$1:$W$130,8+L71)))/(LN(INDEX(CFD_L1500!$V$1:$V$130,9+L71))-LN(INDEX(CFD_L1500!$V$1:$V$130,8+L71))))/CFD_L1500!$W$4,""))</f>
        <v>6.6545094143585795E-2</v>
      </c>
      <c r="F71" s="13" t="str">
        <f>IF(M71="","",IFERROR(EXP(LN(INDEX(CFD_L1500!$AD$1:$AD$130,8+M71))+(LN($A71)-LN(INDEX(CFD_L1500!$AC$1:$AC$130,8+M71)))*(LN(INDEX(CFD_L1500!$AD$1:$AD$130,9+M71))-LN(INDEX(CFD_L1500!$AD$1:$AD$130,8+M71)))/(LN(INDEX(CFD_L1500!$AC$1:$AC$130,9+M71))-LN(INDEX(CFD_L1500!$AC$1:$AC$130,8+M71))))/CFD_L1500!$AD$4,""))</f>
        <v/>
      </c>
      <c r="G71" s="25">
        <f t="shared" si="4"/>
        <v>6.9737084002684219E-2</v>
      </c>
      <c r="H71" s="38">
        <f t="shared" si="5"/>
        <v>7.5049131905130767E-2</v>
      </c>
      <c r="I71" s="18">
        <f>IF(OR(CFD_L1500!$B$3="",$A71&gt;MAX(CFD_L1500!$A$9:$A$108)),"",IFERROR(MATCH($A71,INDEX(CFD_L1500!$A$9:$A$108,1):INDEX(CFD_L1500!$A$9:$A$108,COUNT(CFD_L1500!$A$9:$A$108)),1),""))</f>
        <v>27</v>
      </c>
      <c r="J71" s="18">
        <f>IF(OR(CFD_L1500!$I$3="",$A71&gt;MAX(CFD_L1500!$H$9:$H$108)),"",IFERROR(MATCH($A71,INDEX(CFD_L1500!$H$9:$H$108,1):INDEX(CFD_L1500!$H$9:$H$108,COUNT(CFD_L1500!$H$9:$H$108)),1),""))</f>
        <v>28</v>
      </c>
      <c r="K71" s="18">
        <f>IF(OR(CFD_L1500!$P$3="",$A71&gt;MAX(CFD_L1500!$O$9:$O$108)),"",IFERROR(MATCH($A71,INDEX(CFD_L1500!$O$9:$O$108,1):INDEX(CFD_L1500!$O$9:$O$108,COUNT(CFD_L1500!$O$9:$O$108)),1),""))</f>
        <v>25</v>
      </c>
      <c r="L71" s="18">
        <f>IF(OR(CFD_L1500!$W$3="",$A71&gt;MAX(CFD_L1500!$V$9:$V$108)),"",IFERROR(MATCH($A71,INDEX(CFD_L1500!$V$9:$V$108,1):INDEX(CFD_L1500!$V$9:$V$108,COUNT(CFD_L1500!$V$9:$V$108)),1),""))</f>
        <v>26</v>
      </c>
      <c r="M71" s="18" t="str">
        <f>IF(OR(CFD_L1500!$AD$3="",$A71&gt;MAX(CFD_L1500!$AC$9:$AC$108)),"",IFERROR(MATCH($A71,INDEX(CFD_L1500!$AC$9:$AC$108,1):INDEX(CFD_L1500!$AC$9:$AC$108,COUNT(CFD_L1500!$AC$9:$AC$108)),1),""))</f>
        <v/>
      </c>
    </row>
    <row r="72" spans="1:13" x14ac:dyDescent="0.25">
      <c r="A72" s="9">
        <v>9.5</v>
      </c>
      <c r="B72" s="13">
        <f>IF(I72="","",IFERROR(EXP(LN(INDEX(CFD_L1500!$B$1:$B$130,8+I72))+(LN($A72)-LN(INDEX(CFD_L1500!$A$1:$A$130,8+I72)))*(LN(INDEX(CFD_L1500!$B$1:$B$130,9+I72))-LN(INDEX(CFD_L1500!$B$1:$B$130,8+I72)))/(LN(INDEX(CFD_L1500!$A$1:$A$130,9+I72))-LN(INDEX(CFD_L1500!$A$1:$A$130,8+I72))))/CFD_L1500!$B$4,""))</f>
        <v>4.7365210032160113E-2</v>
      </c>
      <c r="C72" s="13">
        <f>IF(J72="","",IFERROR(EXP(LN(INDEX(CFD_L1500!$I$1:$I$130,8+J72))+(LN($A72)-LN(INDEX(CFD_L1500!$H$1:$H$130,8+J72)))*(LN(INDEX(CFD_L1500!$I$1:$I$130,9+J72))-LN(INDEX(CFD_L1500!$I$1:$I$130,8+J72)))/(LN(INDEX(CFD_L1500!$H$1:$H$130,9+J72))-LN(INDEX(CFD_L1500!$H$1:$H$130,8+J72))))/CFD_L1500!$I$4,""))</f>
        <v>4.85943658887448E-2</v>
      </c>
      <c r="D72" s="13">
        <f>IF(K72="","",IFERROR(EXP(LN(INDEX(CFD_L1500!$P$1:$P$130,8+K72))+(LN($A72)-LN(INDEX(CFD_L1500!$O$1:$O$130,8+K72)))*(LN(INDEX(CFD_L1500!$P$1:$P$130,9+K72))-LN(INDEX(CFD_L1500!$P$1:$P$130,8+K72)))/(LN(INDEX(CFD_L1500!$O$1:$O$130,9+K72))-LN(INDEX(CFD_L1500!$O$1:$O$130,8+K72))))/CFD_L1500!$P$4,""))</f>
        <v>4.7839632177093222E-2</v>
      </c>
      <c r="E72" s="13">
        <f>IF(L72="","",IFERROR(EXP(LN(INDEX(CFD_L1500!$W$1:$W$130,8+L72))+(LN($A72)-LN(INDEX(CFD_L1500!$V$1:$V$130,8+L72)))*(LN(INDEX(CFD_L1500!$W$1:$W$130,9+L72))-LN(INDEX(CFD_L1500!$W$1:$W$130,8+L72)))/(LN(INDEX(CFD_L1500!$V$1:$V$130,9+L72))-LN(INDEX(CFD_L1500!$V$1:$V$130,8+L72))))/CFD_L1500!$W$4,""))</f>
        <v>4.5851564158447482E-2</v>
      </c>
      <c r="F72" s="13" t="str">
        <f>IF(M72="","",IFERROR(EXP(LN(INDEX(CFD_L1500!$AD$1:$AD$130,8+M72))+(LN($A72)-LN(INDEX(CFD_L1500!$AC$1:$AC$130,8+M72)))*(LN(INDEX(CFD_L1500!$AD$1:$AD$130,9+M72))-LN(INDEX(CFD_L1500!$AD$1:$AD$130,8+M72)))/(LN(INDEX(CFD_L1500!$AC$1:$AC$130,9+M72))-LN(INDEX(CFD_L1500!$AC$1:$AC$130,8+M72))))/CFD_L1500!$AD$4,""))</f>
        <v/>
      </c>
      <c r="G72" s="25">
        <f t="shared" si="4"/>
        <v>4.7412693064111402E-2</v>
      </c>
      <c r="H72" s="38">
        <f t="shared" si="5"/>
        <v>5.7849524105043022E-2</v>
      </c>
      <c r="I72" s="18">
        <f>IF(OR(CFD_L1500!$B$3="",$A72&gt;MAX(CFD_L1500!$A$9:$A$108)),"",IFERROR(MATCH($A72,INDEX(CFD_L1500!$A$9:$A$108,1):INDEX(CFD_L1500!$A$9:$A$108,COUNT(CFD_L1500!$A$9:$A$108)),1),""))</f>
        <v>29</v>
      </c>
      <c r="J72" s="18">
        <f>IF(OR(CFD_L1500!$I$3="",$A72&gt;MAX(CFD_L1500!$H$9:$H$108)),"",IFERROR(MATCH($A72,INDEX(CFD_L1500!$H$9:$H$108,1):INDEX(CFD_L1500!$H$9:$H$108,COUNT(CFD_L1500!$H$9:$H$108)),1),""))</f>
        <v>30</v>
      </c>
      <c r="K72" s="18">
        <f>IF(OR(CFD_L1500!$P$3="",$A72&gt;MAX(CFD_L1500!$O$9:$O$108)),"",IFERROR(MATCH($A72,INDEX(CFD_L1500!$O$9:$O$108,1):INDEX(CFD_L1500!$O$9:$O$108,COUNT(CFD_L1500!$O$9:$O$108)),1),""))</f>
        <v>27</v>
      </c>
      <c r="L72" s="18">
        <f>IF(OR(CFD_L1500!$W$3="",$A72&gt;MAX(CFD_L1500!$V$9:$V$108)),"",IFERROR(MATCH($A72,INDEX(CFD_L1500!$V$9:$V$108,1):INDEX(CFD_L1500!$V$9:$V$108,COUNT(CFD_L1500!$V$9:$V$108)),1),""))</f>
        <v>27</v>
      </c>
      <c r="M72" s="18" t="str">
        <f>IF(OR(CFD_L1500!$AD$3="",$A72&gt;MAX(CFD_L1500!$AC$9:$AC$108)),"",IFERROR(MATCH($A72,INDEX(CFD_L1500!$AC$9:$AC$108,1):INDEX(CFD_L1500!$AC$9:$AC$108,COUNT(CFD_L1500!$AC$9:$AC$108)),1),""))</f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$A6&gt;Parametri!$B$7</xm:f>
            <x14:dxf>
              <fill>
                <patternFill>
                  <bgColor rgb="FFD9D9D9"/>
                </patternFill>
              </fill>
            </x14:dxf>
          </x14:cfRule>
          <xm:sqref>A6:H24</xm:sqref>
        </x14:conditionalFormatting>
        <x14:conditionalFormatting xmlns:xm="http://schemas.microsoft.com/office/excel/2006/main">
          <x14:cfRule type="expression" priority="3" id="{00000000-000E-0000-0900-000003000000}">
            <xm:f>$A30&gt;Parametri!$B$7</xm:f>
            <x14:dxf>
              <fill>
                <patternFill>
                  <bgColor rgb="FFD9D9D9"/>
                </patternFill>
              </fill>
            </x14:dxf>
          </x14:cfRule>
          <xm:sqref>A30:H48</xm:sqref>
        </x14:conditionalFormatting>
        <x14:conditionalFormatting xmlns:xm="http://schemas.microsoft.com/office/excel/2006/main">
          <x14:cfRule type="expression" priority="4" id="{00000000-000E-0000-0900-000004000000}">
            <xm:f>$A54&gt;Parametri!$B$7</xm:f>
            <x14:dxf>
              <fill>
                <patternFill>
                  <bgColor rgb="FFD9D9D9"/>
                </patternFill>
              </fill>
            </x14:dxf>
          </x14:cfRule>
          <xm:sqref>A54:H72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zoomScaleNormal="100" workbookViewId="0">
      <selection activeCell="B6" sqref="B6"/>
    </sheetView>
  </sheetViews>
  <sheetFormatPr defaultColWidth="8.7109375" defaultRowHeight="15" x14ac:dyDescent="0.25"/>
  <cols>
    <col min="1" max="1" width="28" customWidth="1"/>
    <col min="2" max="2" width="120" customWidth="1"/>
  </cols>
  <sheetData>
    <row r="1" spans="1:2" ht="18" customHeight="1" x14ac:dyDescent="0.25">
      <c r="A1" s="2" t="s">
        <v>186</v>
      </c>
    </row>
    <row r="3" spans="1:2" x14ac:dyDescent="0.25">
      <c r="A3" s="4" t="s">
        <v>187</v>
      </c>
      <c r="B3" s="4" t="s">
        <v>188</v>
      </c>
    </row>
    <row r="4" spans="1:2" ht="45.75" customHeight="1" x14ac:dyDescent="0.25">
      <c r="A4" s="16" t="s">
        <v>189</v>
      </c>
      <c r="B4" s="5" t="s">
        <v>190</v>
      </c>
    </row>
    <row r="5" spans="1:2" ht="45.75" customHeight="1" x14ac:dyDescent="0.25">
      <c r="A5" s="16" t="s">
        <v>191</v>
      </c>
      <c r="B5" s="5" t="s">
        <v>192</v>
      </c>
    </row>
    <row r="6" spans="1:2" ht="45.75" customHeight="1" x14ac:dyDescent="0.25">
      <c r="A6" s="16" t="s">
        <v>193</v>
      </c>
      <c r="B6" s="5" t="s">
        <v>194</v>
      </c>
    </row>
    <row r="7" spans="1:2" ht="45.75" customHeight="1" x14ac:dyDescent="0.25">
      <c r="A7" s="16" t="s">
        <v>195</v>
      </c>
      <c r="B7" s="5" t="s">
        <v>196</v>
      </c>
    </row>
    <row r="8" spans="1:2" ht="45.75" customHeight="1" x14ac:dyDescent="0.25">
      <c r="A8" s="16" t="s">
        <v>197</v>
      </c>
      <c r="B8" s="5" t="s">
        <v>198</v>
      </c>
    </row>
    <row r="9" spans="1:2" ht="45.75" customHeight="1" x14ac:dyDescent="0.25">
      <c r="A9" s="16" t="s">
        <v>199</v>
      </c>
      <c r="B9" s="5" t="s">
        <v>200</v>
      </c>
    </row>
    <row r="10" spans="1:2" ht="45.75" customHeight="1" x14ac:dyDescent="0.25">
      <c r="A10" s="16" t="s">
        <v>201</v>
      </c>
      <c r="B10" s="5" t="s">
        <v>202</v>
      </c>
    </row>
    <row r="11" spans="1:2" ht="45.75" customHeight="1" x14ac:dyDescent="0.25">
      <c r="A11" s="16" t="s">
        <v>203</v>
      </c>
      <c r="B11" s="5" t="s">
        <v>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08"/>
  <sheetViews>
    <sheetView zoomScaleNormal="100" workbookViewId="0">
      <pane ySplit="8" topLeftCell="A9" activePane="bottomLeft" state="frozen"/>
      <selection pane="bottomLeft" activeCell="A22" sqref="A22"/>
    </sheetView>
  </sheetViews>
  <sheetFormatPr defaultColWidth="8.7109375" defaultRowHeight="15" x14ac:dyDescent="0.25"/>
  <cols>
    <col min="1" max="1" width="10" customWidth="1"/>
    <col min="2" max="2" width="13" customWidth="1"/>
    <col min="3" max="3" width="9" customWidth="1"/>
    <col min="4" max="5" width="11" customWidth="1"/>
    <col min="6" max="6" width="10" customWidth="1"/>
    <col min="7" max="7" width="3" customWidth="1"/>
    <col min="8" max="8" width="10" customWidth="1"/>
    <col min="9" max="9" width="13" customWidth="1"/>
    <col min="10" max="10" width="9" customWidth="1"/>
    <col min="11" max="12" width="11" customWidth="1"/>
    <col min="13" max="13" width="10" customWidth="1"/>
    <col min="14" max="14" width="3" customWidth="1"/>
    <col min="15" max="15" width="10" customWidth="1"/>
    <col min="16" max="16" width="13" customWidth="1"/>
    <col min="17" max="17" width="9" customWidth="1"/>
    <col min="18" max="19" width="11" customWidth="1"/>
    <col min="20" max="20" width="10" customWidth="1"/>
    <col min="21" max="21" width="3" customWidth="1"/>
    <col min="22" max="22" width="10" customWidth="1"/>
    <col min="23" max="23" width="13" customWidth="1"/>
    <col min="24" max="24" width="9" customWidth="1"/>
    <col min="25" max="26" width="11" customWidth="1"/>
    <col min="27" max="27" width="10" customWidth="1"/>
    <col min="28" max="28" width="3" customWidth="1"/>
    <col min="29" max="29" width="10" customWidth="1"/>
    <col min="30" max="30" width="13" customWidth="1"/>
    <col min="31" max="31" width="9" customWidth="1"/>
    <col min="32" max="33" width="11" customWidth="1"/>
    <col min="34" max="34" width="10" customWidth="1"/>
    <col min="35" max="35" width="3" customWidth="1"/>
  </cols>
  <sheetData>
    <row r="1" spans="1:34" ht="18" customHeight="1" x14ac:dyDescent="0.25">
      <c r="A1" s="2" t="s">
        <v>205</v>
      </c>
    </row>
    <row r="2" spans="1:34" x14ac:dyDescent="0.25">
      <c r="A2" s="3" t="s">
        <v>206</v>
      </c>
    </row>
    <row r="3" spans="1:34" x14ac:dyDescent="0.25">
      <c r="A3" s="16" t="s">
        <v>59</v>
      </c>
      <c r="B3" s="12">
        <v>80</v>
      </c>
      <c r="H3" s="16" t="s">
        <v>59</v>
      </c>
      <c r="I3" s="12">
        <v>150</v>
      </c>
      <c r="O3" s="16" t="s">
        <v>59</v>
      </c>
      <c r="P3" s="12">
        <v>250</v>
      </c>
      <c r="V3" s="16" t="s">
        <v>59</v>
      </c>
      <c r="W3" s="12"/>
      <c r="AC3" s="16" t="s">
        <v>59</v>
      </c>
      <c r="AD3" s="12"/>
    </row>
    <row r="4" spans="1:34" ht="25.5" customHeight="1" x14ac:dyDescent="0.25">
      <c r="A4" s="16" t="s">
        <v>160</v>
      </c>
      <c r="B4" s="13">
        <f>IF(COUNT(B9:B108)=0,"",MAX(B9:B108))</f>
        <v>2.170788113</v>
      </c>
      <c r="H4" s="16" t="s">
        <v>160</v>
      </c>
      <c r="I4" s="13">
        <f>IF(COUNT(I9:I108)=0,"",MAX(I9:I108))</f>
        <v>4.1104894950000004</v>
      </c>
      <c r="O4" s="16" t="s">
        <v>160</v>
      </c>
      <c r="P4" s="13">
        <f>IF(COUNT(P9:P108)=0,"",MAX(P9:P108))</f>
        <v>6.9193517959999999</v>
      </c>
      <c r="V4" s="16" t="s">
        <v>160</v>
      </c>
      <c r="W4" s="13" t="str">
        <f>IF(COUNT(W9:W108)=0,"",MAX(W9:W108))</f>
        <v/>
      </c>
      <c r="AC4" s="16" t="s">
        <v>160</v>
      </c>
      <c r="AD4" s="13" t="str">
        <f>IF(COUNT(AD9:AD108)=0,"",MAX(AD9:AD108))</f>
        <v/>
      </c>
    </row>
    <row r="5" spans="1:34" ht="25.5" customHeight="1" x14ac:dyDescent="0.25">
      <c r="A5" s="16" t="s">
        <v>159</v>
      </c>
      <c r="B5" s="13">
        <f>IF(B3="","",B3/3600/Parametri!$C$17)</f>
        <v>1.1111111111111112</v>
      </c>
      <c r="H5" s="16" t="s">
        <v>159</v>
      </c>
      <c r="I5" s="13">
        <f>IF(I3="","",I3/3600/Parametri!$C$17)</f>
        <v>2.083333333333333</v>
      </c>
      <c r="O5" s="16" t="s">
        <v>159</v>
      </c>
      <c r="P5" s="13">
        <f>IF(P3="","",P3/3600/Parametri!$C$17)</f>
        <v>3.4722222222222223</v>
      </c>
      <c r="V5" s="16" t="s">
        <v>159</v>
      </c>
      <c r="W5" s="13" t="str">
        <f>IF(W3="","",W3/3600/Parametri!$C$17)</f>
        <v/>
      </c>
      <c r="AC5" s="16" t="s">
        <v>159</v>
      </c>
      <c r="AD5" s="13" t="str">
        <f>IF(AD3="","",AD3/3600/Parametri!$C$17)</f>
        <v/>
      </c>
    </row>
    <row r="6" spans="1:34" ht="25.5" customHeight="1" x14ac:dyDescent="0.25">
      <c r="A6" s="16" t="s">
        <v>207</v>
      </c>
      <c r="B6" s="34">
        <f>IF(OR(B3="",B4=""),"",B3/3600/B4)</f>
        <v>1.0236937492490416E-2</v>
      </c>
      <c r="H6" s="16" t="s">
        <v>207</v>
      </c>
      <c r="I6" s="34">
        <f>IF(OR(I3="",I4=""),"",I3/3600/I4)</f>
        <v>1.0136667839037175E-2</v>
      </c>
      <c r="O6" s="16" t="s">
        <v>207</v>
      </c>
      <c r="P6" s="34">
        <f>IF(OR(P3="",P4=""),"",P3/3600/P4)</f>
        <v>1.0036264449596204E-2</v>
      </c>
      <c r="V6" s="16" t="s">
        <v>207</v>
      </c>
      <c r="W6" s="34" t="str">
        <f>IF(OR(W3="",W4=""),"",W3/3600/W4)</f>
        <v/>
      </c>
      <c r="AC6" s="16" t="s">
        <v>207</v>
      </c>
      <c r="AD6" s="34" t="str">
        <f>IF(OR(AD3="",AD4=""),"",AD3/3600/AD4)</f>
        <v/>
      </c>
    </row>
    <row r="7" spans="1:34" x14ac:dyDescent="0.25">
      <c r="A7" s="3" t="s">
        <v>208</v>
      </c>
    </row>
    <row r="8" spans="1:34" ht="33.75" customHeight="1" x14ac:dyDescent="0.25">
      <c r="A8" s="4" t="s">
        <v>176</v>
      </c>
      <c r="B8" s="4" t="s">
        <v>209</v>
      </c>
      <c r="C8" s="4" t="s">
        <v>210</v>
      </c>
      <c r="D8" s="4" t="s">
        <v>211</v>
      </c>
      <c r="E8" s="4" t="s">
        <v>212</v>
      </c>
      <c r="F8" s="4" t="s">
        <v>168</v>
      </c>
      <c r="H8" s="4" t="s">
        <v>176</v>
      </c>
      <c r="I8" s="4" t="s">
        <v>209</v>
      </c>
      <c r="J8" s="4" t="s">
        <v>210</v>
      </c>
      <c r="K8" s="4" t="s">
        <v>211</v>
      </c>
      <c r="L8" s="4" t="s">
        <v>212</v>
      </c>
      <c r="M8" s="4" t="s">
        <v>168</v>
      </c>
      <c r="O8" s="4" t="s">
        <v>176</v>
      </c>
      <c r="P8" s="4" t="s">
        <v>209</v>
      </c>
      <c r="Q8" s="4" t="s">
        <v>210</v>
      </c>
      <c r="R8" s="4" t="s">
        <v>211</v>
      </c>
      <c r="S8" s="4" t="s">
        <v>212</v>
      </c>
      <c r="T8" s="4" t="s">
        <v>168</v>
      </c>
      <c r="V8" s="4" t="s">
        <v>176</v>
      </c>
      <c r="W8" s="4" t="s">
        <v>209</v>
      </c>
      <c r="X8" s="4" t="s">
        <v>210</v>
      </c>
      <c r="Y8" s="4" t="s">
        <v>211</v>
      </c>
      <c r="Z8" s="4" t="s">
        <v>212</v>
      </c>
      <c r="AA8" s="4" t="s">
        <v>168</v>
      </c>
      <c r="AC8" s="4" t="s">
        <v>176</v>
      </c>
      <c r="AD8" s="4" t="s">
        <v>209</v>
      </c>
      <c r="AE8" s="4" t="s">
        <v>210</v>
      </c>
      <c r="AF8" s="4" t="s">
        <v>211</v>
      </c>
      <c r="AG8" s="4" t="s">
        <v>212</v>
      </c>
      <c r="AH8" s="4" t="s">
        <v>168</v>
      </c>
    </row>
    <row r="9" spans="1:34" x14ac:dyDescent="0.25">
      <c r="A9" s="41">
        <v>0</v>
      </c>
      <c r="B9" s="41">
        <v>2.142317442</v>
      </c>
      <c r="C9" s="13">
        <f t="shared" ref="C9:C40" si="0">IF(OR(A9="",B$4=""),"",B9/B$4)</f>
        <v>0.98688463842716834</v>
      </c>
      <c r="D9" s="23" t="str">
        <f t="shared" ref="D9:D40" si="1">IF(OR(A9="",A10="",A9&lt;=0),"",IFERROR(LN(B10/B9)/LN(A10/A9),""))</f>
        <v/>
      </c>
      <c r="E9" s="34" t="str">
        <f t="shared" ref="E9:E40" si="2">IF(OR(A9="",B$3="",A9&lt;=0),"",B9*A9/B$3)</f>
        <v/>
      </c>
      <c r="F9" s="18">
        <f>IF(OR(A9="",A10=""),0,IF(AND(A9&gt;=Parametri!$B$11,B9&gt;=Parametri!$B$10,B10&lt;Parametri!$B$10),ROW(),0))</f>
        <v>0</v>
      </c>
      <c r="H9" s="41">
        <v>0</v>
      </c>
      <c r="I9" s="41">
        <v>4.0209745210000003</v>
      </c>
      <c r="J9" s="13">
        <f t="shared" ref="J9:J40" si="3">IF(OR(H9="",I$4=""),"",I9/I$4)</f>
        <v>0.97822279460660677</v>
      </c>
      <c r="K9" s="23" t="str">
        <f t="shared" ref="K9:K40" si="4">IF(OR(H9="",H10="",H9&lt;=0),"",IFERROR(LN(I10/I9)/LN(H10/H9),""))</f>
        <v/>
      </c>
      <c r="L9" s="34" t="str">
        <f t="shared" ref="L9:L40" si="5">IF(OR(H9="",I$3="",H9&lt;=0),"",I9*H9/I$3)</f>
        <v/>
      </c>
      <c r="M9" s="18">
        <f>IF(OR(H9="",H10=""),0,IF(AND(H9&gt;=Parametri!$B$11,I9&gt;=Parametri!$B$10,I10&lt;Parametri!$B$10),ROW(),0))</f>
        <v>0</v>
      </c>
      <c r="O9" s="41">
        <v>0</v>
      </c>
      <c r="P9" s="41">
        <v>6.7974768169999997</v>
      </c>
      <c r="Q9" s="13">
        <f t="shared" ref="Q9:Q40" si="6">IF(OR(O9="",P$4=""),"",P9/P$4)</f>
        <v>0.98238635892592496</v>
      </c>
      <c r="R9" s="23" t="str">
        <f t="shared" ref="R9:R40" si="7">IF(OR(O9="",O10="",O9&lt;=0),"",IFERROR(LN(P10/P9)/LN(O10/O9),""))</f>
        <v/>
      </c>
      <c r="S9" s="34" t="str">
        <f t="shared" ref="S9:S40" si="8">IF(OR(O9="",P$3="",O9&lt;=0),"",P9*O9/P$3)</f>
        <v/>
      </c>
      <c r="T9" s="18">
        <f>IF(OR(O9="",O10=""),0,IF(AND(O9&gt;=Parametri!$B$11,P9&gt;=Parametri!$B$10,P10&lt;Parametri!$B$10),ROW(),0))</f>
        <v>0</v>
      </c>
      <c r="V9" s="41"/>
      <c r="W9" s="41"/>
      <c r="X9" s="13" t="str">
        <f t="shared" ref="X9:X40" si="9">IF(OR(V9="",W$4=""),"",W9/W$4)</f>
        <v/>
      </c>
      <c r="Y9" s="23" t="str">
        <f t="shared" ref="Y9:Y40" si="10">IF(OR(V9="",V10="",V9&lt;=0),"",IFERROR(LN(W10/W9)/LN(V10/V9),""))</f>
        <v/>
      </c>
      <c r="Z9" s="34" t="str">
        <f t="shared" ref="Z9:Z40" si="11">IF(OR(V9="",W$3="",V9&lt;=0),"",W9*V9/W$3)</f>
        <v/>
      </c>
      <c r="AA9" s="18">
        <f>IF(OR(V9="",V10=""),0,IF(AND(V9&gt;=Parametri!$B$11,W9&gt;=Parametri!$B$10,W10&lt;Parametri!$B$10),ROW(),0))</f>
        <v>0</v>
      </c>
      <c r="AC9" s="41"/>
      <c r="AD9" s="41"/>
      <c r="AE9" s="13" t="str">
        <f t="shared" ref="AE9:AE40" si="12">IF(OR(AC9="",AD$4=""),"",AD9/AD$4)</f>
        <v/>
      </c>
      <c r="AF9" s="23" t="str">
        <f t="shared" ref="AF9:AF40" si="13">IF(OR(AC9="",AC10="",AC9&lt;=0),"",IFERROR(LN(AD10/AD9)/LN(AC10/AC9),""))</f>
        <v/>
      </c>
      <c r="AG9" s="34" t="str">
        <f t="shared" ref="AG9:AG40" si="14">IF(OR(AC9="",AD$3="",AC9&lt;=0),"",AD9*AC9/AD$3)</f>
        <v/>
      </c>
      <c r="AH9" s="18">
        <f>IF(OR(AC9="",AC10=""),0,IF(AND(AC9&gt;=Parametri!$B$11,AD9&gt;=Parametri!$B$10,AD10&lt;Parametri!$B$10),ROW(),0))</f>
        <v>0</v>
      </c>
    </row>
    <row r="10" spans="1:34" x14ac:dyDescent="0.25">
      <c r="A10" s="41">
        <v>4.8457300000000003E-3</v>
      </c>
      <c r="B10" s="41">
        <v>2.170788113</v>
      </c>
      <c r="C10" s="13">
        <f t="shared" si="0"/>
        <v>1</v>
      </c>
      <c r="D10" s="23">
        <f t="shared" si="1"/>
        <v>-8.7495285077838839E-3</v>
      </c>
      <c r="E10" s="34">
        <f t="shared" si="2"/>
        <v>1.3148816353509364E-4</v>
      </c>
      <c r="F10" s="18">
        <f>IF(OR(A10="",A11=""),0,IF(AND(A10&gt;=Parametri!$B$11,B10&gt;=Parametri!$B$10,B11&lt;Parametri!$B$10),ROW(),0))</f>
        <v>0</v>
      </c>
      <c r="H10" s="41">
        <v>4.8457300000000003E-3</v>
      </c>
      <c r="I10" s="41">
        <v>4.0958802399999996</v>
      </c>
      <c r="J10" s="13">
        <f t="shared" si="3"/>
        <v>0.99644586003254076</v>
      </c>
      <c r="K10" s="23">
        <f t="shared" si="4"/>
        <v>4.9024040373045327E-3</v>
      </c>
      <c r="L10" s="34">
        <f t="shared" si="5"/>
        <v>1.3231686503583465E-4</v>
      </c>
      <c r="M10" s="18">
        <f>IF(OR(H10="",H11=""),0,IF(AND(H10&gt;=Parametri!$B$11,I10&gt;=Parametri!$B$10,I11&lt;Parametri!$B$10),ROW(),0))</f>
        <v>0</v>
      </c>
      <c r="O10" s="41">
        <v>4.8457300000000003E-3</v>
      </c>
      <c r="P10" s="41">
        <v>6.9193517959999999</v>
      </c>
      <c r="Q10" s="13">
        <f t="shared" si="6"/>
        <v>1</v>
      </c>
      <c r="R10" s="23">
        <f t="shared" si="7"/>
        <v>-2.5266347822516075E-3</v>
      </c>
      <c r="S10" s="34">
        <f t="shared" si="8"/>
        <v>1.3411724231372432E-4</v>
      </c>
      <c r="T10" s="18">
        <f>IF(OR(O10="",O11=""),0,IF(AND(O10&gt;=Parametri!$B$11,P10&gt;=Parametri!$B$10,P11&lt;Parametri!$B$10),ROW(),0))</f>
        <v>0</v>
      </c>
      <c r="V10" s="41"/>
      <c r="W10" s="41"/>
      <c r="X10" s="13" t="str">
        <f t="shared" si="9"/>
        <v/>
      </c>
      <c r="Y10" s="23" t="str">
        <f t="shared" si="10"/>
        <v/>
      </c>
      <c r="Z10" s="34" t="str">
        <f t="shared" si="11"/>
        <v/>
      </c>
      <c r="AA10" s="18">
        <f>IF(OR(V10="",V11=""),0,IF(AND(V10&gt;=Parametri!$B$11,W10&gt;=Parametri!$B$10,W11&lt;Parametri!$B$10),ROW(),0))</f>
        <v>0</v>
      </c>
      <c r="AC10" s="41"/>
      <c r="AD10" s="41"/>
      <c r="AE10" s="13" t="str">
        <f t="shared" si="12"/>
        <v/>
      </c>
      <c r="AF10" s="23" t="str">
        <f t="shared" si="13"/>
        <v/>
      </c>
      <c r="AG10" s="34" t="str">
        <f t="shared" si="14"/>
        <v/>
      </c>
      <c r="AH10" s="18">
        <f>IF(OR(AC10="",AC11=""),0,IF(AND(AC10&gt;=Parametri!$B$11,AD10&gt;=Parametri!$B$10,AD11&lt;Parametri!$B$10),ROW(),0))</f>
        <v>0</v>
      </c>
    </row>
    <row r="11" spans="1:34" x14ac:dyDescent="0.25">
      <c r="A11" s="41">
        <v>1.0756722E-2</v>
      </c>
      <c r="B11" s="41">
        <v>2.1556948870000001</v>
      </c>
      <c r="C11" s="13">
        <f t="shared" si="0"/>
        <v>0.99304712149950869</v>
      </c>
      <c r="D11" s="23">
        <f t="shared" si="1"/>
        <v>-7.0386508165742975E-2</v>
      </c>
      <c r="E11" s="34">
        <f t="shared" si="2"/>
        <v>2.898526327035052E-4</v>
      </c>
      <c r="F11" s="18">
        <f>IF(OR(A11="",A12=""),0,IF(AND(A11&gt;=Parametri!$B$11,B11&gt;=Parametri!$B$10,B12&lt;Parametri!$B$10),ROW(),0))</f>
        <v>0</v>
      </c>
      <c r="H11" s="41">
        <v>1.0017847999999999E-2</v>
      </c>
      <c r="I11" s="41">
        <v>4.1104894950000004</v>
      </c>
      <c r="J11" s="13">
        <f t="shared" si="3"/>
        <v>1</v>
      </c>
      <c r="K11" s="23">
        <f t="shared" si="4"/>
        <v>-1.497468514402525E-2</v>
      </c>
      <c r="L11" s="34">
        <f t="shared" si="5"/>
        <v>2.7452172644337839E-4</v>
      </c>
      <c r="M11" s="18">
        <f>IF(OR(H11="",H12=""),0,IF(AND(H11&gt;=Parametri!$B$11,I11&gt;=Parametri!$B$10,I12&lt;Parametri!$B$10),ROW(),0))</f>
        <v>0</v>
      </c>
      <c r="O11" s="41">
        <v>1.0756722E-2</v>
      </c>
      <c r="P11" s="41">
        <v>6.9054245700000001</v>
      </c>
      <c r="Q11" s="13">
        <f t="shared" si="6"/>
        <v>0.99798720654613182</v>
      </c>
      <c r="R11" s="23">
        <f t="shared" si="7"/>
        <v>-2.974075521821376E-2</v>
      </c>
      <c r="S11" s="34">
        <f t="shared" si="8"/>
        <v>2.9711892956583817E-4</v>
      </c>
      <c r="T11" s="18">
        <f>IF(OR(O11="",O12=""),0,IF(AND(O11&gt;=Parametri!$B$11,P11&gt;=Parametri!$B$10,P12&lt;Parametri!$B$10),ROW(),0))</f>
        <v>0</v>
      </c>
      <c r="V11" s="41"/>
      <c r="W11" s="41"/>
      <c r="X11" s="13" t="str">
        <f t="shared" si="9"/>
        <v/>
      </c>
      <c r="Y11" s="23" t="str">
        <f t="shared" si="10"/>
        <v/>
      </c>
      <c r="Z11" s="34" t="str">
        <f t="shared" si="11"/>
        <v/>
      </c>
      <c r="AA11" s="18">
        <f>IF(OR(V11="",V12=""),0,IF(AND(V11&gt;=Parametri!$B$11,W11&gt;=Parametri!$B$10,W12&lt;Parametri!$B$10),ROW(),0))</f>
        <v>0</v>
      </c>
      <c r="AC11" s="41"/>
      <c r="AD11" s="41"/>
      <c r="AE11" s="13" t="str">
        <f t="shared" si="12"/>
        <v/>
      </c>
      <c r="AF11" s="23" t="str">
        <f t="shared" si="13"/>
        <v/>
      </c>
      <c r="AG11" s="34" t="str">
        <f t="shared" si="14"/>
        <v/>
      </c>
      <c r="AH11" s="18">
        <f>IF(OR(AC11="",AC12=""),0,IF(AND(AC11&gt;=Parametri!$B$11,AD11&gt;=Parametri!$B$10,AD12&lt;Parametri!$B$10),ROW(),0))</f>
        <v>0</v>
      </c>
    </row>
    <row r="12" spans="1:34" x14ac:dyDescent="0.25">
      <c r="A12" s="41">
        <v>5.6566908999999999E-2</v>
      </c>
      <c r="B12" s="41">
        <v>1.917992433</v>
      </c>
      <c r="C12" s="13">
        <f t="shared" si="0"/>
        <v>0.88354658914607753</v>
      </c>
      <c r="D12" s="23">
        <f t="shared" si="1"/>
        <v>-0.44382533337225594</v>
      </c>
      <c r="E12" s="34">
        <f t="shared" si="2"/>
        <v>1.3561862927524949E-3</v>
      </c>
      <c r="F12" s="18">
        <f>IF(OR(A12="",A13=""),0,IF(AND(A12&gt;=Parametri!$B$11,B12&gt;=Parametri!$B$10,B13&lt;Parametri!$B$10),ROW(),0))</f>
        <v>0</v>
      </c>
      <c r="H12" s="41">
        <v>1.6667714E-2</v>
      </c>
      <c r="I12" s="41">
        <v>4.0792715429999999</v>
      </c>
      <c r="J12" s="13">
        <f t="shared" si="3"/>
        <v>0.99240529575906378</v>
      </c>
      <c r="K12" s="23">
        <f t="shared" si="4"/>
        <v>-5.8935840606039278E-2</v>
      </c>
      <c r="L12" s="34">
        <f t="shared" si="5"/>
        <v>4.5328087604708467E-4</v>
      </c>
      <c r="M12" s="18">
        <f>IF(OR(H12="",H13=""),0,IF(AND(H12&gt;=Parametri!$B$11,I12&gt;=Parametri!$B$10,I13&lt;Parametri!$B$10),ROW(),0))</f>
        <v>0</v>
      </c>
      <c r="O12" s="41">
        <v>2.5534201999999999E-2</v>
      </c>
      <c r="P12" s="41">
        <v>6.7301453980000003</v>
      </c>
      <c r="Q12" s="13">
        <f t="shared" si="6"/>
        <v>0.97265547357927695</v>
      </c>
      <c r="R12" s="23">
        <f t="shared" si="7"/>
        <v>-7.8076391856417668E-2</v>
      </c>
      <c r="S12" s="34">
        <f t="shared" si="8"/>
        <v>6.8739556832760962E-4</v>
      </c>
      <c r="T12" s="18">
        <f>IF(OR(O12="",O13=""),0,IF(AND(O12&gt;=Parametri!$B$11,P12&gt;=Parametri!$B$10,P13&lt;Parametri!$B$10),ROW(),0))</f>
        <v>0</v>
      </c>
      <c r="V12" s="41"/>
      <c r="W12" s="41"/>
      <c r="X12" s="13" t="str">
        <f t="shared" si="9"/>
        <v/>
      </c>
      <c r="Y12" s="23" t="str">
        <f t="shared" si="10"/>
        <v/>
      </c>
      <c r="Z12" s="34" t="str">
        <f t="shared" si="11"/>
        <v/>
      </c>
      <c r="AA12" s="18">
        <f>IF(OR(V12="",V13=""),0,IF(AND(V12&gt;=Parametri!$B$11,W12&gt;=Parametri!$B$10,W13&lt;Parametri!$B$10),ROW(),0))</f>
        <v>0</v>
      </c>
      <c r="AC12" s="41"/>
      <c r="AD12" s="41"/>
      <c r="AE12" s="13" t="str">
        <f t="shared" si="12"/>
        <v/>
      </c>
      <c r="AF12" s="23" t="str">
        <f t="shared" si="13"/>
        <v/>
      </c>
      <c r="AG12" s="34" t="str">
        <f t="shared" si="14"/>
        <v/>
      </c>
      <c r="AH12" s="18">
        <f>IF(OR(AC12="",AC13=""),0,IF(AND(AC12&gt;=Parametri!$B$11,AD12&gt;=Parametri!$B$10,AD13&lt;Parametri!$B$10),ROW(),0))</f>
        <v>0</v>
      </c>
    </row>
    <row r="13" spans="1:34" x14ac:dyDescent="0.25">
      <c r="A13" s="41">
        <v>6.1739027000000002E-2</v>
      </c>
      <c r="B13" s="41">
        <v>1.84494197</v>
      </c>
      <c r="C13" s="13">
        <f t="shared" si="0"/>
        <v>0.84989500308729582</v>
      </c>
      <c r="D13" s="23">
        <f t="shared" si="1"/>
        <v>-0.82157394950121654</v>
      </c>
      <c r="E13" s="34">
        <f t="shared" si="2"/>
        <v>1.42381152624079E-3</v>
      </c>
      <c r="F13" s="18">
        <f>IF(OR(A13="",A14=""),0,IF(AND(A13&gt;=Parametri!$B$11,B13&gt;=Parametri!$B$10,B14&lt;Parametri!$B$10),ROW(),0))</f>
        <v>0</v>
      </c>
      <c r="H13" s="41">
        <v>5.2872539000000003E-2</v>
      </c>
      <c r="I13" s="41">
        <v>3.8109643740000001</v>
      </c>
      <c r="J13" s="13">
        <f t="shared" si="3"/>
        <v>0.92713152013541389</v>
      </c>
      <c r="K13" s="23">
        <f t="shared" si="4"/>
        <v>-0.13199142713904244</v>
      </c>
      <c r="L13" s="34">
        <f t="shared" si="5"/>
        <v>1.3433024166128373E-3</v>
      </c>
      <c r="M13" s="18">
        <f>IF(OR(H13="",H14=""),0,IF(AND(H13&gt;=Parametri!$B$11,I13&gt;=Parametri!$B$10,I14&lt;Parametri!$B$10),ROW(),0))</f>
        <v>0</v>
      </c>
      <c r="O13" s="41">
        <v>5.4350286999999997E-2</v>
      </c>
      <c r="P13" s="41">
        <v>6.3446720560000003</v>
      </c>
      <c r="Q13" s="13">
        <f t="shared" si="6"/>
        <v>0.9169460150397013</v>
      </c>
      <c r="R13" s="23">
        <f t="shared" si="7"/>
        <v>-0.13628611332038934</v>
      </c>
      <c r="S13" s="34">
        <f t="shared" si="8"/>
        <v>1.3793389886579204E-3</v>
      </c>
      <c r="T13" s="18">
        <f>IF(OR(O13="",O14=""),0,IF(AND(O13&gt;=Parametri!$B$11,P13&gt;=Parametri!$B$10,P14&lt;Parametri!$B$10),ROW(),0))</f>
        <v>0</v>
      </c>
      <c r="V13" s="41"/>
      <c r="W13" s="41"/>
      <c r="X13" s="13" t="str">
        <f t="shared" si="9"/>
        <v/>
      </c>
      <c r="Y13" s="23" t="str">
        <f t="shared" si="10"/>
        <v/>
      </c>
      <c r="Z13" s="34" t="str">
        <f t="shared" si="11"/>
        <v/>
      </c>
      <c r="AA13" s="18">
        <f>IF(OR(V13="",V14=""),0,IF(AND(V13&gt;=Parametri!$B$11,W13&gt;=Parametri!$B$10,W14&lt;Parametri!$B$10),ROW(),0))</f>
        <v>0</v>
      </c>
      <c r="AC13" s="41"/>
      <c r="AD13" s="41"/>
      <c r="AE13" s="13" t="str">
        <f t="shared" si="12"/>
        <v/>
      </c>
      <c r="AF13" s="23" t="str">
        <f t="shared" si="13"/>
        <v/>
      </c>
      <c r="AG13" s="34" t="str">
        <f t="shared" si="14"/>
        <v/>
      </c>
      <c r="AH13" s="18">
        <f>IF(OR(AC13="",AC14=""),0,IF(AND(AC13&gt;=Parametri!$B$11,AD13&gt;=Parametri!$B$10,AD14&lt;Parametri!$B$10),ROW(),0))</f>
        <v>0</v>
      </c>
    </row>
    <row r="14" spans="1:34" x14ac:dyDescent="0.25">
      <c r="A14" s="41">
        <v>7.2083262999999995E-2</v>
      </c>
      <c r="B14" s="41">
        <v>1.6244696620000001</v>
      </c>
      <c r="C14" s="13">
        <f t="shared" si="0"/>
        <v>0.74833174747534659</v>
      </c>
      <c r="D14" s="23">
        <f t="shared" si="1"/>
        <v>-0.94560380585607939</v>
      </c>
      <c r="E14" s="34">
        <f t="shared" si="2"/>
        <v>1.4637134235183388E-3</v>
      </c>
      <c r="F14" s="18">
        <f>IF(OR(A14="",A15=""),0,IF(AND(A14&gt;=Parametri!$B$11,B14&gt;=Parametri!$B$10,B15&lt;Parametri!$B$10),ROW(),0))</f>
        <v>0</v>
      </c>
      <c r="H14" s="41">
        <v>5.6566908999999999E-2</v>
      </c>
      <c r="I14" s="41">
        <v>3.7771417120000002</v>
      </c>
      <c r="J14" s="13">
        <f t="shared" si="3"/>
        <v>0.91890314197238931</v>
      </c>
      <c r="K14" s="23">
        <f t="shared" si="4"/>
        <v>-0.46642937438608206</v>
      </c>
      <c r="L14" s="34">
        <f t="shared" si="5"/>
        <v>1.4244082100187214E-3</v>
      </c>
      <c r="M14" s="18">
        <f>IF(OR(H14="",H15=""),0,IF(AND(H14&gt;=Parametri!$B$11,I14&gt;=Parametri!$B$10,I15&lt;Parametri!$B$10),ROW(),0))</f>
        <v>0</v>
      </c>
      <c r="O14" s="41">
        <v>5.6566908999999999E-2</v>
      </c>
      <c r="P14" s="41">
        <v>6.3102006580000003</v>
      </c>
      <c r="Q14" s="13">
        <f t="shared" si="6"/>
        <v>0.91196413248533725</v>
      </c>
      <c r="R14" s="23">
        <f t="shared" si="7"/>
        <v>-0.43283872312599997</v>
      </c>
      <c r="S14" s="34">
        <f t="shared" si="8"/>
        <v>1.4277941855713047E-3</v>
      </c>
      <c r="T14" s="18">
        <f>IF(OR(O14="",O15=""),0,IF(AND(O14&gt;=Parametri!$B$11,P14&gt;=Parametri!$B$10,P15&lt;Parametri!$B$10),ROW(),0))</f>
        <v>0</v>
      </c>
      <c r="V14" s="41"/>
      <c r="W14" s="41"/>
      <c r="X14" s="13" t="str">
        <f t="shared" si="9"/>
        <v/>
      </c>
      <c r="Y14" s="23" t="str">
        <f t="shared" si="10"/>
        <v/>
      </c>
      <c r="Z14" s="34" t="str">
        <f t="shared" si="11"/>
        <v/>
      </c>
      <c r="AA14" s="18">
        <f>IF(OR(V14="",V15=""),0,IF(AND(V14&gt;=Parametri!$B$11,W14&gt;=Parametri!$B$10,W15&lt;Parametri!$B$10),ROW(),0))</f>
        <v>0</v>
      </c>
      <c r="AC14" s="41"/>
      <c r="AD14" s="41"/>
      <c r="AE14" s="13" t="str">
        <f t="shared" si="12"/>
        <v/>
      </c>
      <c r="AF14" s="23" t="str">
        <f t="shared" si="13"/>
        <v/>
      </c>
      <c r="AG14" s="34" t="str">
        <f t="shared" si="14"/>
        <v/>
      </c>
      <c r="AH14" s="18">
        <f>IF(OR(AC14="",AC15=""),0,IF(AND(AC14&gt;=Parametri!$B$11,AD14&gt;=Parametri!$B$10,AD15&lt;Parametri!$B$10),ROW(),0))</f>
        <v>0</v>
      </c>
    </row>
    <row r="15" spans="1:34" x14ac:dyDescent="0.25">
      <c r="A15" s="41">
        <v>9.2771734999999994E-2</v>
      </c>
      <c r="B15" s="41">
        <v>1.279649898</v>
      </c>
      <c r="C15" s="13">
        <f t="shared" si="0"/>
        <v>0.58948632081439811</v>
      </c>
      <c r="D15" s="23">
        <f t="shared" si="1"/>
        <v>-0.95313895480084543</v>
      </c>
      <c r="E15" s="34">
        <f t="shared" si="2"/>
        <v>1.4839417653754127E-3</v>
      </c>
      <c r="F15" s="18">
        <f>IF(OR(A15="",A16=""),0,IF(AND(A15&gt;=Parametri!$B$11,B15&gt;=Parametri!$B$10,B16&lt;Parametri!$B$10),ROW(),0))</f>
        <v>0</v>
      </c>
      <c r="H15" s="41">
        <v>6.1739027000000002E-2</v>
      </c>
      <c r="I15" s="41">
        <v>3.6261035920000002</v>
      </c>
      <c r="J15" s="13">
        <f t="shared" si="3"/>
        <v>0.882158583889046</v>
      </c>
      <c r="K15" s="23">
        <f t="shared" si="4"/>
        <v>-0.88294678092555368</v>
      </c>
      <c r="L15" s="34">
        <f t="shared" si="5"/>
        <v>1.4924807171419001E-3</v>
      </c>
      <c r="M15" s="18">
        <f>IF(OR(H15="",H16=""),0,IF(AND(H15&gt;=Parametri!$B$11,I15&gt;=Parametri!$B$10,I16&lt;Parametri!$B$10),ROW(),0))</f>
        <v>0</v>
      </c>
      <c r="O15" s="41">
        <v>6.1739027000000002E-2</v>
      </c>
      <c r="P15" s="41">
        <v>6.0757018340000002</v>
      </c>
      <c r="Q15" s="13">
        <f t="shared" si="6"/>
        <v>0.87807384465005744</v>
      </c>
      <c r="R15" s="23">
        <f t="shared" si="7"/>
        <v>-0.8403751792996591</v>
      </c>
      <c r="S15" s="34">
        <f t="shared" si="8"/>
        <v>1.5004316782931022E-3</v>
      </c>
      <c r="T15" s="18">
        <f>IF(OR(O15="",O16=""),0,IF(AND(O15&gt;=Parametri!$B$11,P15&gt;=Parametri!$B$10,P16&lt;Parametri!$B$10),ROW(),0))</f>
        <v>0</v>
      </c>
      <c r="V15" s="41"/>
      <c r="W15" s="41"/>
      <c r="X15" s="13" t="str">
        <f t="shared" si="9"/>
        <v/>
      </c>
      <c r="Y15" s="23" t="str">
        <f t="shared" si="10"/>
        <v/>
      </c>
      <c r="Z15" s="34" t="str">
        <f t="shared" si="11"/>
        <v/>
      </c>
      <c r="AA15" s="18">
        <f>IF(OR(V15="",V16=""),0,IF(AND(V15&gt;=Parametri!$B$11,W15&gt;=Parametri!$B$10,W16&lt;Parametri!$B$10),ROW(),0))</f>
        <v>0</v>
      </c>
      <c r="AC15" s="41"/>
      <c r="AD15" s="41"/>
      <c r="AE15" s="13" t="str">
        <f t="shared" si="12"/>
        <v/>
      </c>
      <c r="AF15" s="23" t="str">
        <f t="shared" si="13"/>
        <v/>
      </c>
      <c r="AG15" s="34" t="str">
        <f t="shared" si="14"/>
        <v/>
      </c>
      <c r="AH15" s="18">
        <f>IF(OR(AC15="",AC16=""),0,IF(AND(AC15&gt;=Parametri!$B$11,AD15&gt;=Parametri!$B$10,AD16&lt;Parametri!$B$10),ROW(),0))</f>
        <v>0</v>
      </c>
    </row>
    <row r="16" spans="1:34" x14ac:dyDescent="0.25">
      <c r="A16" s="41">
        <v>0.13414867799999999</v>
      </c>
      <c r="B16" s="41">
        <v>0.90038077900000002</v>
      </c>
      <c r="C16" s="13">
        <f t="shared" si="0"/>
        <v>0.41477137893282728</v>
      </c>
      <c r="D16" s="23">
        <f t="shared" si="1"/>
        <v>-0.80675002626388459</v>
      </c>
      <c r="E16" s="34">
        <f t="shared" si="2"/>
        <v>1.509811139993252E-3</v>
      </c>
      <c r="F16" s="18">
        <f>IF(OR(A16="",A17=""),0,IF(AND(A16&gt;=Parametri!$B$11,B16&gt;=Parametri!$B$10,B17&lt;Parametri!$B$10),ROW(),0))</f>
        <v>0</v>
      </c>
      <c r="H16" s="41">
        <v>7.2083262999999995E-2</v>
      </c>
      <c r="I16" s="41">
        <v>3.1625708619999999</v>
      </c>
      <c r="J16" s="13">
        <f t="shared" si="3"/>
        <v>0.76939032829227549</v>
      </c>
      <c r="K16" s="23">
        <f t="shared" si="4"/>
        <v>-0.9835603568561766</v>
      </c>
      <c r="L16" s="34">
        <f t="shared" si="5"/>
        <v>1.5197895146778844E-3</v>
      </c>
      <c r="M16" s="18">
        <f>IF(OR(H16="",H17=""),0,IF(AND(H16&gt;=Parametri!$B$11,I16&gt;=Parametri!$B$10,I17&lt;Parametri!$B$10),ROW(),0))</f>
        <v>0</v>
      </c>
      <c r="O16" s="41">
        <v>7.2083262999999995E-2</v>
      </c>
      <c r="P16" s="41">
        <v>5.3340919859999998</v>
      </c>
      <c r="Q16" s="13">
        <f t="shared" si="6"/>
        <v>0.77089475188753642</v>
      </c>
      <c r="R16" s="23">
        <f t="shared" si="7"/>
        <v>-0.98575297606622814</v>
      </c>
      <c r="S16" s="34">
        <f t="shared" si="8"/>
        <v>1.5379950219721211E-3</v>
      </c>
      <c r="T16" s="18">
        <f>IF(OR(O16="",O17=""),0,IF(AND(O16&gt;=Parametri!$B$11,P16&gt;=Parametri!$B$10,P17&lt;Parametri!$B$10),ROW(),0))</f>
        <v>0</v>
      </c>
      <c r="V16" s="41"/>
      <c r="W16" s="41"/>
      <c r="X16" s="13" t="str">
        <f t="shared" si="9"/>
        <v/>
      </c>
      <c r="Y16" s="23" t="str">
        <f t="shared" si="10"/>
        <v/>
      </c>
      <c r="Z16" s="34" t="str">
        <f t="shared" si="11"/>
        <v/>
      </c>
      <c r="AA16" s="18">
        <f>IF(OR(V16="",V17=""),0,IF(AND(V16&gt;=Parametri!$B$11,W16&gt;=Parametri!$B$10,W17&lt;Parametri!$B$10),ROW(),0))</f>
        <v>0</v>
      </c>
      <c r="AC16" s="41"/>
      <c r="AD16" s="41"/>
      <c r="AE16" s="13" t="str">
        <f t="shared" si="12"/>
        <v/>
      </c>
      <c r="AF16" s="23" t="str">
        <f t="shared" si="13"/>
        <v/>
      </c>
      <c r="AG16" s="34" t="str">
        <f t="shared" si="14"/>
        <v/>
      </c>
      <c r="AH16" s="18">
        <f>IF(OR(AC16="",AC17=""),0,IF(AND(AC16&gt;=Parametri!$B$11,AD16&gt;=Parametri!$B$10,AD17&lt;Parametri!$B$10),ROW(),0))</f>
        <v>0</v>
      </c>
    </row>
    <row r="17" spans="1:34" x14ac:dyDescent="0.25">
      <c r="A17" s="41">
        <v>0.21690256599999999</v>
      </c>
      <c r="B17" s="41">
        <v>0.61104753599999995</v>
      </c>
      <c r="C17" s="13">
        <f t="shared" si="0"/>
        <v>0.2814864943937529</v>
      </c>
      <c r="D17" s="23">
        <f t="shared" si="1"/>
        <v>-0.4084801857239076</v>
      </c>
      <c r="E17" s="34">
        <f t="shared" si="2"/>
        <v>1.6567222313297169E-3</v>
      </c>
      <c r="F17" s="18">
        <f>IF(OR(A17="",A18=""),0,IF(AND(A17&gt;=Parametri!$B$11,B17&gt;=Parametri!$B$10,B18&lt;Parametri!$B$10),ROW(),0))</f>
        <v>0</v>
      </c>
      <c r="H17" s="41">
        <v>9.2771734999999994E-2</v>
      </c>
      <c r="I17" s="41">
        <v>2.4675189729999998</v>
      </c>
      <c r="J17" s="13">
        <f t="shared" si="3"/>
        <v>0.60029808517975536</v>
      </c>
      <c r="K17" s="23">
        <f t="shared" si="4"/>
        <v>-0.98384602268474619</v>
      </c>
      <c r="L17" s="34">
        <f t="shared" si="5"/>
        <v>1.526106775137521E-3</v>
      </c>
      <c r="M17" s="18">
        <f>IF(OR(H17="",H18=""),0,IF(AND(H17&gt;=Parametri!$B$11,I17&gt;=Parametri!$B$10,I18&lt;Parametri!$B$10),ROW(),0))</f>
        <v>0</v>
      </c>
      <c r="O17" s="41">
        <v>9.2771734999999994E-2</v>
      </c>
      <c r="P17" s="41">
        <v>4.1594936560000004</v>
      </c>
      <c r="Q17" s="13">
        <f t="shared" si="6"/>
        <v>0.60113920763568596</v>
      </c>
      <c r="R17" s="23">
        <f t="shared" si="7"/>
        <v>-0.97429035391981422</v>
      </c>
      <c r="S17" s="34">
        <f t="shared" si="8"/>
        <v>1.5435337727544526E-3</v>
      </c>
      <c r="T17" s="18">
        <f>IF(OR(O17="",O18=""),0,IF(AND(O17&gt;=Parametri!$B$11,P17&gt;=Parametri!$B$10,P18&lt;Parametri!$B$10),ROW(),0))</f>
        <v>0</v>
      </c>
      <c r="V17" s="41"/>
      <c r="W17" s="41"/>
      <c r="X17" s="13" t="str">
        <f t="shared" si="9"/>
        <v/>
      </c>
      <c r="Y17" s="23" t="str">
        <f t="shared" si="10"/>
        <v/>
      </c>
      <c r="Z17" s="34" t="str">
        <f t="shared" si="11"/>
        <v/>
      </c>
      <c r="AA17" s="18">
        <f>IF(OR(V17="",V18=""),0,IF(AND(V17&gt;=Parametri!$B$11,W17&gt;=Parametri!$B$10,W18&lt;Parametri!$B$10),ROW(),0))</f>
        <v>0</v>
      </c>
      <c r="AC17" s="41"/>
      <c r="AD17" s="41"/>
      <c r="AE17" s="13" t="str">
        <f t="shared" si="12"/>
        <v/>
      </c>
      <c r="AF17" s="23" t="str">
        <f t="shared" si="13"/>
        <v/>
      </c>
      <c r="AG17" s="34" t="str">
        <f t="shared" si="14"/>
        <v/>
      </c>
      <c r="AH17" s="18">
        <f>IF(OR(AC17="",AC18=""),0,IF(AND(AC17&gt;=Parametri!$B$11,AD17&gt;=Parametri!$B$10,AD18&lt;Parametri!$B$10),ROW(),0))</f>
        <v>0</v>
      </c>
    </row>
    <row r="18" spans="1:34" x14ac:dyDescent="0.25">
      <c r="A18" s="41">
        <v>0.38241034000000002</v>
      </c>
      <c r="B18" s="41">
        <v>0.48470851599999998</v>
      </c>
      <c r="C18" s="13">
        <f t="shared" si="0"/>
        <v>0.22328688511664058</v>
      </c>
      <c r="D18" s="23">
        <f t="shared" si="1"/>
        <v>0.10030808824182441</v>
      </c>
      <c r="E18" s="34">
        <f t="shared" si="2"/>
        <v>2.3169693550556931E-3</v>
      </c>
      <c r="F18" s="18">
        <f>IF(OR(A18="",A19=""),0,IF(AND(A18&gt;=Parametri!$B$11,B18&gt;=Parametri!$B$10,B19&lt;Parametri!$B$10),ROW(),0))</f>
        <v>0</v>
      </c>
      <c r="H18" s="41">
        <v>0.13414867799999999</v>
      </c>
      <c r="I18" s="41">
        <v>1.716631891</v>
      </c>
      <c r="J18" s="13">
        <f t="shared" si="3"/>
        <v>0.4176222547431665</v>
      </c>
      <c r="K18" s="23">
        <f t="shared" si="4"/>
        <v>-0.8241829041281592</v>
      </c>
      <c r="L18" s="34">
        <f t="shared" si="5"/>
        <v>1.5352259919352673E-3</v>
      </c>
      <c r="M18" s="18">
        <f>IF(OR(H18="",H19=""),0,IF(AND(H18&gt;=Parametri!$B$11,I18&gt;=Parametri!$B$10,I19&lt;Parametri!$B$10),ROW(),0))</f>
        <v>0</v>
      </c>
      <c r="O18" s="41">
        <v>0.13414867799999999</v>
      </c>
      <c r="P18" s="41">
        <v>2.9039402769999998</v>
      </c>
      <c r="Q18" s="13">
        <f t="shared" si="6"/>
        <v>0.41968386094760135</v>
      </c>
      <c r="R18" s="23">
        <f t="shared" si="7"/>
        <v>-0.80943542044842076</v>
      </c>
      <c r="S18" s="34">
        <f t="shared" si="8"/>
        <v>1.5582389966020149E-3</v>
      </c>
      <c r="T18" s="18">
        <f>IF(OR(O18="",O19=""),0,IF(AND(O18&gt;=Parametri!$B$11,P18&gt;=Parametri!$B$10,P19&lt;Parametri!$B$10),ROW(),0))</f>
        <v>0</v>
      </c>
      <c r="V18" s="41"/>
      <c r="W18" s="41"/>
      <c r="X18" s="13" t="str">
        <f t="shared" si="9"/>
        <v/>
      </c>
      <c r="Y18" s="23" t="str">
        <f t="shared" si="10"/>
        <v/>
      </c>
      <c r="Z18" s="34" t="str">
        <f t="shared" si="11"/>
        <v/>
      </c>
      <c r="AA18" s="18">
        <f>IF(OR(V18="",V19=""),0,IF(AND(V18&gt;=Parametri!$B$11,W18&gt;=Parametri!$B$10,W19&lt;Parametri!$B$10),ROW(),0))</f>
        <v>0</v>
      </c>
      <c r="AC18" s="41"/>
      <c r="AD18" s="41"/>
      <c r="AE18" s="13" t="str">
        <f t="shared" si="12"/>
        <v/>
      </c>
      <c r="AF18" s="23" t="str">
        <f t="shared" si="13"/>
        <v/>
      </c>
      <c r="AG18" s="34" t="str">
        <f t="shared" si="14"/>
        <v/>
      </c>
      <c r="AH18" s="18">
        <f>IF(OR(AC18="",AC19=""),0,IF(AND(AC18&gt;=Parametri!$B$11,AD18&gt;=Parametri!$B$10,AD19&lt;Parametri!$B$10),ROW(),0))</f>
        <v>0</v>
      </c>
    </row>
    <row r="19" spans="1:34" x14ac:dyDescent="0.25">
      <c r="A19" s="41">
        <v>0.54791811400000001</v>
      </c>
      <c r="B19" s="41">
        <v>0.502513082</v>
      </c>
      <c r="C19" s="13">
        <f t="shared" si="0"/>
        <v>0.23148877543167198</v>
      </c>
      <c r="D19" s="23">
        <f t="shared" si="1"/>
        <v>-0.10449108428141864</v>
      </c>
      <c r="E19" s="34">
        <f t="shared" si="2"/>
        <v>3.4417002518720924E-3</v>
      </c>
      <c r="F19" s="18">
        <f>IF(OR(A19="",A20=""),0,IF(AND(A19&gt;=Parametri!$B$11,B19&gt;=Parametri!$B$10,B20&lt;Parametri!$B$10),ROW(),0))</f>
        <v>0</v>
      </c>
      <c r="H19" s="41">
        <v>0.21690256599999999</v>
      </c>
      <c r="I19" s="41">
        <v>1.155282235</v>
      </c>
      <c r="J19" s="13">
        <f t="shared" si="3"/>
        <v>0.28105709463685175</v>
      </c>
      <c r="K19" s="23">
        <f t="shared" si="4"/>
        <v>-0.38609027778427196</v>
      </c>
      <c r="L19" s="34">
        <f t="shared" si="5"/>
        <v>1.6705578748381E-3</v>
      </c>
      <c r="M19" s="18">
        <f>IF(OR(H19="",H20=""),0,IF(AND(H19&gt;=Parametri!$B$11,I19&gt;=Parametri!$B$10,I20&lt;Parametri!$B$10),ROW(),0))</f>
        <v>0</v>
      </c>
      <c r="O19" s="41">
        <v>0.21690256599999999</v>
      </c>
      <c r="P19" s="41">
        <v>1.96823105</v>
      </c>
      <c r="Q19" s="13">
        <f t="shared" si="6"/>
        <v>0.2844530973461723</v>
      </c>
      <c r="R19" s="23">
        <f t="shared" si="7"/>
        <v>-0.46488941544730117</v>
      </c>
      <c r="S19" s="34">
        <f t="shared" si="8"/>
        <v>1.707657460903497E-3</v>
      </c>
      <c r="T19" s="18">
        <f>IF(OR(O19="",O20=""),0,IF(AND(O19&gt;=Parametri!$B$11,P19&gt;=Parametri!$B$10,P20&lt;Parametri!$B$10),ROW(),0))</f>
        <v>0</v>
      </c>
      <c r="V19" s="41"/>
      <c r="W19" s="41"/>
      <c r="X19" s="13" t="str">
        <f t="shared" si="9"/>
        <v/>
      </c>
      <c r="Y19" s="23" t="str">
        <f t="shared" si="10"/>
        <v/>
      </c>
      <c r="Z19" s="34" t="str">
        <f t="shared" si="11"/>
        <v/>
      </c>
      <c r="AA19" s="18">
        <f>IF(OR(V19="",V20=""),0,IF(AND(V19&gt;=Parametri!$B$11,W19&gt;=Parametri!$B$10,W20&lt;Parametri!$B$10),ROW(),0))</f>
        <v>0</v>
      </c>
      <c r="AC19" s="41"/>
      <c r="AD19" s="41"/>
      <c r="AE19" s="13" t="str">
        <f t="shared" si="12"/>
        <v/>
      </c>
      <c r="AF19" s="23" t="str">
        <f t="shared" si="13"/>
        <v/>
      </c>
      <c r="AG19" s="34" t="str">
        <f t="shared" si="14"/>
        <v/>
      </c>
      <c r="AH19" s="18">
        <f>IF(OR(AC19="",AC20=""),0,IF(AND(AC19&gt;=Parametri!$B$11,AD19&gt;=Parametri!$B$10,AD20&lt;Parametri!$B$10),ROW(),0))</f>
        <v>0</v>
      </c>
    </row>
    <row r="20" spans="1:34" x14ac:dyDescent="0.25">
      <c r="A20" s="41">
        <v>1.162661275</v>
      </c>
      <c r="B20" s="41">
        <v>0.46452191900000001</v>
      </c>
      <c r="C20" s="13">
        <f t="shared" si="0"/>
        <v>0.21398768319126132</v>
      </c>
      <c r="D20" s="23">
        <f t="shared" si="1"/>
        <v>-0.38091982210660813</v>
      </c>
      <c r="E20" s="34">
        <f t="shared" si="2"/>
        <v>6.7510205826248355E-3</v>
      </c>
      <c r="F20" s="18">
        <f>IF(OR(A20="",A21=""),0,IF(AND(A20&gt;=Parametri!$B$11,B20&gt;=Parametri!$B$10,B21&lt;Parametri!$B$10),ROW(),0))</f>
        <v>0</v>
      </c>
      <c r="H20" s="41">
        <v>0.38241034000000002</v>
      </c>
      <c r="I20" s="41">
        <v>0.92812740699999996</v>
      </c>
      <c r="J20" s="13">
        <f t="shared" si="3"/>
        <v>0.22579486168958082</v>
      </c>
      <c r="K20" s="23">
        <f t="shared" si="4"/>
        <v>9.267880944767061E-2</v>
      </c>
      <c r="L20" s="34">
        <f t="shared" si="5"/>
        <v>2.3661701151612559E-3</v>
      </c>
      <c r="M20" s="18">
        <f>IF(OR(H20="",H21=""),0,IF(AND(H20&gt;=Parametri!$B$11,I20&gt;=Parametri!$B$10,I21&lt;Parametri!$B$10),ROW(),0))</f>
        <v>0</v>
      </c>
      <c r="O20" s="41">
        <v>0.38241034000000002</v>
      </c>
      <c r="P20" s="41">
        <v>1.512133435</v>
      </c>
      <c r="Q20" s="13">
        <f t="shared" si="6"/>
        <v>0.2185368629290026</v>
      </c>
      <c r="R20" s="23">
        <f t="shared" si="7"/>
        <v>6.5151846556325041E-2</v>
      </c>
      <c r="S20" s="34">
        <f t="shared" si="8"/>
        <v>2.3130218440148716E-3</v>
      </c>
      <c r="T20" s="18">
        <f>IF(OR(O20="",O21=""),0,IF(AND(O20&gt;=Parametri!$B$11,P20&gt;=Parametri!$B$10,P21&lt;Parametri!$B$10),ROW(),0))</f>
        <v>0</v>
      </c>
      <c r="V20" s="41"/>
      <c r="W20" s="41"/>
      <c r="X20" s="13" t="str">
        <f t="shared" si="9"/>
        <v/>
      </c>
      <c r="Y20" s="23" t="str">
        <f t="shared" si="10"/>
        <v/>
      </c>
      <c r="Z20" s="34" t="str">
        <f t="shared" si="11"/>
        <v/>
      </c>
      <c r="AA20" s="18">
        <f>IF(OR(V20="",V21=""),0,IF(AND(V20&gt;=Parametri!$B$11,W20&gt;=Parametri!$B$10,W21&lt;Parametri!$B$10),ROW(),0))</f>
        <v>0</v>
      </c>
      <c r="AC20" s="41"/>
      <c r="AD20" s="41"/>
      <c r="AE20" s="13" t="str">
        <f t="shared" si="12"/>
        <v/>
      </c>
      <c r="AF20" s="23" t="str">
        <f t="shared" si="13"/>
        <v/>
      </c>
      <c r="AG20" s="34" t="str">
        <f t="shared" si="14"/>
        <v/>
      </c>
      <c r="AH20" s="18">
        <f>IF(OR(AC20="",AC21=""),0,IF(AND(AC20&gt;=Parametri!$B$11,AD20&gt;=Parametri!$B$10,AD21&lt;Parametri!$B$10),ROW(),0))</f>
        <v>0</v>
      </c>
    </row>
    <row r="21" spans="1:34" x14ac:dyDescent="0.25">
      <c r="A21" s="41">
        <v>3.030534727</v>
      </c>
      <c r="B21" s="41">
        <v>0.32249159700000002</v>
      </c>
      <c r="C21" s="13">
        <f t="shared" si="0"/>
        <v>0.14855968441540846</v>
      </c>
      <c r="D21" s="23">
        <f t="shared" si="1"/>
        <v>-0.7475507838103771</v>
      </c>
      <c r="E21" s="34">
        <f t="shared" si="2"/>
        <v>1.2216524798427364E-2</v>
      </c>
      <c r="F21" s="18">
        <f>IF(OR(A21="",A22=""),0,IF(AND(A21&gt;=Parametri!$B$11,B21&gt;=Parametri!$B$10,B22&lt;Parametri!$B$10),ROW(),0))</f>
        <v>0</v>
      </c>
      <c r="H21" s="41">
        <v>0.54791811400000001</v>
      </c>
      <c r="I21" s="41">
        <v>0.95958341400000002</v>
      </c>
      <c r="J21" s="13">
        <f t="shared" si="3"/>
        <v>0.23344747995761511</v>
      </c>
      <c r="K21" s="23">
        <f t="shared" si="4"/>
        <v>-0.19963774928049127</v>
      </c>
      <c r="L21" s="34">
        <f t="shared" si="5"/>
        <v>3.5051542294970745E-3</v>
      </c>
      <c r="M21" s="18">
        <f>IF(OR(H21="",H22=""),0,IF(AND(H21&gt;=Parametri!$B$11,I21&gt;=Parametri!$B$10,I22&lt;Parametri!$B$10),ROW(),0))</f>
        <v>0</v>
      </c>
      <c r="O21" s="41">
        <v>0.54791811400000001</v>
      </c>
      <c r="P21" s="41">
        <v>1.547982065</v>
      </c>
      <c r="Q21" s="13">
        <f t="shared" si="6"/>
        <v>0.22371778609303708</v>
      </c>
      <c r="R21" s="23">
        <f t="shared" si="7"/>
        <v>-7.2699934093015853E-2</v>
      </c>
      <c r="S21" s="34">
        <f t="shared" si="8"/>
        <v>3.3926696542425018E-3</v>
      </c>
      <c r="T21" s="18">
        <f>IF(OR(O21="",O22=""),0,IF(AND(O21&gt;=Parametri!$B$11,P21&gt;=Parametri!$B$10,P22&lt;Parametri!$B$10),ROW(),0))</f>
        <v>0</v>
      </c>
      <c r="V21" s="41"/>
      <c r="W21" s="41"/>
      <c r="X21" s="13" t="str">
        <f t="shared" si="9"/>
        <v/>
      </c>
      <c r="Y21" s="23" t="str">
        <f t="shared" si="10"/>
        <v/>
      </c>
      <c r="Z21" s="34" t="str">
        <f t="shared" si="11"/>
        <v/>
      </c>
      <c r="AA21" s="18">
        <f>IF(OR(V21="",V22=""),0,IF(AND(V21&gt;=Parametri!$B$11,W21&gt;=Parametri!$B$10,W22&lt;Parametri!$B$10),ROW(),0))</f>
        <v>0</v>
      </c>
      <c r="AC21" s="41"/>
      <c r="AD21" s="41"/>
      <c r="AE21" s="13" t="str">
        <f t="shared" si="12"/>
        <v/>
      </c>
      <c r="AF21" s="23" t="str">
        <f t="shared" si="13"/>
        <v/>
      </c>
      <c r="AG21" s="34" t="str">
        <f t="shared" si="14"/>
        <v/>
      </c>
      <c r="AH21" s="18">
        <f>IF(OR(AC21="",AC22=""),0,IF(AND(AC21&gt;=Parametri!$B$11,AD21&gt;=Parametri!$B$10,AD22&lt;Parametri!$B$10),ROW(),0))</f>
        <v>0</v>
      </c>
    </row>
    <row r="22" spans="1:34" x14ac:dyDescent="0.25">
      <c r="A22" s="41">
        <v>4.0708693069999997</v>
      </c>
      <c r="B22" s="41">
        <v>0.25864637299999998</v>
      </c>
      <c r="C22" s="13">
        <f t="shared" si="0"/>
        <v>0.11914860388771624</v>
      </c>
      <c r="D22" s="23">
        <f t="shared" si="1"/>
        <v>-0.87405241044538562</v>
      </c>
      <c r="E22" s="34">
        <f t="shared" si="2"/>
        <v>1.3161444765157168E-2</v>
      </c>
      <c r="F22" s="18">
        <f>IF(OR(A22="",A23=""),0,IF(AND(A22&gt;=Parametri!$B$11,B22&gt;=Parametri!$B$10,B23&lt;Parametri!$B$10),ROW(),0))</f>
        <v>22</v>
      </c>
      <c r="H22" s="41">
        <v>2.3685036300000002</v>
      </c>
      <c r="I22" s="41">
        <v>0.71640953500000004</v>
      </c>
      <c r="J22" s="13">
        <f t="shared" si="3"/>
        <v>0.17428813183233788</v>
      </c>
      <c r="K22" s="23">
        <f t="shared" si="4"/>
        <v>-0.62182907707364954</v>
      </c>
      <c r="L22" s="34">
        <f t="shared" si="5"/>
        <v>1.1312123894760748E-2</v>
      </c>
      <c r="M22" s="18">
        <f>IF(OR(H22="",H23=""),0,IF(AND(H22&gt;=Parametri!$B$11,I22&gt;=Parametri!$B$10,I23&lt;Parametri!$B$10),ROW(),0))</f>
        <v>0</v>
      </c>
      <c r="O22" s="41">
        <v>1.0207974689999999</v>
      </c>
      <c r="P22" s="41">
        <v>1.4795193959999999</v>
      </c>
      <c r="Q22" s="13">
        <f t="shared" si="6"/>
        <v>0.21382340999850499</v>
      </c>
      <c r="R22" s="23">
        <f t="shared" si="7"/>
        <v>-0.27645280767832975</v>
      </c>
      <c r="S22" s="34">
        <f t="shared" si="8"/>
        <v>6.0411586190928339E-3</v>
      </c>
      <c r="T22" s="18">
        <f>IF(OR(O22="",O23=""),0,IF(AND(O22&gt;=Parametri!$B$11,P22&gt;=Parametri!$B$10,P23&lt;Parametri!$B$10),ROW(),0))</f>
        <v>0</v>
      </c>
      <c r="V22" s="41"/>
      <c r="W22" s="41"/>
      <c r="X22" s="13" t="str">
        <f t="shared" si="9"/>
        <v/>
      </c>
      <c r="Y22" s="23" t="str">
        <f t="shared" si="10"/>
        <v/>
      </c>
      <c r="Z22" s="34" t="str">
        <f t="shared" si="11"/>
        <v/>
      </c>
      <c r="AA22" s="18">
        <f>IF(OR(V22="",V23=""),0,IF(AND(V22&gt;=Parametri!$B$11,W22&gt;=Parametri!$B$10,W23&lt;Parametri!$B$10),ROW(),0))</f>
        <v>0</v>
      </c>
      <c r="AC22" s="41"/>
      <c r="AD22" s="41"/>
      <c r="AE22" s="13" t="str">
        <f t="shared" si="12"/>
        <v/>
      </c>
      <c r="AF22" s="23" t="str">
        <f t="shared" si="13"/>
        <v/>
      </c>
      <c r="AG22" s="34" t="str">
        <f t="shared" si="14"/>
        <v/>
      </c>
      <c r="AH22" s="18">
        <f>IF(OR(AC22="",AC23=""),0,IF(AND(AC22&gt;=Parametri!$B$11,AD22&gt;=Parametri!$B$10,AD23&lt;Parametri!$B$10),ROW(),0))</f>
        <v>0</v>
      </c>
    </row>
    <row r="23" spans="1:34" x14ac:dyDescent="0.25">
      <c r="A23" s="41">
        <v>4.9858326100000001</v>
      </c>
      <c r="B23" s="41">
        <v>0.216643474</v>
      </c>
      <c r="C23" s="13">
        <f t="shared" si="0"/>
        <v>9.9799456567228773E-2</v>
      </c>
      <c r="D23" s="23">
        <f t="shared" si="1"/>
        <v>-0.90958892944181424</v>
      </c>
      <c r="E23" s="34">
        <f t="shared" si="2"/>
        <v>1.3501851217661089E-2</v>
      </c>
      <c r="F23" s="18">
        <f>IF(OR(A23="",A24=""),0,IF(AND(A23&gt;=Parametri!$B$11,B23&gt;=Parametri!$B$10,B24&lt;Parametri!$B$10),ROW(),0))</f>
        <v>0</v>
      </c>
      <c r="H23" s="41">
        <v>3.9762934360000002</v>
      </c>
      <c r="I23" s="41">
        <v>0.51909530000000004</v>
      </c>
      <c r="J23" s="13">
        <f t="shared" si="3"/>
        <v>0.12628551918972852</v>
      </c>
      <c r="K23" s="23">
        <f t="shared" si="4"/>
        <v>-0.90415212149572199</v>
      </c>
      <c r="L23" s="34">
        <f t="shared" si="5"/>
        <v>1.3760501560323008E-2</v>
      </c>
      <c r="M23" s="18">
        <f>IF(OR(H23="",H24=""),0,IF(AND(H23&gt;=Parametri!$B$11,I23&gt;=Parametri!$B$10,I24&lt;Parametri!$B$10),ROW(),0))</f>
        <v>0</v>
      </c>
      <c r="O23" s="41">
        <v>2.3921475980000002</v>
      </c>
      <c r="P23" s="41">
        <v>1.1691629320000001</v>
      </c>
      <c r="Q23" s="13">
        <f t="shared" si="6"/>
        <v>0.16897000853112862</v>
      </c>
      <c r="R23" s="23">
        <f t="shared" si="7"/>
        <v>-0.63597240596493743</v>
      </c>
      <c r="S23" s="34">
        <f t="shared" si="8"/>
        <v>1.1187241197817752E-2</v>
      </c>
      <c r="T23" s="18">
        <f>IF(OR(O23="",O24=""),0,IF(AND(O23&gt;=Parametri!$B$11,P23&gt;=Parametri!$B$10,P24&lt;Parametri!$B$10),ROW(),0))</f>
        <v>0</v>
      </c>
      <c r="V23" s="41"/>
      <c r="W23" s="41"/>
      <c r="X23" s="13" t="str">
        <f t="shared" si="9"/>
        <v/>
      </c>
      <c r="Y23" s="23" t="str">
        <f t="shared" si="10"/>
        <v/>
      </c>
      <c r="Z23" s="34" t="str">
        <f t="shared" si="11"/>
        <v/>
      </c>
      <c r="AA23" s="18">
        <f>IF(OR(V23="",V24=""),0,IF(AND(V23&gt;=Parametri!$B$11,W23&gt;=Parametri!$B$10,W24&lt;Parametri!$B$10),ROW(),0))</f>
        <v>0</v>
      </c>
      <c r="AC23" s="41"/>
      <c r="AD23" s="41"/>
      <c r="AE23" s="13" t="str">
        <f t="shared" si="12"/>
        <v/>
      </c>
      <c r="AF23" s="23" t="str">
        <f t="shared" si="13"/>
        <v/>
      </c>
      <c r="AG23" s="34" t="str">
        <f t="shared" si="14"/>
        <v/>
      </c>
      <c r="AH23" s="18">
        <f>IF(OR(AC23="",AC24=""),0,IF(AND(AC23&gt;=Parametri!$B$11,AD23&gt;=Parametri!$B$10,AD24&lt;Parametri!$B$10),ROW(),0))</f>
        <v>0</v>
      </c>
    </row>
    <row r="24" spans="1:34" x14ac:dyDescent="0.25">
      <c r="A24" s="41">
        <v>6.2461143400000001</v>
      </c>
      <c r="B24" s="41">
        <v>0.176490815</v>
      </c>
      <c r="C24" s="13">
        <f t="shared" si="0"/>
        <v>8.1302644851916045E-2</v>
      </c>
      <c r="D24" s="23">
        <f t="shared" si="1"/>
        <v>-0.87146178462065083</v>
      </c>
      <c r="E24" s="34">
        <f t="shared" si="2"/>
        <v>1.3779772630622338E-2</v>
      </c>
      <c r="F24" s="18">
        <f>IF(OR(A24="",A25=""),0,IF(AND(A24&gt;=Parametri!$B$11,B24&gt;=Parametri!$B$10,B25&lt;Parametri!$B$10),ROW(),0))</f>
        <v>0</v>
      </c>
      <c r="H24" s="41">
        <v>4.9858326100000001</v>
      </c>
      <c r="I24" s="41">
        <v>0.42306370799999998</v>
      </c>
      <c r="J24" s="13">
        <f t="shared" si="3"/>
        <v>0.10292295078593795</v>
      </c>
      <c r="K24" s="23">
        <f t="shared" si="4"/>
        <v>-0.98026642944507159</v>
      </c>
      <c r="L24" s="34">
        <f t="shared" si="5"/>
        <v>1.4062165543026119E-2</v>
      </c>
      <c r="M24" s="18">
        <f>IF(OR(H24="",H25=""),0,IF(AND(H24&gt;=Parametri!$B$11,I24&gt;=Parametri!$B$10,I25&lt;Parametri!$B$10),ROW(),0))</f>
        <v>0</v>
      </c>
      <c r="O24" s="41">
        <v>4.0472253399999998</v>
      </c>
      <c r="P24" s="41">
        <v>0.83683221900000004</v>
      </c>
      <c r="Q24" s="13">
        <f t="shared" si="6"/>
        <v>0.12094084007750024</v>
      </c>
      <c r="R24" s="23">
        <f t="shared" si="7"/>
        <v>-0.92181840271514492</v>
      </c>
      <c r="S24" s="34">
        <f t="shared" si="8"/>
        <v>1.3547394248260918E-2</v>
      </c>
      <c r="T24" s="18">
        <f>IF(OR(O24="",O25=""),0,IF(AND(O24&gt;=Parametri!$B$11,P24&gt;=Parametri!$B$10,P25&lt;Parametri!$B$10),ROW(),0))</f>
        <v>0</v>
      </c>
      <c r="V24" s="41"/>
      <c r="W24" s="41"/>
      <c r="X24" s="13" t="str">
        <f t="shared" si="9"/>
        <v/>
      </c>
      <c r="Y24" s="23" t="str">
        <f t="shared" si="10"/>
        <v/>
      </c>
      <c r="Z24" s="34" t="str">
        <f t="shared" si="11"/>
        <v/>
      </c>
      <c r="AA24" s="18">
        <f>IF(OR(V24="",V25=""),0,IF(AND(V24&gt;=Parametri!$B$11,W24&gt;=Parametri!$B$10,W25&lt;Parametri!$B$10),ROW(),0))</f>
        <v>0</v>
      </c>
      <c r="AC24" s="41"/>
      <c r="AD24" s="41"/>
      <c r="AE24" s="13" t="str">
        <f t="shared" si="12"/>
        <v/>
      </c>
      <c r="AF24" s="23" t="str">
        <f t="shared" si="13"/>
        <v/>
      </c>
      <c r="AG24" s="34" t="str">
        <f t="shared" si="14"/>
        <v/>
      </c>
      <c r="AH24" s="18">
        <f>IF(OR(AC24="",AC25=""),0,IF(AND(AC24&gt;=Parametri!$B$11,AD24&gt;=Parametri!$B$10,AD25&lt;Parametri!$B$10),ROW(),0))</f>
        <v>0</v>
      </c>
    </row>
    <row r="25" spans="1:34" x14ac:dyDescent="0.25">
      <c r="A25" s="41">
        <v>7.8775481139999997</v>
      </c>
      <c r="B25" s="41">
        <v>0.14417674</v>
      </c>
      <c r="C25" s="13">
        <f t="shared" si="0"/>
        <v>6.6416772386296924E-2</v>
      </c>
      <c r="D25" s="23">
        <f t="shared" si="1"/>
        <v>-1.345947073478853</v>
      </c>
      <c r="E25" s="34">
        <f t="shared" si="2"/>
        <v>1.4196990078370853E-2</v>
      </c>
      <c r="F25" s="18">
        <f>IF(OR(A25="",A26=""),0,IF(AND(A25&gt;=Parametri!$B$11,B25&gt;=Parametri!$B$10,B26&lt;Parametri!$B$10),ROW(),0))</f>
        <v>0</v>
      </c>
      <c r="H25" s="41">
        <v>6.1988264040000001</v>
      </c>
      <c r="I25" s="41">
        <v>0.34174347399999999</v>
      </c>
      <c r="J25" s="13">
        <f t="shared" si="3"/>
        <v>8.3139361970319292E-2</v>
      </c>
      <c r="K25" s="23">
        <f t="shared" si="4"/>
        <v>-0.98336595543734406</v>
      </c>
      <c r="L25" s="34">
        <f t="shared" si="5"/>
        <v>1.4122723133505917E-2</v>
      </c>
      <c r="M25" s="18">
        <f>IF(OR(H25="",H26=""),0,IF(AND(H25&gt;=Parametri!$B$11,I25&gt;=Parametri!$B$10,I26&lt;Parametri!$B$10),ROW(),0))</f>
        <v>0</v>
      </c>
      <c r="O25" s="41">
        <v>4.9858326100000001</v>
      </c>
      <c r="P25" s="41">
        <v>0.69046202499999998</v>
      </c>
      <c r="Q25" s="13">
        <f t="shared" si="6"/>
        <v>9.9787096444373349E-2</v>
      </c>
      <c r="R25" s="23">
        <f t="shared" si="7"/>
        <v>-1.0001099421660529</v>
      </c>
      <c r="S25" s="34">
        <f t="shared" si="8"/>
        <v>1.3770112320846541E-2</v>
      </c>
      <c r="T25" s="18">
        <f>IF(OR(O25="",O26=""),0,IF(AND(O25&gt;=Parametri!$B$11,P25&gt;=Parametri!$B$10,P26&lt;Parametri!$B$10),ROW(),0))</f>
        <v>0</v>
      </c>
      <c r="V25" s="41"/>
      <c r="W25" s="41"/>
      <c r="X25" s="13" t="str">
        <f t="shared" si="9"/>
        <v/>
      </c>
      <c r="Y25" s="23" t="str">
        <f t="shared" si="10"/>
        <v/>
      </c>
      <c r="Z25" s="34" t="str">
        <f t="shared" si="11"/>
        <v/>
      </c>
      <c r="AA25" s="18">
        <f>IF(OR(V25="",V26=""),0,IF(AND(V25&gt;=Parametri!$B$11,W25&gt;=Parametri!$B$10,W26&lt;Parametri!$B$10),ROW(),0))</f>
        <v>0</v>
      </c>
      <c r="AC25" s="41"/>
      <c r="AD25" s="41"/>
      <c r="AE25" s="13" t="str">
        <f t="shared" si="12"/>
        <v/>
      </c>
      <c r="AF25" s="23" t="str">
        <f t="shared" si="13"/>
        <v/>
      </c>
      <c r="AG25" s="34" t="str">
        <f t="shared" si="14"/>
        <v/>
      </c>
      <c r="AH25" s="18">
        <f>IF(OR(AC25="",AC26=""),0,IF(AND(AC25&gt;=Parametri!$B$11,AD25&gt;=Parametri!$B$10,AD26&lt;Parametri!$B$10),ROW(),0))</f>
        <v>0</v>
      </c>
    </row>
    <row r="26" spans="1:34" x14ac:dyDescent="0.25">
      <c r="A26" s="41">
        <v>8.7760188879999994</v>
      </c>
      <c r="B26" s="41">
        <v>0.12466988399999999</v>
      </c>
      <c r="C26" s="13">
        <f t="shared" si="0"/>
        <v>5.7430701436681393E-2</v>
      </c>
      <c r="D26" s="23">
        <f t="shared" si="1"/>
        <v>-4.0192428342297513</v>
      </c>
      <c r="E26" s="34">
        <f t="shared" si="2"/>
        <v>1.3676315709359611E-2</v>
      </c>
      <c r="F26" s="18">
        <f>IF(OR(A26="",A27=""),0,IF(AND(A26&gt;=Parametri!$B$11,B26&gt;=Parametri!$B$10,B27&lt;Parametri!$B$10),ROW(),0))</f>
        <v>0</v>
      </c>
      <c r="H26" s="41">
        <v>7.7829722429999997</v>
      </c>
      <c r="I26" s="41">
        <v>0.27321734399999997</v>
      </c>
      <c r="J26" s="13">
        <f t="shared" si="3"/>
        <v>6.6468323135806959E-2</v>
      </c>
      <c r="K26" s="23">
        <f t="shared" si="4"/>
        <v>-1.4374367115704447</v>
      </c>
      <c r="L26" s="34">
        <f t="shared" si="5"/>
        <v>1.4176286697721216E-2</v>
      </c>
      <c r="M26" s="18">
        <f>IF(OR(H26="",H27=""),0,IF(AND(H26&gt;=Parametri!$B$11,I26&gt;=Parametri!$B$10,I27&lt;Parametri!$B$10),ROW(),0))</f>
        <v>26</v>
      </c>
      <c r="O26" s="41">
        <v>6.2224703720000001</v>
      </c>
      <c r="P26" s="41">
        <v>0.55322790099999997</v>
      </c>
      <c r="Q26" s="13">
        <f t="shared" si="6"/>
        <v>7.9953717820766795E-2</v>
      </c>
      <c r="R26" s="23">
        <f t="shared" si="7"/>
        <v>-1.0359111061388091</v>
      </c>
      <c r="S26" s="34">
        <f t="shared" si="8"/>
        <v>1.3769776891744996E-2</v>
      </c>
      <c r="T26" s="18">
        <f>IF(OR(O26="",O27=""),0,IF(AND(O26&gt;=Parametri!$B$11,P26&gt;=Parametri!$B$10,P27&lt;Parametri!$B$10),ROW(),0))</f>
        <v>0</v>
      </c>
      <c r="V26" s="41"/>
      <c r="W26" s="41"/>
      <c r="X26" s="13" t="str">
        <f t="shared" si="9"/>
        <v/>
      </c>
      <c r="Y26" s="23" t="str">
        <f t="shared" si="10"/>
        <v/>
      </c>
      <c r="Z26" s="34" t="str">
        <f t="shared" si="11"/>
        <v/>
      </c>
      <c r="AA26" s="18">
        <f>IF(OR(V26="",V27=""),0,IF(AND(V26&gt;=Parametri!$B$11,W26&gt;=Parametri!$B$10,W27&lt;Parametri!$B$10),ROW(),0))</f>
        <v>0</v>
      </c>
      <c r="AC26" s="41"/>
      <c r="AD26" s="41"/>
      <c r="AE26" s="13" t="str">
        <f t="shared" si="12"/>
        <v/>
      </c>
      <c r="AF26" s="23" t="str">
        <f t="shared" si="13"/>
        <v/>
      </c>
      <c r="AG26" s="34" t="str">
        <f t="shared" si="14"/>
        <v/>
      </c>
      <c r="AH26" s="18">
        <f>IF(OR(AC26="",AC27=""),0,IF(AND(AC26&gt;=Parametri!$B$11,AD26&gt;=Parametri!$B$10,AD27&lt;Parametri!$B$10),ROW(),0))</f>
        <v>0</v>
      </c>
    </row>
    <row r="27" spans="1:34" x14ac:dyDescent="0.25">
      <c r="A27" s="41">
        <v>9.2016103069999993</v>
      </c>
      <c r="B27" s="41">
        <v>0.103062495</v>
      </c>
      <c r="C27" s="13">
        <f t="shared" si="0"/>
        <v>4.7476994361079772E-2</v>
      </c>
      <c r="D27" s="23">
        <f t="shared" si="1"/>
        <v>-9.6019313870058731</v>
      </c>
      <c r="E27" s="34">
        <f t="shared" si="2"/>
        <v>1.1854261453214198E-2</v>
      </c>
      <c r="F27" s="18">
        <f>IF(OR(A27="",A28=""),0,IF(AND(A27&gt;=Parametri!$B$11,B27&gt;=Parametri!$B$10,B28&lt;Parametri!$B$10),ROW(),0))</f>
        <v>0</v>
      </c>
      <c r="H27" s="41">
        <v>8.7760188879999994</v>
      </c>
      <c r="I27" s="41">
        <v>0.22990211599999999</v>
      </c>
      <c r="J27" s="13">
        <f t="shared" si="3"/>
        <v>5.5930593249211055E-2</v>
      </c>
      <c r="K27" s="23">
        <f t="shared" si="4"/>
        <v>-4.0900143941505664</v>
      </c>
      <c r="L27" s="34">
        <f t="shared" si="5"/>
        <v>1.3450835416047777E-2</v>
      </c>
      <c r="M27" s="18">
        <f>IF(OR(H27="",H28=""),0,IF(AND(H27&gt;=Parametri!$B$11,I27&gt;=Parametri!$B$10,I28&lt;Parametri!$B$10),ROW(),0))</f>
        <v>0</v>
      </c>
      <c r="O27" s="41">
        <v>7.9011920819999997</v>
      </c>
      <c r="P27" s="41">
        <v>0.43196567800000002</v>
      </c>
      <c r="Q27" s="13">
        <f t="shared" si="6"/>
        <v>6.2428633596822547E-2</v>
      </c>
      <c r="R27" s="23">
        <f t="shared" si="7"/>
        <v>-1.6339441130997463</v>
      </c>
      <c r="S27" s="34">
        <f t="shared" si="8"/>
        <v>1.3652175178837446E-2</v>
      </c>
      <c r="T27" s="18">
        <f>IF(OR(O27="",O28=""),0,IF(AND(O27&gt;=Parametri!$B$11,P27&gt;=Parametri!$B$10,P28&lt;Parametri!$B$10),ROW(),0))</f>
        <v>0</v>
      </c>
      <c r="V27" s="41"/>
      <c r="W27" s="41"/>
      <c r="X27" s="13" t="str">
        <f t="shared" si="9"/>
        <v/>
      </c>
      <c r="Y27" s="23" t="str">
        <f t="shared" si="10"/>
        <v/>
      </c>
      <c r="Z27" s="34" t="str">
        <f t="shared" si="11"/>
        <v/>
      </c>
      <c r="AA27" s="18">
        <f>IF(OR(V27="",V28=""),0,IF(AND(V27&gt;=Parametri!$B$11,W27&gt;=Parametri!$B$10,W28&lt;Parametri!$B$10),ROW(),0))</f>
        <v>0</v>
      </c>
      <c r="AC27" s="41"/>
      <c r="AD27" s="41"/>
      <c r="AE27" s="13" t="str">
        <f t="shared" si="12"/>
        <v/>
      </c>
      <c r="AF27" s="23" t="str">
        <f t="shared" si="13"/>
        <v/>
      </c>
      <c r="AG27" s="34" t="str">
        <f t="shared" si="14"/>
        <v/>
      </c>
      <c r="AH27" s="18">
        <f>IF(OR(AC27="",AC28=""),0,IF(AND(AC27&gt;=Parametri!$B$11,AD27&gt;=Parametri!$B$10,AD28&lt;Parametri!$B$10),ROW(),0))</f>
        <v>0</v>
      </c>
    </row>
    <row r="28" spans="1:34" x14ac:dyDescent="0.25">
      <c r="A28" s="41">
        <v>9.5089818879999992</v>
      </c>
      <c r="B28" s="41">
        <v>7.5176019999999996E-2</v>
      </c>
      <c r="C28" s="13">
        <f t="shared" si="0"/>
        <v>3.4630749795339422E-2</v>
      </c>
      <c r="D28" s="23">
        <f t="shared" si="1"/>
        <v>-26.13654868680133</v>
      </c>
      <c r="E28" s="34">
        <f t="shared" si="2"/>
        <v>8.9355926573990701E-3</v>
      </c>
      <c r="F28" s="18">
        <f>IF(OR(A28="",A29=""),0,IF(AND(A28&gt;=Parametri!$B$11,B28&gt;=Parametri!$B$10,B29&lt;Parametri!$B$10),ROW(),0))</f>
        <v>0</v>
      </c>
      <c r="H28" s="41">
        <v>9.2016103069999993</v>
      </c>
      <c r="I28" s="41">
        <v>0.18942031600000001</v>
      </c>
      <c r="J28" s="13">
        <f t="shared" si="3"/>
        <v>4.608217980617902E-2</v>
      </c>
      <c r="K28" s="23">
        <f t="shared" si="4"/>
        <v>-9.9587195210954214</v>
      </c>
      <c r="L28" s="34">
        <f t="shared" si="5"/>
        <v>1.1619812880405311E-2</v>
      </c>
      <c r="M28" s="18">
        <f>IF(OR(H28="",H29=""),0,IF(AND(H28&gt;=Parametri!$B$11,I28&gt;=Parametri!$B$10,I29&lt;Parametri!$B$10),ROW(),0))</f>
        <v>0</v>
      </c>
      <c r="O28" s="41">
        <v>8.8469507909999994</v>
      </c>
      <c r="P28" s="41">
        <v>0.35910459700000003</v>
      </c>
      <c r="Q28" s="13">
        <f t="shared" si="6"/>
        <v>5.1898589288030476E-2</v>
      </c>
      <c r="R28" s="23">
        <f t="shared" si="7"/>
        <v>-4.8618023498346377</v>
      </c>
      <c r="S28" s="34">
        <f t="shared" si="8"/>
        <v>1.2707922793923545E-2</v>
      </c>
      <c r="T28" s="18">
        <f>IF(OR(O28="",O29=""),0,IF(AND(O28&gt;=Parametri!$B$11,P28&gt;=Parametri!$B$10,P29&lt;Parametri!$B$10),ROW(),0))</f>
        <v>0</v>
      </c>
      <c r="V28" s="41"/>
      <c r="W28" s="41"/>
      <c r="X28" s="13" t="str">
        <f t="shared" si="9"/>
        <v/>
      </c>
      <c r="Y28" s="23" t="str">
        <f t="shared" si="10"/>
        <v/>
      </c>
      <c r="Z28" s="34" t="str">
        <f t="shared" si="11"/>
        <v/>
      </c>
      <c r="AA28" s="18">
        <f>IF(OR(V28="",V29=""),0,IF(AND(V28&gt;=Parametri!$B$11,W28&gt;=Parametri!$B$10,W29&lt;Parametri!$B$10),ROW(),0))</f>
        <v>0</v>
      </c>
      <c r="AC28" s="41"/>
      <c r="AD28" s="41"/>
      <c r="AE28" s="13" t="str">
        <f t="shared" si="12"/>
        <v/>
      </c>
      <c r="AF28" s="23" t="str">
        <f t="shared" si="13"/>
        <v/>
      </c>
      <c r="AG28" s="34" t="str">
        <f t="shared" si="14"/>
        <v/>
      </c>
      <c r="AH28" s="18">
        <f>IF(OR(AC28="",AC29=""),0,IF(AND(AC28&gt;=Parametri!$B$11,AD28&gt;=Parametri!$B$10,AD29&lt;Parametri!$B$10),ROW(),0))</f>
        <v>0</v>
      </c>
    </row>
    <row r="29" spans="1:34" x14ac:dyDescent="0.25">
      <c r="A29" s="41">
        <v>9.8163534569999999</v>
      </c>
      <c r="B29" s="41">
        <v>3.2731989000000003E-2</v>
      </c>
      <c r="C29" s="13">
        <f t="shared" si="0"/>
        <v>1.5078389642904776E-2</v>
      </c>
      <c r="D29" s="23">
        <f t="shared" si="1"/>
        <v>-24.319162666682416</v>
      </c>
      <c r="E29" s="34">
        <f t="shared" si="2"/>
        <v>4.0163596671829501E-3</v>
      </c>
      <c r="F29" s="18">
        <f>IF(OR(A29="",A30=""),0,IF(AND(A29&gt;=Parametri!$B$11,B29&gt;=Parametri!$B$10,B30&lt;Parametri!$B$10),ROW(),0))</f>
        <v>0</v>
      </c>
      <c r="H29" s="41">
        <v>9.5326258559999992</v>
      </c>
      <c r="I29" s="41">
        <v>0.13322111</v>
      </c>
      <c r="J29" s="13">
        <f t="shared" si="3"/>
        <v>3.2410035389228015E-2</v>
      </c>
      <c r="K29" s="23">
        <f t="shared" si="4"/>
        <v>-24.90826658414684</v>
      </c>
      <c r="L29" s="34">
        <f t="shared" si="5"/>
        <v>8.4663133183401334E-3</v>
      </c>
      <c r="M29" s="18">
        <f>IF(OR(H29="",H30=""),0,IF(AND(H29&gt;=Parametri!$B$11,I29&gt;=Parametri!$B$10,I30&lt;Parametri!$B$10),ROW(),0))</f>
        <v>0</v>
      </c>
      <c r="O29" s="41">
        <v>9.2961861779999992</v>
      </c>
      <c r="P29" s="41">
        <v>0.282252473</v>
      </c>
      <c r="Q29" s="13">
        <f t="shared" si="6"/>
        <v>4.0791750632359382E-2</v>
      </c>
      <c r="R29" s="23">
        <f t="shared" si="7"/>
        <v>-12.789895358057475</v>
      </c>
      <c r="S29" s="34">
        <f t="shared" si="8"/>
        <v>1.0495486152835673E-2</v>
      </c>
      <c r="T29" s="18">
        <f>IF(OR(O29="",O30=""),0,IF(AND(O29&gt;=Parametri!$B$11,P29&gt;=Parametri!$B$10,P30&lt;Parametri!$B$10),ROW(),0))</f>
        <v>29</v>
      </c>
      <c r="V29" s="41"/>
      <c r="W29" s="41"/>
      <c r="X29" s="13" t="str">
        <f t="shared" si="9"/>
        <v/>
      </c>
      <c r="Y29" s="23" t="str">
        <f t="shared" si="10"/>
        <v/>
      </c>
      <c r="Z29" s="34" t="str">
        <f t="shared" si="11"/>
        <v/>
      </c>
      <c r="AA29" s="18">
        <f>IF(OR(V29="",V30=""),0,IF(AND(V29&gt;=Parametri!$B$11,W29&gt;=Parametri!$B$10,W30&lt;Parametri!$B$10),ROW(),0))</f>
        <v>0</v>
      </c>
      <c r="AC29" s="41"/>
      <c r="AD29" s="41"/>
      <c r="AE29" s="13" t="str">
        <f t="shared" si="12"/>
        <v/>
      </c>
      <c r="AF29" s="23" t="str">
        <f t="shared" si="13"/>
        <v/>
      </c>
      <c r="AG29" s="34" t="str">
        <f t="shared" si="14"/>
        <v/>
      </c>
      <c r="AH29" s="18">
        <f>IF(OR(AC29="",AC30=""),0,IF(AND(AC29&gt;=Parametri!$B$11,AD29&gt;=Parametri!$B$10,AD30&lt;Parametri!$B$10),ROW(),0))</f>
        <v>0</v>
      </c>
    </row>
    <row r="30" spans="1:34" x14ac:dyDescent="0.25">
      <c r="A30" s="41">
        <v>9.894009338</v>
      </c>
      <c r="B30" s="41">
        <v>2.7023966999999999E-2</v>
      </c>
      <c r="C30" s="13">
        <f t="shared" si="0"/>
        <v>1.2448919744015569E-2</v>
      </c>
      <c r="D30" s="23" t="str">
        <f t="shared" si="1"/>
        <v/>
      </c>
      <c r="E30" s="34">
        <f t="shared" si="2"/>
        <v>3.342192273097548E-3</v>
      </c>
      <c r="F30" s="18">
        <f>IF(OR(A30="",A31=""),0,IF(AND(A30&gt;=Parametri!$B$11,B30&gt;=Parametri!$B$10,B31&lt;Parametri!$B$10),ROW(),0))</f>
        <v>0</v>
      </c>
      <c r="H30" s="41">
        <v>9.8163534569999999</v>
      </c>
      <c r="I30" s="41">
        <v>6.4165343E-2</v>
      </c>
      <c r="J30" s="13">
        <f t="shared" si="3"/>
        <v>1.561014645045334E-2</v>
      </c>
      <c r="K30" s="23">
        <f t="shared" si="4"/>
        <v>-19.232413157481965</v>
      </c>
      <c r="L30" s="34">
        <f t="shared" si="5"/>
        <v>4.1991312438509386E-3</v>
      </c>
      <c r="M30" s="18">
        <f>IF(OR(H30="",H31=""),0,IF(AND(H30&gt;=Parametri!$B$11,I30&gt;=Parametri!$B$10,I31&lt;Parametri!$B$10),ROW(),0))</f>
        <v>0</v>
      </c>
      <c r="O30" s="41">
        <v>9.6508456949999992</v>
      </c>
      <c r="P30" s="41">
        <v>0.17485051200000001</v>
      </c>
      <c r="Q30" s="13">
        <f t="shared" si="6"/>
        <v>2.5269782077141843E-2</v>
      </c>
      <c r="R30" s="23">
        <f t="shared" si="7"/>
        <v>-24.137718135846821</v>
      </c>
      <c r="S30" s="34">
        <f t="shared" si="8"/>
        <v>6.7498212440149832E-3</v>
      </c>
      <c r="T30" s="18">
        <f>IF(OR(O30="",O31=""),0,IF(AND(O30&gt;=Parametri!$B$11,P30&gt;=Parametri!$B$10,P31&lt;Parametri!$B$10),ROW(),0))</f>
        <v>0</v>
      </c>
      <c r="V30" s="41"/>
      <c r="W30" s="41"/>
      <c r="X30" s="13" t="str">
        <f t="shared" si="9"/>
        <v/>
      </c>
      <c r="Y30" s="23" t="str">
        <f t="shared" si="10"/>
        <v/>
      </c>
      <c r="Z30" s="34" t="str">
        <f t="shared" si="11"/>
        <v/>
      </c>
      <c r="AA30" s="18">
        <f>IF(OR(V30="",V31=""),0,IF(AND(V30&gt;=Parametri!$B$11,W30&gt;=Parametri!$B$10,W31&lt;Parametri!$B$10),ROW(),0))</f>
        <v>0</v>
      </c>
      <c r="AC30" s="41"/>
      <c r="AD30" s="41"/>
      <c r="AE30" s="13" t="str">
        <f t="shared" si="12"/>
        <v/>
      </c>
      <c r="AF30" s="23" t="str">
        <f t="shared" si="13"/>
        <v/>
      </c>
      <c r="AG30" s="34" t="str">
        <f t="shared" si="14"/>
        <v/>
      </c>
      <c r="AH30" s="18">
        <f>IF(OR(AC30="",AC31=""),0,IF(AND(AC30&gt;=Parametri!$B$11,AD30&gt;=Parametri!$B$10,AD31&lt;Parametri!$B$10),ROW(),0))</f>
        <v>0</v>
      </c>
    </row>
    <row r="31" spans="1:34" x14ac:dyDescent="0.25">
      <c r="A31" s="41"/>
      <c r="B31" s="41"/>
      <c r="C31" s="13" t="str">
        <f t="shared" si="0"/>
        <v/>
      </c>
      <c r="D31" s="23" t="str">
        <f t="shared" si="1"/>
        <v/>
      </c>
      <c r="E31" s="34" t="str">
        <f t="shared" si="2"/>
        <v/>
      </c>
      <c r="F31" s="18">
        <f>IF(OR(A31="",A32=""),0,IF(AND(A31&gt;=Parametri!$B$11,B31&gt;=Parametri!$B$10,B32&lt;Parametri!$B$10),ROW(),0))</f>
        <v>0</v>
      </c>
      <c r="H31" s="41">
        <v>9.894009338</v>
      </c>
      <c r="I31" s="41">
        <v>5.5142282000000001E-2</v>
      </c>
      <c r="J31" s="13">
        <f t="shared" si="3"/>
        <v>1.3415015916492445E-2</v>
      </c>
      <c r="K31" s="23" t="str">
        <f t="shared" si="4"/>
        <v/>
      </c>
      <c r="L31" s="34">
        <f t="shared" si="5"/>
        <v>3.637188353510862E-3</v>
      </c>
      <c r="M31" s="18">
        <f>IF(OR(H31="",H32=""),0,IF(AND(H31&gt;=Parametri!$B$11,I31&gt;=Parametri!$B$10,I32&lt;Parametri!$B$10),ROW(),0))</f>
        <v>0</v>
      </c>
      <c r="O31" s="41">
        <v>9.8163534569999999</v>
      </c>
      <c r="P31" s="41">
        <v>0.115988333</v>
      </c>
      <c r="Q31" s="13">
        <f t="shared" si="6"/>
        <v>1.6762889996003897E-2</v>
      </c>
      <c r="R31" s="23" t="str">
        <f t="shared" si="7"/>
        <v/>
      </c>
      <c r="S31" s="34">
        <f t="shared" si="8"/>
        <v>4.5543298944648687E-3</v>
      </c>
      <c r="T31" s="18">
        <f>IF(OR(O31="",O32=""),0,IF(AND(O31&gt;=Parametri!$B$11,P31&gt;=Parametri!$B$10,P32&lt;Parametri!$B$10),ROW(),0))</f>
        <v>0</v>
      </c>
      <c r="V31" s="41"/>
      <c r="W31" s="41"/>
      <c r="X31" s="13" t="str">
        <f t="shared" si="9"/>
        <v/>
      </c>
      <c r="Y31" s="23" t="str">
        <f t="shared" si="10"/>
        <v/>
      </c>
      <c r="Z31" s="34" t="str">
        <f t="shared" si="11"/>
        <v/>
      </c>
      <c r="AA31" s="18">
        <f>IF(OR(V31="",V32=""),0,IF(AND(V31&gt;=Parametri!$B$11,W31&gt;=Parametri!$B$10,W32&lt;Parametri!$B$10),ROW(),0))</f>
        <v>0</v>
      </c>
      <c r="AC31" s="41"/>
      <c r="AD31" s="41"/>
      <c r="AE31" s="13" t="str">
        <f t="shared" si="12"/>
        <v/>
      </c>
      <c r="AF31" s="23" t="str">
        <f t="shared" si="13"/>
        <v/>
      </c>
      <c r="AG31" s="34" t="str">
        <f t="shared" si="14"/>
        <v/>
      </c>
      <c r="AH31" s="18">
        <f>IF(OR(AC31="",AC32=""),0,IF(AND(AC31&gt;=Parametri!$B$11,AD31&gt;=Parametri!$B$10,AD32&lt;Parametri!$B$10),ROW(),0))</f>
        <v>0</v>
      </c>
    </row>
    <row r="32" spans="1:34" x14ac:dyDescent="0.25">
      <c r="A32" s="41"/>
      <c r="B32" s="41"/>
      <c r="C32" s="13" t="str">
        <f t="shared" si="0"/>
        <v/>
      </c>
      <c r="D32" s="23" t="str">
        <f t="shared" si="1"/>
        <v/>
      </c>
      <c r="E32" s="34" t="str">
        <f t="shared" si="2"/>
        <v/>
      </c>
      <c r="F32" s="18">
        <f>IF(OR(A32="",A33=""),0,IF(AND(A32&gt;=Parametri!$B$11,B32&gt;=Parametri!$B$10,B33&lt;Parametri!$B$10),ROW(),0))</f>
        <v>0</v>
      </c>
      <c r="H32" s="41"/>
      <c r="I32" s="41"/>
      <c r="J32" s="13" t="str">
        <f t="shared" si="3"/>
        <v/>
      </c>
      <c r="K32" s="23" t="str">
        <f t="shared" si="4"/>
        <v/>
      </c>
      <c r="L32" s="34" t="str">
        <f t="shared" si="5"/>
        <v/>
      </c>
      <c r="M32" s="18">
        <f>IF(OR(H32="",H33=""),0,IF(AND(H32&gt;=Parametri!$B$11,I32&gt;=Parametri!$B$10,I33&lt;Parametri!$B$10),ROW(),0))</f>
        <v>0</v>
      </c>
      <c r="O32" s="41"/>
      <c r="P32" s="41"/>
      <c r="Q32" s="13" t="str">
        <f t="shared" si="6"/>
        <v/>
      </c>
      <c r="R32" s="23" t="str">
        <f t="shared" si="7"/>
        <v/>
      </c>
      <c r="S32" s="34" t="str">
        <f t="shared" si="8"/>
        <v/>
      </c>
      <c r="T32" s="18">
        <f>IF(OR(O32="",O33=""),0,IF(AND(O32&gt;=Parametri!$B$11,P32&gt;=Parametri!$B$10,P33&lt;Parametri!$B$10),ROW(),0))</f>
        <v>0</v>
      </c>
      <c r="V32" s="41"/>
      <c r="W32" s="41"/>
      <c r="X32" s="13" t="str">
        <f t="shared" si="9"/>
        <v/>
      </c>
      <c r="Y32" s="23" t="str">
        <f t="shared" si="10"/>
        <v/>
      </c>
      <c r="Z32" s="34" t="str">
        <f t="shared" si="11"/>
        <v/>
      </c>
      <c r="AA32" s="18">
        <f>IF(OR(V32="",V33=""),0,IF(AND(V32&gt;=Parametri!$B$11,W32&gt;=Parametri!$B$10,W33&lt;Parametri!$B$10),ROW(),0))</f>
        <v>0</v>
      </c>
      <c r="AC32" s="41"/>
      <c r="AD32" s="41"/>
      <c r="AE32" s="13" t="str">
        <f t="shared" si="12"/>
        <v/>
      </c>
      <c r="AF32" s="23" t="str">
        <f t="shared" si="13"/>
        <v/>
      </c>
      <c r="AG32" s="34" t="str">
        <f t="shared" si="14"/>
        <v/>
      </c>
      <c r="AH32" s="18">
        <f>IF(OR(AC32="",AC33=""),0,IF(AND(AC32&gt;=Parametri!$B$11,AD32&gt;=Parametri!$B$10,AD33&lt;Parametri!$B$10),ROW(),0))</f>
        <v>0</v>
      </c>
    </row>
    <row r="33" spans="1:34" x14ac:dyDescent="0.25">
      <c r="A33" s="41"/>
      <c r="B33" s="41"/>
      <c r="C33" s="13" t="str">
        <f t="shared" si="0"/>
        <v/>
      </c>
      <c r="D33" s="23" t="str">
        <f t="shared" si="1"/>
        <v/>
      </c>
      <c r="E33" s="34" t="str">
        <f t="shared" si="2"/>
        <v/>
      </c>
      <c r="F33" s="18">
        <f>IF(OR(A33="",A34=""),0,IF(AND(A33&gt;=Parametri!$B$11,B33&gt;=Parametri!$B$10,B34&lt;Parametri!$B$10),ROW(),0))</f>
        <v>0</v>
      </c>
      <c r="H33" s="41"/>
      <c r="I33" s="41"/>
      <c r="J33" s="13" t="str">
        <f t="shared" si="3"/>
        <v/>
      </c>
      <c r="K33" s="23" t="str">
        <f t="shared" si="4"/>
        <v/>
      </c>
      <c r="L33" s="34" t="str">
        <f t="shared" si="5"/>
        <v/>
      </c>
      <c r="M33" s="18">
        <f>IF(OR(H33="",H34=""),0,IF(AND(H33&gt;=Parametri!$B$11,I33&gt;=Parametri!$B$10,I34&lt;Parametri!$B$10),ROW(),0))</f>
        <v>0</v>
      </c>
      <c r="O33" s="41"/>
      <c r="P33" s="41"/>
      <c r="Q33" s="13" t="str">
        <f t="shared" si="6"/>
        <v/>
      </c>
      <c r="R33" s="23" t="str">
        <f t="shared" si="7"/>
        <v/>
      </c>
      <c r="S33" s="34" t="str">
        <f t="shared" si="8"/>
        <v/>
      </c>
      <c r="T33" s="18">
        <f>IF(OR(O33="",O34=""),0,IF(AND(O33&gt;=Parametri!$B$11,P33&gt;=Parametri!$B$10,P34&lt;Parametri!$B$10),ROW(),0))</f>
        <v>0</v>
      </c>
      <c r="V33" s="41"/>
      <c r="W33" s="41"/>
      <c r="X33" s="13" t="str">
        <f t="shared" si="9"/>
        <v/>
      </c>
      <c r="Y33" s="23" t="str">
        <f t="shared" si="10"/>
        <v/>
      </c>
      <c r="Z33" s="34" t="str">
        <f t="shared" si="11"/>
        <v/>
      </c>
      <c r="AA33" s="18">
        <f>IF(OR(V33="",V34=""),0,IF(AND(V33&gt;=Parametri!$B$11,W33&gt;=Parametri!$B$10,W34&lt;Parametri!$B$10),ROW(),0))</f>
        <v>0</v>
      </c>
      <c r="AC33" s="41"/>
      <c r="AD33" s="41"/>
      <c r="AE33" s="13" t="str">
        <f t="shared" si="12"/>
        <v/>
      </c>
      <c r="AF33" s="23" t="str">
        <f t="shared" si="13"/>
        <v/>
      </c>
      <c r="AG33" s="34" t="str">
        <f t="shared" si="14"/>
        <v/>
      </c>
      <c r="AH33" s="18">
        <f>IF(OR(AC33="",AC34=""),0,IF(AND(AC33&gt;=Parametri!$B$11,AD33&gt;=Parametri!$B$10,AD34&lt;Parametri!$B$10),ROW(),0))</f>
        <v>0</v>
      </c>
    </row>
    <row r="34" spans="1:34" x14ac:dyDescent="0.25">
      <c r="A34" s="41"/>
      <c r="B34" s="41"/>
      <c r="C34" s="13" t="str">
        <f t="shared" si="0"/>
        <v/>
      </c>
      <c r="D34" s="23" t="str">
        <f t="shared" si="1"/>
        <v/>
      </c>
      <c r="E34" s="34" t="str">
        <f t="shared" si="2"/>
        <v/>
      </c>
      <c r="F34" s="18">
        <f>IF(OR(A34="",A35=""),0,IF(AND(A34&gt;=Parametri!$B$11,B34&gt;=Parametri!$B$10,B35&lt;Parametri!$B$10),ROW(),0))</f>
        <v>0</v>
      </c>
      <c r="H34" s="41"/>
      <c r="I34" s="41"/>
      <c r="J34" s="13" t="str">
        <f t="shared" si="3"/>
        <v/>
      </c>
      <c r="K34" s="23" t="str">
        <f t="shared" si="4"/>
        <v/>
      </c>
      <c r="L34" s="34" t="str">
        <f t="shared" si="5"/>
        <v/>
      </c>
      <c r="M34" s="18">
        <f>IF(OR(H34="",H35=""),0,IF(AND(H34&gt;=Parametri!$B$11,I34&gt;=Parametri!$B$10,I35&lt;Parametri!$B$10),ROW(),0))</f>
        <v>0</v>
      </c>
      <c r="O34" s="41"/>
      <c r="P34" s="41"/>
      <c r="Q34" s="13" t="str">
        <f t="shared" si="6"/>
        <v/>
      </c>
      <c r="R34" s="23" t="str">
        <f t="shared" si="7"/>
        <v/>
      </c>
      <c r="S34" s="34" t="str">
        <f t="shared" si="8"/>
        <v/>
      </c>
      <c r="T34" s="18">
        <f>IF(OR(O34="",O35=""),0,IF(AND(O34&gt;=Parametri!$B$11,P34&gt;=Parametri!$B$10,P35&lt;Parametri!$B$10),ROW(),0))</f>
        <v>0</v>
      </c>
      <c r="V34" s="41"/>
      <c r="W34" s="41"/>
      <c r="X34" s="13" t="str">
        <f t="shared" si="9"/>
        <v/>
      </c>
      <c r="Y34" s="23" t="str">
        <f t="shared" si="10"/>
        <v/>
      </c>
      <c r="Z34" s="34" t="str">
        <f t="shared" si="11"/>
        <v/>
      </c>
      <c r="AA34" s="18">
        <f>IF(OR(V34="",V35=""),0,IF(AND(V34&gt;=Parametri!$B$11,W34&gt;=Parametri!$B$10,W35&lt;Parametri!$B$10),ROW(),0))</f>
        <v>0</v>
      </c>
      <c r="AC34" s="41"/>
      <c r="AD34" s="41"/>
      <c r="AE34" s="13" t="str">
        <f t="shared" si="12"/>
        <v/>
      </c>
      <c r="AF34" s="23" t="str">
        <f t="shared" si="13"/>
        <v/>
      </c>
      <c r="AG34" s="34" t="str">
        <f t="shared" si="14"/>
        <v/>
      </c>
      <c r="AH34" s="18">
        <f>IF(OR(AC34="",AC35=""),0,IF(AND(AC34&gt;=Parametri!$B$11,AD34&gt;=Parametri!$B$10,AD35&lt;Parametri!$B$10),ROW(),0))</f>
        <v>0</v>
      </c>
    </row>
    <row r="35" spans="1:34" x14ac:dyDescent="0.25">
      <c r="A35" s="41"/>
      <c r="B35" s="41"/>
      <c r="C35" s="13" t="str">
        <f t="shared" si="0"/>
        <v/>
      </c>
      <c r="D35" s="23" t="str">
        <f t="shared" si="1"/>
        <v/>
      </c>
      <c r="E35" s="34" t="str">
        <f t="shared" si="2"/>
        <v/>
      </c>
      <c r="F35" s="18">
        <f>IF(OR(A35="",A36=""),0,IF(AND(A35&gt;=Parametri!$B$11,B35&gt;=Parametri!$B$10,B36&lt;Parametri!$B$10),ROW(),0))</f>
        <v>0</v>
      </c>
      <c r="H35" s="41"/>
      <c r="I35" s="41"/>
      <c r="J35" s="13" t="str">
        <f t="shared" si="3"/>
        <v/>
      </c>
      <c r="K35" s="23" t="str">
        <f t="shared" si="4"/>
        <v/>
      </c>
      <c r="L35" s="34" t="str">
        <f t="shared" si="5"/>
        <v/>
      </c>
      <c r="M35" s="18">
        <f>IF(OR(H35="",H36=""),0,IF(AND(H35&gt;=Parametri!$B$11,I35&gt;=Parametri!$B$10,I36&lt;Parametri!$B$10),ROW(),0))</f>
        <v>0</v>
      </c>
      <c r="O35" s="41"/>
      <c r="P35" s="41"/>
      <c r="Q35" s="13" t="str">
        <f t="shared" si="6"/>
        <v/>
      </c>
      <c r="R35" s="23" t="str">
        <f t="shared" si="7"/>
        <v/>
      </c>
      <c r="S35" s="34" t="str">
        <f t="shared" si="8"/>
        <v/>
      </c>
      <c r="T35" s="18">
        <f>IF(OR(O35="",O36=""),0,IF(AND(O35&gt;=Parametri!$B$11,P35&gt;=Parametri!$B$10,P36&lt;Parametri!$B$10),ROW(),0))</f>
        <v>0</v>
      </c>
      <c r="V35" s="41"/>
      <c r="W35" s="41"/>
      <c r="X35" s="13" t="str">
        <f t="shared" si="9"/>
        <v/>
      </c>
      <c r="Y35" s="23" t="str">
        <f t="shared" si="10"/>
        <v/>
      </c>
      <c r="Z35" s="34" t="str">
        <f t="shared" si="11"/>
        <v/>
      </c>
      <c r="AA35" s="18">
        <f>IF(OR(V35="",V36=""),0,IF(AND(V35&gt;=Parametri!$B$11,W35&gt;=Parametri!$B$10,W36&lt;Parametri!$B$10),ROW(),0))</f>
        <v>0</v>
      </c>
      <c r="AC35" s="41"/>
      <c r="AD35" s="41"/>
      <c r="AE35" s="13" t="str">
        <f t="shared" si="12"/>
        <v/>
      </c>
      <c r="AF35" s="23" t="str">
        <f t="shared" si="13"/>
        <v/>
      </c>
      <c r="AG35" s="34" t="str">
        <f t="shared" si="14"/>
        <v/>
      </c>
      <c r="AH35" s="18">
        <f>IF(OR(AC35="",AC36=""),0,IF(AND(AC35&gt;=Parametri!$B$11,AD35&gt;=Parametri!$B$10,AD36&lt;Parametri!$B$10),ROW(),0))</f>
        <v>0</v>
      </c>
    </row>
    <row r="36" spans="1:34" x14ac:dyDescent="0.25">
      <c r="A36" s="41"/>
      <c r="B36" s="41"/>
      <c r="C36" s="13" t="str">
        <f t="shared" si="0"/>
        <v/>
      </c>
      <c r="D36" s="23" t="str">
        <f t="shared" si="1"/>
        <v/>
      </c>
      <c r="E36" s="34" t="str">
        <f t="shared" si="2"/>
        <v/>
      </c>
      <c r="F36" s="18">
        <f>IF(OR(A36="",A37=""),0,IF(AND(A36&gt;=Parametri!$B$11,B36&gt;=Parametri!$B$10,B37&lt;Parametri!$B$10),ROW(),0))</f>
        <v>0</v>
      </c>
      <c r="H36" s="41"/>
      <c r="I36" s="41"/>
      <c r="J36" s="13" t="str">
        <f t="shared" si="3"/>
        <v/>
      </c>
      <c r="K36" s="23" t="str">
        <f t="shared" si="4"/>
        <v/>
      </c>
      <c r="L36" s="34" t="str">
        <f t="shared" si="5"/>
        <v/>
      </c>
      <c r="M36" s="18">
        <f>IF(OR(H36="",H37=""),0,IF(AND(H36&gt;=Parametri!$B$11,I36&gt;=Parametri!$B$10,I37&lt;Parametri!$B$10),ROW(),0))</f>
        <v>0</v>
      </c>
      <c r="O36" s="41"/>
      <c r="P36" s="41"/>
      <c r="Q36" s="13" t="str">
        <f t="shared" si="6"/>
        <v/>
      </c>
      <c r="R36" s="23" t="str">
        <f t="shared" si="7"/>
        <v/>
      </c>
      <c r="S36" s="34" t="str">
        <f t="shared" si="8"/>
        <v/>
      </c>
      <c r="T36" s="18">
        <f>IF(OR(O36="",O37=""),0,IF(AND(O36&gt;=Parametri!$B$11,P36&gt;=Parametri!$B$10,P37&lt;Parametri!$B$10),ROW(),0))</f>
        <v>0</v>
      </c>
      <c r="V36" s="41"/>
      <c r="W36" s="41"/>
      <c r="X36" s="13" t="str">
        <f t="shared" si="9"/>
        <v/>
      </c>
      <c r="Y36" s="23" t="str">
        <f t="shared" si="10"/>
        <v/>
      </c>
      <c r="Z36" s="34" t="str">
        <f t="shared" si="11"/>
        <v/>
      </c>
      <c r="AA36" s="18">
        <f>IF(OR(V36="",V37=""),0,IF(AND(V36&gt;=Parametri!$B$11,W36&gt;=Parametri!$B$10,W37&lt;Parametri!$B$10),ROW(),0))</f>
        <v>0</v>
      </c>
      <c r="AC36" s="41"/>
      <c r="AD36" s="41"/>
      <c r="AE36" s="13" t="str">
        <f t="shared" si="12"/>
        <v/>
      </c>
      <c r="AF36" s="23" t="str">
        <f t="shared" si="13"/>
        <v/>
      </c>
      <c r="AG36" s="34" t="str">
        <f t="shared" si="14"/>
        <v/>
      </c>
      <c r="AH36" s="18">
        <f>IF(OR(AC36="",AC37=""),0,IF(AND(AC36&gt;=Parametri!$B$11,AD36&gt;=Parametri!$B$10,AD37&lt;Parametri!$B$10),ROW(),0))</f>
        <v>0</v>
      </c>
    </row>
    <row r="37" spans="1:34" x14ac:dyDescent="0.25">
      <c r="A37" s="41"/>
      <c r="B37" s="41"/>
      <c r="C37" s="13" t="str">
        <f t="shared" si="0"/>
        <v/>
      </c>
      <c r="D37" s="23" t="str">
        <f t="shared" si="1"/>
        <v/>
      </c>
      <c r="E37" s="34" t="str">
        <f t="shared" si="2"/>
        <v/>
      </c>
      <c r="F37" s="18">
        <f>IF(OR(A37="",A38=""),0,IF(AND(A37&gt;=Parametri!$B$11,B37&gt;=Parametri!$B$10,B38&lt;Parametri!$B$10),ROW(),0))</f>
        <v>0</v>
      </c>
      <c r="H37" s="41"/>
      <c r="I37" s="41"/>
      <c r="J37" s="13" t="str">
        <f t="shared" si="3"/>
        <v/>
      </c>
      <c r="K37" s="23" t="str">
        <f t="shared" si="4"/>
        <v/>
      </c>
      <c r="L37" s="34" t="str">
        <f t="shared" si="5"/>
        <v/>
      </c>
      <c r="M37" s="18">
        <f>IF(OR(H37="",H38=""),0,IF(AND(H37&gt;=Parametri!$B$11,I37&gt;=Parametri!$B$10,I38&lt;Parametri!$B$10),ROW(),0))</f>
        <v>0</v>
      </c>
      <c r="O37" s="41"/>
      <c r="P37" s="41"/>
      <c r="Q37" s="13" t="str">
        <f t="shared" si="6"/>
        <v/>
      </c>
      <c r="R37" s="23" t="str">
        <f t="shared" si="7"/>
        <v/>
      </c>
      <c r="S37" s="34" t="str">
        <f t="shared" si="8"/>
        <v/>
      </c>
      <c r="T37" s="18">
        <f>IF(OR(O37="",O38=""),0,IF(AND(O37&gt;=Parametri!$B$11,P37&gt;=Parametri!$B$10,P38&lt;Parametri!$B$10),ROW(),0))</f>
        <v>0</v>
      </c>
      <c r="V37" s="41"/>
      <c r="W37" s="41"/>
      <c r="X37" s="13" t="str">
        <f t="shared" si="9"/>
        <v/>
      </c>
      <c r="Y37" s="23" t="str">
        <f t="shared" si="10"/>
        <v/>
      </c>
      <c r="Z37" s="34" t="str">
        <f t="shared" si="11"/>
        <v/>
      </c>
      <c r="AA37" s="18">
        <f>IF(OR(V37="",V38=""),0,IF(AND(V37&gt;=Parametri!$B$11,W37&gt;=Parametri!$B$10,W38&lt;Parametri!$B$10),ROW(),0))</f>
        <v>0</v>
      </c>
      <c r="AC37" s="41"/>
      <c r="AD37" s="41"/>
      <c r="AE37" s="13" t="str">
        <f t="shared" si="12"/>
        <v/>
      </c>
      <c r="AF37" s="23" t="str">
        <f t="shared" si="13"/>
        <v/>
      </c>
      <c r="AG37" s="34" t="str">
        <f t="shared" si="14"/>
        <v/>
      </c>
      <c r="AH37" s="18">
        <f>IF(OR(AC37="",AC38=""),0,IF(AND(AC37&gt;=Parametri!$B$11,AD37&gt;=Parametri!$B$10,AD38&lt;Parametri!$B$10),ROW(),0))</f>
        <v>0</v>
      </c>
    </row>
    <row r="38" spans="1:34" x14ac:dyDescent="0.25">
      <c r="A38" s="41"/>
      <c r="B38" s="41"/>
      <c r="C38" s="13" t="str">
        <f t="shared" si="0"/>
        <v/>
      </c>
      <c r="D38" s="23" t="str">
        <f t="shared" si="1"/>
        <v/>
      </c>
      <c r="E38" s="34" t="str">
        <f t="shared" si="2"/>
        <v/>
      </c>
      <c r="F38" s="18">
        <f>IF(OR(A38="",A39=""),0,IF(AND(A38&gt;=Parametri!$B$11,B38&gt;=Parametri!$B$10,B39&lt;Parametri!$B$10),ROW(),0))</f>
        <v>0</v>
      </c>
      <c r="H38" s="41"/>
      <c r="I38" s="41"/>
      <c r="J38" s="13" t="str">
        <f t="shared" si="3"/>
        <v/>
      </c>
      <c r="K38" s="23" t="str">
        <f t="shared" si="4"/>
        <v/>
      </c>
      <c r="L38" s="34" t="str">
        <f t="shared" si="5"/>
        <v/>
      </c>
      <c r="M38" s="18">
        <f>IF(OR(H38="",H39=""),0,IF(AND(H38&gt;=Parametri!$B$11,I38&gt;=Parametri!$B$10,I39&lt;Parametri!$B$10),ROW(),0))</f>
        <v>0</v>
      </c>
      <c r="O38" s="41"/>
      <c r="P38" s="41"/>
      <c r="Q38" s="13" t="str">
        <f t="shared" si="6"/>
        <v/>
      </c>
      <c r="R38" s="23" t="str">
        <f t="shared" si="7"/>
        <v/>
      </c>
      <c r="S38" s="34" t="str">
        <f t="shared" si="8"/>
        <v/>
      </c>
      <c r="T38" s="18">
        <f>IF(OR(O38="",O39=""),0,IF(AND(O38&gt;=Parametri!$B$11,P38&gt;=Parametri!$B$10,P39&lt;Parametri!$B$10),ROW(),0))</f>
        <v>0</v>
      </c>
      <c r="V38" s="41"/>
      <c r="W38" s="41"/>
      <c r="X38" s="13" t="str">
        <f t="shared" si="9"/>
        <v/>
      </c>
      <c r="Y38" s="23" t="str">
        <f t="shared" si="10"/>
        <v/>
      </c>
      <c r="Z38" s="34" t="str">
        <f t="shared" si="11"/>
        <v/>
      </c>
      <c r="AA38" s="18">
        <f>IF(OR(V38="",V39=""),0,IF(AND(V38&gt;=Parametri!$B$11,W38&gt;=Parametri!$B$10,W39&lt;Parametri!$B$10),ROW(),0))</f>
        <v>0</v>
      </c>
      <c r="AC38" s="41"/>
      <c r="AD38" s="41"/>
      <c r="AE38" s="13" t="str">
        <f t="shared" si="12"/>
        <v/>
      </c>
      <c r="AF38" s="23" t="str">
        <f t="shared" si="13"/>
        <v/>
      </c>
      <c r="AG38" s="34" t="str">
        <f t="shared" si="14"/>
        <v/>
      </c>
      <c r="AH38" s="18">
        <f>IF(OR(AC38="",AC39=""),0,IF(AND(AC38&gt;=Parametri!$B$11,AD38&gt;=Parametri!$B$10,AD39&lt;Parametri!$B$10),ROW(),0))</f>
        <v>0</v>
      </c>
    </row>
    <row r="39" spans="1:34" x14ac:dyDescent="0.25">
      <c r="A39" s="41"/>
      <c r="B39" s="41"/>
      <c r="C39" s="13" t="str">
        <f t="shared" si="0"/>
        <v/>
      </c>
      <c r="D39" s="23" t="str">
        <f t="shared" si="1"/>
        <v/>
      </c>
      <c r="E39" s="34" t="str">
        <f t="shared" si="2"/>
        <v/>
      </c>
      <c r="F39" s="18">
        <f>IF(OR(A39="",A40=""),0,IF(AND(A39&gt;=Parametri!$B$11,B39&gt;=Parametri!$B$10,B40&lt;Parametri!$B$10),ROW(),0))</f>
        <v>0</v>
      </c>
      <c r="H39" s="41"/>
      <c r="I39" s="41"/>
      <c r="J39" s="13" t="str">
        <f t="shared" si="3"/>
        <v/>
      </c>
      <c r="K39" s="23" t="str">
        <f t="shared" si="4"/>
        <v/>
      </c>
      <c r="L39" s="34" t="str">
        <f t="shared" si="5"/>
        <v/>
      </c>
      <c r="M39" s="18">
        <f>IF(OR(H39="",H40=""),0,IF(AND(H39&gt;=Parametri!$B$11,I39&gt;=Parametri!$B$10,I40&lt;Parametri!$B$10),ROW(),0))</f>
        <v>0</v>
      </c>
      <c r="O39" s="41"/>
      <c r="P39" s="41"/>
      <c r="Q39" s="13" t="str">
        <f t="shared" si="6"/>
        <v/>
      </c>
      <c r="R39" s="23" t="str">
        <f t="shared" si="7"/>
        <v/>
      </c>
      <c r="S39" s="34" t="str">
        <f t="shared" si="8"/>
        <v/>
      </c>
      <c r="T39" s="18">
        <f>IF(OR(O39="",O40=""),0,IF(AND(O39&gt;=Parametri!$B$11,P39&gt;=Parametri!$B$10,P40&lt;Parametri!$B$10),ROW(),0))</f>
        <v>0</v>
      </c>
      <c r="V39" s="41"/>
      <c r="W39" s="41"/>
      <c r="X39" s="13" t="str">
        <f t="shared" si="9"/>
        <v/>
      </c>
      <c r="Y39" s="23" t="str">
        <f t="shared" si="10"/>
        <v/>
      </c>
      <c r="Z39" s="34" t="str">
        <f t="shared" si="11"/>
        <v/>
      </c>
      <c r="AA39" s="18">
        <f>IF(OR(V39="",V40=""),0,IF(AND(V39&gt;=Parametri!$B$11,W39&gt;=Parametri!$B$10,W40&lt;Parametri!$B$10),ROW(),0))</f>
        <v>0</v>
      </c>
      <c r="AC39" s="41"/>
      <c r="AD39" s="41"/>
      <c r="AE39" s="13" t="str">
        <f t="shared" si="12"/>
        <v/>
      </c>
      <c r="AF39" s="23" t="str">
        <f t="shared" si="13"/>
        <v/>
      </c>
      <c r="AG39" s="34" t="str">
        <f t="shared" si="14"/>
        <v/>
      </c>
      <c r="AH39" s="18">
        <f>IF(OR(AC39="",AC40=""),0,IF(AND(AC39&gt;=Parametri!$B$11,AD39&gt;=Parametri!$B$10,AD40&lt;Parametri!$B$10),ROW(),0))</f>
        <v>0</v>
      </c>
    </row>
    <row r="40" spans="1:34" x14ac:dyDescent="0.25">
      <c r="A40" s="41"/>
      <c r="B40" s="41"/>
      <c r="C40" s="13" t="str">
        <f t="shared" si="0"/>
        <v/>
      </c>
      <c r="D40" s="23" t="str">
        <f t="shared" si="1"/>
        <v/>
      </c>
      <c r="E40" s="34" t="str">
        <f t="shared" si="2"/>
        <v/>
      </c>
      <c r="F40" s="18">
        <f>IF(OR(A40="",A41=""),0,IF(AND(A40&gt;=Parametri!$B$11,B40&gt;=Parametri!$B$10,B41&lt;Parametri!$B$10),ROW(),0))</f>
        <v>0</v>
      </c>
      <c r="H40" s="41"/>
      <c r="I40" s="41"/>
      <c r="J40" s="13" t="str">
        <f t="shared" si="3"/>
        <v/>
      </c>
      <c r="K40" s="23" t="str">
        <f t="shared" si="4"/>
        <v/>
      </c>
      <c r="L40" s="34" t="str">
        <f t="shared" si="5"/>
        <v/>
      </c>
      <c r="M40" s="18">
        <f>IF(OR(H40="",H41=""),0,IF(AND(H40&gt;=Parametri!$B$11,I40&gt;=Parametri!$B$10,I41&lt;Parametri!$B$10),ROW(),0))</f>
        <v>0</v>
      </c>
      <c r="O40" s="41"/>
      <c r="P40" s="41"/>
      <c r="Q40" s="13" t="str">
        <f t="shared" si="6"/>
        <v/>
      </c>
      <c r="R40" s="23" t="str">
        <f t="shared" si="7"/>
        <v/>
      </c>
      <c r="S40" s="34" t="str">
        <f t="shared" si="8"/>
        <v/>
      </c>
      <c r="T40" s="18">
        <f>IF(OR(O40="",O41=""),0,IF(AND(O40&gt;=Parametri!$B$11,P40&gt;=Parametri!$B$10,P41&lt;Parametri!$B$10),ROW(),0))</f>
        <v>0</v>
      </c>
      <c r="V40" s="41"/>
      <c r="W40" s="41"/>
      <c r="X40" s="13" t="str">
        <f t="shared" si="9"/>
        <v/>
      </c>
      <c r="Y40" s="23" t="str">
        <f t="shared" si="10"/>
        <v/>
      </c>
      <c r="Z40" s="34" t="str">
        <f t="shared" si="11"/>
        <v/>
      </c>
      <c r="AA40" s="18">
        <f>IF(OR(V40="",V41=""),0,IF(AND(V40&gt;=Parametri!$B$11,W40&gt;=Parametri!$B$10,W41&lt;Parametri!$B$10),ROW(),0))</f>
        <v>0</v>
      </c>
      <c r="AC40" s="41"/>
      <c r="AD40" s="41"/>
      <c r="AE40" s="13" t="str">
        <f t="shared" si="12"/>
        <v/>
      </c>
      <c r="AF40" s="23" t="str">
        <f t="shared" si="13"/>
        <v/>
      </c>
      <c r="AG40" s="34" t="str">
        <f t="shared" si="14"/>
        <v/>
      </c>
      <c r="AH40" s="18">
        <f>IF(OR(AC40="",AC41=""),0,IF(AND(AC40&gt;=Parametri!$B$11,AD40&gt;=Parametri!$B$10,AD41&lt;Parametri!$B$10),ROW(),0))</f>
        <v>0</v>
      </c>
    </row>
    <row r="41" spans="1:34" x14ac:dyDescent="0.25">
      <c r="A41" s="41"/>
      <c r="B41" s="41"/>
      <c r="C41" s="13" t="str">
        <f t="shared" ref="C41:C72" si="15">IF(OR(A41="",B$4=""),"",B41/B$4)</f>
        <v/>
      </c>
      <c r="D41" s="23" t="str">
        <f t="shared" ref="D41:D72" si="16">IF(OR(A41="",A42="",A41&lt;=0),"",IFERROR(LN(B42/B41)/LN(A42/A41),""))</f>
        <v/>
      </c>
      <c r="E41" s="34" t="str">
        <f t="shared" ref="E41:E72" si="17">IF(OR(A41="",B$3="",A41&lt;=0),"",B41*A41/B$3)</f>
        <v/>
      </c>
      <c r="F41" s="18">
        <f>IF(OR(A41="",A42=""),0,IF(AND(A41&gt;=Parametri!$B$11,B41&gt;=Parametri!$B$10,B42&lt;Parametri!$B$10),ROW(),0))</f>
        <v>0</v>
      </c>
      <c r="H41" s="41"/>
      <c r="I41" s="41"/>
      <c r="J41" s="13" t="str">
        <f t="shared" ref="J41:J72" si="18">IF(OR(H41="",I$4=""),"",I41/I$4)</f>
        <v/>
      </c>
      <c r="K41" s="23" t="str">
        <f t="shared" ref="K41:K72" si="19">IF(OR(H41="",H42="",H41&lt;=0),"",IFERROR(LN(I42/I41)/LN(H42/H41),""))</f>
        <v/>
      </c>
      <c r="L41" s="34" t="str">
        <f t="shared" ref="L41:L72" si="20">IF(OR(H41="",I$3="",H41&lt;=0),"",I41*H41/I$3)</f>
        <v/>
      </c>
      <c r="M41" s="18">
        <f>IF(OR(H41="",H42=""),0,IF(AND(H41&gt;=Parametri!$B$11,I41&gt;=Parametri!$B$10,I42&lt;Parametri!$B$10),ROW(),0))</f>
        <v>0</v>
      </c>
      <c r="O41" s="41"/>
      <c r="P41" s="41"/>
      <c r="Q41" s="13" t="str">
        <f t="shared" ref="Q41:Q72" si="21">IF(OR(O41="",P$4=""),"",P41/P$4)</f>
        <v/>
      </c>
      <c r="R41" s="23" t="str">
        <f t="shared" ref="R41:R72" si="22">IF(OR(O41="",O42="",O41&lt;=0),"",IFERROR(LN(P42/P41)/LN(O42/O41),""))</f>
        <v/>
      </c>
      <c r="S41" s="34" t="str">
        <f t="shared" ref="S41:S72" si="23">IF(OR(O41="",P$3="",O41&lt;=0),"",P41*O41/P$3)</f>
        <v/>
      </c>
      <c r="T41" s="18">
        <f>IF(OR(O41="",O42=""),0,IF(AND(O41&gt;=Parametri!$B$11,P41&gt;=Parametri!$B$10,P42&lt;Parametri!$B$10),ROW(),0))</f>
        <v>0</v>
      </c>
      <c r="V41" s="41"/>
      <c r="W41" s="41"/>
      <c r="X41" s="13" t="str">
        <f t="shared" ref="X41:X72" si="24">IF(OR(V41="",W$4=""),"",W41/W$4)</f>
        <v/>
      </c>
      <c r="Y41" s="23" t="str">
        <f t="shared" ref="Y41:Y72" si="25">IF(OR(V41="",V42="",V41&lt;=0),"",IFERROR(LN(W42/W41)/LN(V42/V41),""))</f>
        <v/>
      </c>
      <c r="Z41" s="34" t="str">
        <f t="shared" ref="Z41:Z72" si="26">IF(OR(V41="",W$3="",V41&lt;=0),"",W41*V41/W$3)</f>
        <v/>
      </c>
      <c r="AA41" s="18">
        <f>IF(OR(V41="",V42=""),0,IF(AND(V41&gt;=Parametri!$B$11,W41&gt;=Parametri!$B$10,W42&lt;Parametri!$B$10),ROW(),0))</f>
        <v>0</v>
      </c>
      <c r="AC41" s="41"/>
      <c r="AD41" s="41"/>
      <c r="AE41" s="13" t="str">
        <f t="shared" ref="AE41:AE72" si="27">IF(OR(AC41="",AD$4=""),"",AD41/AD$4)</f>
        <v/>
      </c>
      <c r="AF41" s="23" t="str">
        <f t="shared" ref="AF41:AF72" si="28">IF(OR(AC41="",AC42="",AC41&lt;=0),"",IFERROR(LN(AD42/AD41)/LN(AC42/AC41),""))</f>
        <v/>
      </c>
      <c r="AG41" s="34" t="str">
        <f t="shared" ref="AG41:AG72" si="29">IF(OR(AC41="",AD$3="",AC41&lt;=0),"",AD41*AC41/AD$3)</f>
        <v/>
      </c>
      <c r="AH41" s="18">
        <f>IF(OR(AC41="",AC42=""),0,IF(AND(AC41&gt;=Parametri!$B$11,AD41&gt;=Parametri!$B$10,AD42&lt;Parametri!$B$10),ROW(),0))</f>
        <v>0</v>
      </c>
    </row>
    <row r="42" spans="1:34" x14ac:dyDescent="0.25">
      <c r="A42" s="41"/>
      <c r="B42" s="41"/>
      <c r="C42" s="13" t="str">
        <f t="shared" si="15"/>
        <v/>
      </c>
      <c r="D42" s="23" t="str">
        <f t="shared" si="16"/>
        <v/>
      </c>
      <c r="E42" s="34" t="str">
        <f t="shared" si="17"/>
        <v/>
      </c>
      <c r="F42" s="18">
        <f>IF(OR(A42="",A43=""),0,IF(AND(A42&gt;=Parametri!$B$11,B42&gt;=Parametri!$B$10,B43&lt;Parametri!$B$10),ROW(),0))</f>
        <v>0</v>
      </c>
      <c r="H42" s="41"/>
      <c r="I42" s="41"/>
      <c r="J42" s="13" t="str">
        <f t="shared" si="18"/>
        <v/>
      </c>
      <c r="K42" s="23" t="str">
        <f t="shared" si="19"/>
        <v/>
      </c>
      <c r="L42" s="34" t="str">
        <f t="shared" si="20"/>
        <v/>
      </c>
      <c r="M42" s="18">
        <f>IF(OR(H42="",H43=""),0,IF(AND(H42&gt;=Parametri!$B$11,I42&gt;=Parametri!$B$10,I43&lt;Parametri!$B$10),ROW(),0))</f>
        <v>0</v>
      </c>
      <c r="O42" s="41"/>
      <c r="P42" s="41"/>
      <c r="Q42" s="13" t="str">
        <f t="shared" si="21"/>
        <v/>
      </c>
      <c r="R42" s="23" t="str">
        <f t="shared" si="22"/>
        <v/>
      </c>
      <c r="S42" s="34" t="str">
        <f t="shared" si="23"/>
        <v/>
      </c>
      <c r="T42" s="18">
        <f>IF(OR(O42="",O43=""),0,IF(AND(O42&gt;=Parametri!$B$11,P42&gt;=Parametri!$B$10,P43&lt;Parametri!$B$10),ROW(),0))</f>
        <v>0</v>
      </c>
      <c r="V42" s="41"/>
      <c r="W42" s="41"/>
      <c r="X42" s="13" t="str">
        <f t="shared" si="24"/>
        <v/>
      </c>
      <c r="Y42" s="23" t="str">
        <f t="shared" si="25"/>
        <v/>
      </c>
      <c r="Z42" s="34" t="str">
        <f t="shared" si="26"/>
        <v/>
      </c>
      <c r="AA42" s="18">
        <f>IF(OR(V42="",V43=""),0,IF(AND(V42&gt;=Parametri!$B$11,W42&gt;=Parametri!$B$10,W43&lt;Parametri!$B$10),ROW(),0))</f>
        <v>0</v>
      </c>
      <c r="AC42" s="41"/>
      <c r="AD42" s="41"/>
      <c r="AE42" s="13" t="str">
        <f t="shared" si="27"/>
        <v/>
      </c>
      <c r="AF42" s="23" t="str">
        <f t="shared" si="28"/>
        <v/>
      </c>
      <c r="AG42" s="34" t="str">
        <f t="shared" si="29"/>
        <v/>
      </c>
      <c r="AH42" s="18">
        <f>IF(OR(AC42="",AC43=""),0,IF(AND(AC42&gt;=Parametri!$B$11,AD42&gt;=Parametri!$B$10,AD43&lt;Parametri!$B$10),ROW(),0))</f>
        <v>0</v>
      </c>
    </row>
    <row r="43" spans="1:34" x14ac:dyDescent="0.25">
      <c r="A43" s="41"/>
      <c r="B43" s="41"/>
      <c r="C43" s="13" t="str">
        <f t="shared" si="15"/>
        <v/>
      </c>
      <c r="D43" s="23" t="str">
        <f t="shared" si="16"/>
        <v/>
      </c>
      <c r="E43" s="34" t="str">
        <f t="shared" si="17"/>
        <v/>
      </c>
      <c r="F43" s="18">
        <f>IF(OR(A43="",A44=""),0,IF(AND(A43&gt;=Parametri!$B$11,B43&gt;=Parametri!$B$10,B44&lt;Parametri!$B$10),ROW(),0))</f>
        <v>0</v>
      </c>
      <c r="H43" s="41"/>
      <c r="I43" s="41"/>
      <c r="J43" s="13" t="str">
        <f t="shared" si="18"/>
        <v/>
      </c>
      <c r="K43" s="23" t="str">
        <f t="shared" si="19"/>
        <v/>
      </c>
      <c r="L43" s="34" t="str">
        <f t="shared" si="20"/>
        <v/>
      </c>
      <c r="M43" s="18">
        <f>IF(OR(H43="",H44=""),0,IF(AND(H43&gt;=Parametri!$B$11,I43&gt;=Parametri!$B$10,I44&lt;Parametri!$B$10),ROW(),0))</f>
        <v>0</v>
      </c>
      <c r="O43" s="41"/>
      <c r="P43" s="41"/>
      <c r="Q43" s="13" t="str">
        <f t="shared" si="21"/>
        <v/>
      </c>
      <c r="R43" s="23" t="str">
        <f t="shared" si="22"/>
        <v/>
      </c>
      <c r="S43" s="34" t="str">
        <f t="shared" si="23"/>
        <v/>
      </c>
      <c r="T43" s="18">
        <f>IF(OR(O43="",O44=""),0,IF(AND(O43&gt;=Parametri!$B$11,P43&gt;=Parametri!$B$10,P44&lt;Parametri!$B$10),ROW(),0))</f>
        <v>0</v>
      </c>
      <c r="V43" s="41"/>
      <c r="W43" s="41"/>
      <c r="X43" s="13" t="str">
        <f t="shared" si="24"/>
        <v/>
      </c>
      <c r="Y43" s="23" t="str">
        <f t="shared" si="25"/>
        <v/>
      </c>
      <c r="Z43" s="34" t="str">
        <f t="shared" si="26"/>
        <v/>
      </c>
      <c r="AA43" s="18">
        <f>IF(OR(V43="",V44=""),0,IF(AND(V43&gt;=Parametri!$B$11,W43&gt;=Parametri!$B$10,W44&lt;Parametri!$B$10),ROW(),0))</f>
        <v>0</v>
      </c>
      <c r="AC43" s="41"/>
      <c r="AD43" s="41"/>
      <c r="AE43" s="13" t="str">
        <f t="shared" si="27"/>
        <v/>
      </c>
      <c r="AF43" s="23" t="str">
        <f t="shared" si="28"/>
        <v/>
      </c>
      <c r="AG43" s="34" t="str">
        <f t="shared" si="29"/>
        <v/>
      </c>
      <c r="AH43" s="18">
        <f>IF(OR(AC43="",AC44=""),0,IF(AND(AC43&gt;=Parametri!$B$11,AD43&gt;=Parametri!$B$10,AD44&lt;Parametri!$B$10),ROW(),0))</f>
        <v>0</v>
      </c>
    </row>
    <row r="44" spans="1:34" x14ac:dyDescent="0.25">
      <c r="A44" s="41"/>
      <c r="B44" s="41"/>
      <c r="C44" s="13" t="str">
        <f t="shared" si="15"/>
        <v/>
      </c>
      <c r="D44" s="23" t="str">
        <f t="shared" si="16"/>
        <v/>
      </c>
      <c r="E44" s="34" t="str">
        <f t="shared" si="17"/>
        <v/>
      </c>
      <c r="F44" s="18">
        <f>IF(OR(A44="",A45=""),0,IF(AND(A44&gt;=Parametri!$B$11,B44&gt;=Parametri!$B$10,B45&lt;Parametri!$B$10),ROW(),0))</f>
        <v>0</v>
      </c>
      <c r="H44" s="41"/>
      <c r="I44" s="41"/>
      <c r="J44" s="13" t="str">
        <f t="shared" si="18"/>
        <v/>
      </c>
      <c r="K44" s="23" t="str">
        <f t="shared" si="19"/>
        <v/>
      </c>
      <c r="L44" s="34" t="str">
        <f t="shared" si="20"/>
        <v/>
      </c>
      <c r="M44" s="18">
        <f>IF(OR(H44="",H45=""),0,IF(AND(H44&gt;=Parametri!$B$11,I44&gt;=Parametri!$B$10,I45&lt;Parametri!$B$10),ROW(),0))</f>
        <v>0</v>
      </c>
      <c r="O44" s="41"/>
      <c r="P44" s="41"/>
      <c r="Q44" s="13" t="str">
        <f t="shared" si="21"/>
        <v/>
      </c>
      <c r="R44" s="23" t="str">
        <f t="shared" si="22"/>
        <v/>
      </c>
      <c r="S44" s="34" t="str">
        <f t="shared" si="23"/>
        <v/>
      </c>
      <c r="T44" s="18">
        <f>IF(OR(O44="",O45=""),0,IF(AND(O44&gt;=Parametri!$B$11,P44&gt;=Parametri!$B$10,P45&lt;Parametri!$B$10),ROW(),0))</f>
        <v>0</v>
      </c>
      <c r="V44" s="41"/>
      <c r="W44" s="41"/>
      <c r="X44" s="13" t="str">
        <f t="shared" si="24"/>
        <v/>
      </c>
      <c r="Y44" s="23" t="str">
        <f t="shared" si="25"/>
        <v/>
      </c>
      <c r="Z44" s="34" t="str">
        <f t="shared" si="26"/>
        <v/>
      </c>
      <c r="AA44" s="18">
        <f>IF(OR(V44="",V45=""),0,IF(AND(V44&gt;=Parametri!$B$11,W44&gt;=Parametri!$B$10,W45&lt;Parametri!$B$10),ROW(),0))</f>
        <v>0</v>
      </c>
      <c r="AC44" s="41"/>
      <c r="AD44" s="41"/>
      <c r="AE44" s="13" t="str">
        <f t="shared" si="27"/>
        <v/>
      </c>
      <c r="AF44" s="23" t="str">
        <f t="shared" si="28"/>
        <v/>
      </c>
      <c r="AG44" s="34" t="str">
        <f t="shared" si="29"/>
        <v/>
      </c>
      <c r="AH44" s="18">
        <f>IF(OR(AC44="",AC45=""),0,IF(AND(AC44&gt;=Parametri!$B$11,AD44&gt;=Parametri!$B$10,AD45&lt;Parametri!$B$10),ROW(),0))</f>
        <v>0</v>
      </c>
    </row>
    <row r="45" spans="1:34" x14ac:dyDescent="0.25">
      <c r="A45" s="41"/>
      <c r="B45" s="41"/>
      <c r="C45" s="13" t="str">
        <f t="shared" si="15"/>
        <v/>
      </c>
      <c r="D45" s="23" t="str">
        <f t="shared" si="16"/>
        <v/>
      </c>
      <c r="E45" s="34" t="str">
        <f t="shared" si="17"/>
        <v/>
      </c>
      <c r="F45" s="18">
        <f>IF(OR(A45="",A46=""),0,IF(AND(A45&gt;=Parametri!$B$11,B45&gt;=Parametri!$B$10,B46&lt;Parametri!$B$10),ROW(),0))</f>
        <v>0</v>
      </c>
      <c r="H45" s="41"/>
      <c r="I45" s="41"/>
      <c r="J45" s="13" t="str">
        <f t="shared" si="18"/>
        <v/>
      </c>
      <c r="K45" s="23" t="str">
        <f t="shared" si="19"/>
        <v/>
      </c>
      <c r="L45" s="34" t="str">
        <f t="shared" si="20"/>
        <v/>
      </c>
      <c r="M45" s="18">
        <f>IF(OR(H45="",H46=""),0,IF(AND(H45&gt;=Parametri!$B$11,I45&gt;=Parametri!$B$10,I46&lt;Parametri!$B$10),ROW(),0))</f>
        <v>0</v>
      </c>
      <c r="O45" s="41"/>
      <c r="P45" s="41"/>
      <c r="Q45" s="13" t="str">
        <f t="shared" si="21"/>
        <v/>
      </c>
      <c r="R45" s="23" t="str">
        <f t="shared" si="22"/>
        <v/>
      </c>
      <c r="S45" s="34" t="str">
        <f t="shared" si="23"/>
        <v/>
      </c>
      <c r="T45" s="18">
        <f>IF(OR(O45="",O46=""),0,IF(AND(O45&gt;=Parametri!$B$11,P45&gt;=Parametri!$B$10,P46&lt;Parametri!$B$10),ROW(),0))</f>
        <v>0</v>
      </c>
      <c r="V45" s="41"/>
      <c r="W45" s="41"/>
      <c r="X45" s="13" t="str">
        <f t="shared" si="24"/>
        <v/>
      </c>
      <c r="Y45" s="23" t="str">
        <f t="shared" si="25"/>
        <v/>
      </c>
      <c r="Z45" s="34" t="str">
        <f t="shared" si="26"/>
        <v/>
      </c>
      <c r="AA45" s="18">
        <f>IF(OR(V45="",V46=""),0,IF(AND(V45&gt;=Parametri!$B$11,W45&gt;=Parametri!$B$10,W46&lt;Parametri!$B$10),ROW(),0))</f>
        <v>0</v>
      </c>
      <c r="AC45" s="41"/>
      <c r="AD45" s="41"/>
      <c r="AE45" s="13" t="str">
        <f t="shared" si="27"/>
        <v/>
      </c>
      <c r="AF45" s="23" t="str">
        <f t="shared" si="28"/>
        <v/>
      </c>
      <c r="AG45" s="34" t="str">
        <f t="shared" si="29"/>
        <v/>
      </c>
      <c r="AH45" s="18">
        <f>IF(OR(AC45="",AC46=""),0,IF(AND(AC45&gt;=Parametri!$B$11,AD45&gt;=Parametri!$B$10,AD46&lt;Parametri!$B$10),ROW(),0))</f>
        <v>0</v>
      </c>
    </row>
    <row r="46" spans="1:34" x14ac:dyDescent="0.25">
      <c r="A46" s="41"/>
      <c r="B46" s="41"/>
      <c r="C46" s="13" t="str">
        <f t="shared" si="15"/>
        <v/>
      </c>
      <c r="D46" s="23" t="str">
        <f t="shared" si="16"/>
        <v/>
      </c>
      <c r="E46" s="34" t="str">
        <f t="shared" si="17"/>
        <v/>
      </c>
      <c r="F46" s="18">
        <f>IF(OR(A46="",A47=""),0,IF(AND(A46&gt;=Parametri!$B$11,B46&gt;=Parametri!$B$10,B47&lt;Parametri!$B$10),ROW(),0))</f>
        <v>0</v>
      </c>
      <c r="H46" s="41"/>
      <c r="I46" s="41"/>
      <c r="J46" s="13" t="str">
        <f t="shared" si="18"/>
        <v/>
      </c>
      <c r="K46" s="23" t="str">
        <f t="shared" si="19"/>
        <v/>
      </c>
      <c r="L46" s="34" t="str">
        <f t="shared" si="20"/>
        <v/>
      </c>
      <c r="M46" s="18">
        <f>IF(OR(H46="",H47=""),0,IF(AND(H46&gt;=Parametri!$B$11,I46&gt;=Parametri!$B$10,I47&lt;Parametri!$B$10),ROW(),0))</f>
        <v>0</v>
      </c>
      <c r="O46" s="41"/>
      <c r="P46" s="41"/>
      <c r="Q46" s="13" t="str">
        <f t="shared" si="21"/>
        <v/>
      </c>
      <c r="R46" s="23" t="str">
        <f t="shared" si="22"/>
        <v/>
      </c>
      <c r="S46" s="34" t="str">
        <f t="shared" si="23"/>
        <v/>
      </c>
      <c r="T46" s="18">
        <f>IF(OR(O46="",O47=""),0,IF(AND(O46&gt;=Parametri!$B$11,P46&gt;=Parametri!$B$10,P47&lt;Parametri!$B$10),ROW(),0))</f>
        <v>0</v>
      </c>
      <c r="V46" s="41"/>
      <c r="W46" s="41"/>
      <c r="X46" s="13" t="str">
        <f t="shared" si="24"/>
        <v/>
      </c>
      <c r="Y46" s="23" t="str">
        <f t="shared" si="25"/>
        <v/>
      </c>
      <c r="Z46" s="34" t="str">
        <f t="shared" si="26"/>
        <v/>
      </c>
      <c r="AA46" s="18">
        <f>IF(OR(V46="",V47=""),0,IF(AND(V46&gt;=Parametri!$B$11,W46&gt;=Parametri!$B$10,W47&lt;Parametri!$B$10),ROW(),0))</f>
        <v>0</v>
      </c>
      <c r="AC46" s="41"/>
      <c r="AD46" s="41"/>
      <c r="AE46" s="13" t="str">
        <f t="shared" si="27"/>
        <v/>
      </c>
      <c r="AF46" s="23" t="str">
        <f t="shared" si="28"/>
        <v/>
      </c>
      <c r="AG46" s="34" t="str">
        <f t="shared" si="29"/>
        <v/>
      </c>
      <c r="AH46" s="18">
        <f>IF(OR(AC46="",AC47=""),0,IF(AND(AC46&gt;=Parametri!$B$11,AD46&gt;=Parametri!$B$10,AD47&lt;Parametri!$B$10),ROW(),0))</f>
        <v>0</v>
      </c>
    </row>
    <row r="47" spans="1:34" x14ac:dyDescent="0.25">
      <c r="A47" s="41"/>
      <c r="B47" s="41"/>
      <c r="C47" s="13" t="str">
        <f t="shared" si="15"/>
        <v/>
      </c>
      <c r="D47" s="23" t="str">
        <f t="shared" si="16"/>
        <v/>
      </c>
      <c r="E47" s="34" t="str">
        <f t="shared" si="17"/>
        <v/>
      </c>
      <c r="F47" s="18">
        <f>IF(OR(A47="",A48=""),0,IF(AND(A47&gt;=Parametri!$B$11,B47&gt;=Parametri!$B$10,B48&lt;Parametri!$B$10),ROW(),0))</f>
        <v>0</v>
      </c>
      <c r="H47" s="41"/>
      <c r="I47" s="41"/>
      <c r="J47" s="13" t="str">
        <f t="shared" si="18"/>
        <v/>
      </c>
      <c r="K47" s="23" t="str">
        <f t="shared" si="19"/>
        <v/>
      </c>
      <c r="L47" s="34" t="str">
        <f t="shared" si="20"/>
        <v/>
      </c>
      <c r="M47" s="18">
        <f>IF(OR(H47="",H48=""),0,IF(AND(H47&gt;=Parametri!$B$11,I47&gt;=Parametri!$B$10,I48&lt;Parametri!$B$10),ROW(),0))</f>
        <v>0</v>
      </c>
      <c r="O47" s="41"/>
      <c r="P47" s="41"/>
      <c r="Q47" s="13" t="str">
        <f t="shared" si="21"/>
        <v/>
      </c>
      <c r="R47" s="23" t="str">
        <f t="shared" si="22"/>
        <v/>
      </c>
      <c r="S47" s="34" t="str">
        <f t="shared" si="23"/>
        <v/>
      </c>
      <c r="T47" s="18">
        <f>IF(OR(O47="",O48=""),0,IF(AND(O47&gt;=Parametri!$B$11,P47&gt;=Parametri!$B$10,P48&lt;Parametri!$B$10),ROW(),0))</f>
        <v>0</v>
      </c>
      <c r="V47" s="41"/>
      <c r="W47" s="41"/>
      <c r="X47" s="13" t="str">
        <f t="shared" si="24"/>
        <v/>
      </c>
      <c r="Y47" s="23" t="str">
        <f t="shared" si="25"/>
        <v/>
      </c>
      <c r="Z47" s="34" t="str">
        <f t="shared" si="26"/>
        <v/>
      </c>
      <c r="AA47" s="18">
        <f>IF(OR(V47="",V48=""),0,IF(AND(V47&gt;=Parametri!$B$11,W47&gt;=Parametri!$B$10,W48&lt;Parametri!$B$10),ROW(),0))</f>
        <v>0</v>
      </c>
      <c r="AC47" s="41"/>
      <c r="AD47" s="41"/>
      <c r="AE47" s="13" t="str">
        <f t="shared" si="27"/>
        <v/>
      </c>
      <c r="AF47" s="23" t="str">
        <f t="shared" si="28"/>
        <v/>
      </c>
      <c r="AG47" s="34" t="str">
        <f t="shared" si="29"/>
        <v/>
      </c>
      <c r="AH47" s="18">
        <f>IF(OR(AC47="",AC48=""),0,IF(AND(AC47&gt;=Parametri!$B$11,AD47&gt;=Parametri!$B$10,AD48&lt;Parametri!$B$10),ROW(),0))</f>
        <v>0</v>
      </c>
    </row>
    <row r="48" spans="1:34" x14ac:dyDescent="0.25">
      <c r="A48" s="41"/>
      <c r="B48" s="41"/>
      <c r="C48" s="13" t="str">
        <f t="shared" si="15"/>
        <v/>
      </c>
      <c r="D48" s="23" t="str">
        <f t="shared" si="16"/>
        <v/>
      </c>
      <c r="E48" s="34" t="str">
        <f t="shared" si="17"/>
        <v/>
      </c>
      <c r="F48" s="18">
        <f>IF(OR(A48="",A49=""),0,IF(AND(A48&gt;=Parametri!$B$11,B48&gt;=Parametri!$B$10,B49&lt;Parametri!$B$10),ROW(),0))</f>
        <v>0</v>
      </c>
      <c r="H48" s="41"/>
      <c r="I48" s="41"/>
      <c r="J48" s="13" t="str">
        <f t="shared" si="18"/>
        <v/>
      </c>
      <c r="K48" s="23" t="str">
        <f t="shared" si="19"/>
        <v/>
      </c>
      <c r="L48" s="34" t="str">
        <f t="shared" si="20"/>
        <v/>
      </c>
      <c r="M48" s="18">
        <f>IF(OR(H48="",H49=""),0,IF(AND(H48&gt;=Parametri!$B$11,I48&gt;=Parametri!$B$10,I49&lt;Parametri!$B$10),ROW(),0))</f>
        <v>0</v>
      </c>
      <c r="O48" s="41"/>
      <c r="P48" s="41"/>
      <c r="Q48" s="13" t="str">
        <f t="shared" si="21"/>
        <v/>
      </c>
      <c r="R48" s="23" t="str">
        <f t="shared" si="22"/>
        <v/>
      </c>
      <c r="S48" s="34" t="str">
        <f t="shared" si="23"/>
        <v/>
      </c>
      <c r="T48" s="18">
        <f>IF(OR(O48="",O49=""),0,IF(AND(O48&gt;=Parametri!$B$11,P48&gt;=Parametri!$B$10,P49&lt;Parametri!$B$10),ROW(),0))</f>
        <v>0</v>
      </c>
      <c r="V48" s="41"/>
      <c r="W48" s="41"/>
      <c r="X48" s="13" t="str">
        <f t="shared" si="24"/>
        <v/>
      </c>
      <c r="Y48" s="23" t="str">
        <f t="shared" si="25"/>
        <v/>
      </c>
      <c r="Z48" s="34" t="str">
        <f t="shared" si="26"/>
        <v/>
      </c>
      <c r="AA48" s="18">
        <f>IF(OR(V48="",V49=""),0,IF(AND(V48&gt;=Parametri!$B$11,W48&gt;=Parametri!$B$10,W49&lt;Parametri!$B$10),ROW(),0))</f>
        <v>0</v>
      </c>
      <c r="AC48" s="41"/>
      <c r="AD48" s="41"/>
      <c r="AE48" s="13" t="str">
        <f t="shared" si="27"/>
        <v/>
      </c>
      <c r="AF48" s="23" t="str">
        <f t="shared" si="28"/>
        <v/>
      </c>
      <c r="AG48" s="34" t="str">
        <f t="shared" si="29"/>
        <v/>
      </c>
      <c r="AH48" s="18">
        <f>IF(OR(AC48="",AC49=""),0,IF(AND(AC48&gt;=Parametri!$B$11,AD48&gt;=Parametri!$B$10,AD49&lt;Parametri!$B$10),ROW(),0))</f>
        <v>0</v>
      </c>
    </row>
    <row r="49" spans="1:34" x14ac:dyDescent="0.25">
      <c r="A49" s="41"/>
      <c r="B49" s="41"/>
      <c r="C49" s="13" t="str">
        <f t="shared" si="15"/>
        <v/>
      </c>
      <c r="D49" s="23" t="str">
        <f t="shared" si="16"/>
        <v/>
      </c>
      <c r="E49" s="34" t="str">
        <f t="shared" si="17"/>
        <v/>
      </c>
      <c r="F49" s="18">
        <f>IF(OR(A49="",A50=""),0,IF(AND(A49&gt;=Parametri!$B$11,B49&gt;=Parametri!$B$10,B50&lt;Parametri!$B$10),ROW(),0))</f>
        <v>0</v>
      </c>
      <c r="H49" s="41"/>
      <c r="I49" s="41"/>
      <c r="J49" s="13" t="str">
        <f t="shared" si="18"/>
        <v/>
      </c>
      <c r="K49" s="23" t="str">
        <f t="shared" si="19"/>
        <v/>
      </c>
      <c r="L49" s="34" t="str">
        <f t="shared" si="20"/>
        <v/>
      </c>
      <c r="M49" s="18">
        <f>IF(OR(H49="",H50=""),0,IF(AND(H49&gt;=Parametri!$B$11,I49&gt;=Parametri!$B$10,I50&lt;Parametri!$B$10),ROW(),0))</f>
        <v>0</v>
      </c>
      <c r="O49" s="41"/>
      <c r="P49" s="41"/>
      <c r="Q49" s="13" t="str">
        <f t="shared" si="21"/>
        <v/>
      </c>
      <c r="R49" s="23" t="str">
        <f t="shared" si="22"/>
        <v/>
      </c>
      <c r="S49" s="34" t="str">
        <f t="shared" si="23"/>
        <v/>
      </c>
      <c r="T49" s="18">
        <f>IF(OR(O49="",O50=""),0,IF(AND(O49&gt;=Parametri!$B$11,P49&gt;=Parametri!$B$10,P50&lt;Parametri!$B$10),ROW(),0))</f>
        <v>0</v>
      </c>
      <c r="V49" s="41"/>
      <c r="W49" s="41"/>
      <c r="X49" s="13" t="str">
        <f t="shared" si="24"/>
        <v/>
      </c>
      <c r="Y49" s="23" t="str">
        <f t="shared" si="25"/>
        <v/>
      </c>
      <c r="Z49" s="34" t="str">
        <f t="shared" si="26"/>
        <v/>
      </c>
      <c r="AA49" s="18">
        <f>IF(OR(V49="",V50=""),0,IF(AND(V49&gt;=Parametri!$B$11,W49&gt;=Parametri!$B$10,W50&lt;Parametri!$B$10),ROW(),0))</f>
        <v>0</v>
      </c>
      <c r="AC49" s="41"/>
      <c r="AD49" s="41"/>
      <c r="AE49" s="13" t="str">
        <f t="shared" si="27"/>
        <v/>
      </c>
      <c r="AF49" s="23" t="str">
        <f t="shared" si="28"/>
        <v/>
      </c>
      <c r="AG49" s="34" t="str">
        <f t="shared" si="29"/>
        <v/>
      </c>
      <c r="AH49" s="18">
        <f>IF(OR(AC49="",AC50=""),0,IF(AND(AC49&gt;=Parametri!$B$11,AD49&gt;=Parametri!$B$10,AD50&lt;Parametri!$B$10),ROW(),0))</f>
        <v>0</v>
      </c>
    </row>
    <row r="50" spans="1:34" x14ac:dyDescent="0.25">
      <c r="A50" s="41"/>
      <c r="B50" s="41"/>
      <c r="C50" s="13" t="str">
        <f t="shared" si="15"/>
        <v/>
      </c>
      <c r="D50" s="23" t="str">
        <f t="shared" si="16"/>
        <v/>
      </c>
      <c r="E50" s="34" t="str">
        <f t="shared" si="17"/>
        <v/>
      </c>
      <c r="F50" s="18">
        <f>IF(OR(A50="",A51=""),0,IF(AND(A50&gt;=Parametri!$B$11,B50&gt;=Parametri!$B$10,B51&lt;Parametri!$B$10),ROW(),0))</f>
        <v>0</v>
      </c>
      <c r="H50" s="41"/>
      <c r="I50" s="41"/>
      <c r="J50" s="13" t="str">
        <f t="shared" si="18"/>
        <v/>
      </c>
      <c r="K50" s="23" t="str">
        <f t="shared" si="19"/>
        <v/>
      </c>
      <c r="L50" s="34" t="str">
        <f t="shared" si="20"/>
        <v/>
      </c>
      <c r="M50" s="18">
        <f>IF(OR(H50="",H51=""),0,IF(AND(H50&gt;=Parametri!$B$11,I50&gt;=Parametri!$B$10,I51&lt;Parametri!$B$10),ROW(),0))</f>
        <v>0</v>
      </c>
      <c r="O50" s="41"/>
      <c r="P50" s="41"/>
      <c r="Q50" s="13" t="str">
        <f t="shared" si="21"/>
        <v/>
      </c>
      <c r="R50" s="23" t="str">
        <f t="shared" si="22"/>
        <v/>
      </c>
      <c r="S50" s="34" t="str">
        <f t="shared" si="23"/>
        <v/>
      </c>
      <c r="T50" s="18">
        <f>IF(OR(O50="",O51=""),0,IF(AND(O50&gt;=Parametri!$B$11,P50&gt;=Parametri!$B$10,P51&lt;Parametri!$B$10),ROW(),0))</f>
        <v>0</v>
      </c>
      <c r="V50" s="41"/>
      <c r="W50" s="41"/>
      <c r="X50" s="13" t="str">
        <f t="shared" si="24"/>
        <v/>
      </c>
      <c r="Y50" s="23" t="str">
        <f t="shared" si="25"/>
        <v/>
      </c>
      <c r="Z50" s="34" t="str">
        <f t="shared" si="26"/>
        <v/>
      </c>
      <c r="AA50" s="18">
        <f>IF(OR(V50="",V51=""),0,IF(AND(V50&gt;=Parametri!$B$11,W50&gt;=Parametri!$B$10,W51&lt;Parametri!$B$10),ROW(),0))</f>
        <v>0</v>
      </c>
      <c r="AC50" s="41"/>
      <c r="AD50" s="41"/>
      <c r="AE50" s="13" t="str">
        <f t="shared" si="27"/>
        <v/>
      </c>
      <c r="AF50" s="23" t="str">
        <f t="shared" si="28"/>
        <v/>
      </c>
      <c r="AG50" s="34" t="str">
        <f t="shared" si="29"/>
        <v/>
      </c>
      <c r="AH50" s="18">
        <f>IF(OR(AC50="",AC51=""),0,IF(AND(AC50&gt;=Parametri!$B$11,AD50&gt;=Parametri!$B$10,AD51&lt;Parametri!$B$10),ROW(),0))</f>
        <v>0</v>
      </c>
    </row>
    <row r="51" spans="1:34" x14ac:dyDescent="0.25">
      <c r="A51" s="41"/>
      <c r="B51" s="41"/>
      <c r="C51" s="13" t="str">
        <f t="shared" si="15"/>
        <v/>
      </c>
      <c r="D51" s="23" t="str">
        <f t="shared" si="16"/>
        <v/>
      </c>
      <c r="E51" s="34" t="str">
        <f t="shared" si="17"/>
        <v/>
      </c>
      <c r="F51" s="18">
        <f>IF(OR(A51="",A52=""),0,IF(AND(A51&gt;=Parametri!$B$11,B51&gt;=Parametri!$B$10,B52&lt;Parametri!$B$10),ROW(),0))</f>
        <v>0</v>
      </c>
      <c r="H51" s="41"/>
      <c r="I51" s="41"/>
      <c r="J51" s="13" t="str">
        <f t="shared" si="18"/>
        <v/>
      </c>
      <c r="K51" s="23" t="str">
        <f t="shared" si="19"/>
        <v/>
      </c>
      <c r="L51" s="34" t="str">
        <f t="shared" si="20"/>
        <v/>
      </c>
      <c r="M51" s="18">
        <f>IF(OR(H51="",H52=""),0,IF(AND(H51&gt;=Parametri!$B$11,I51&gt;=Parametri!$B$10,I52&lt;Parametri!$B$10),ROW(),0))</f>
        <v>0</v>
      </c>
      <c r="O51" s="41"/>
      <c r="P51" s="41"/>
      <c r="Q51" s="13" t="str">
        <f t="shared" si="21"/>
        <v/>
      </c>
      <c r="R51" s="23" t="str">
        <f t="shared" si="22"/>
        <v/>
      </c>
      <c r="S51" s="34" t="str">
        <f t="shared" si="23"/>
        <v/>
      </c>
      <c r="T51" s="18">
        <f>IF(OR(O51="",O52=""),0,IF(AND(O51&gt;=Parametri!$B$11,P51&gt;=Parametri!$B$10,P52&lt;Parametri!$B$10),ROW(),0))</f>
        <v>0</v>
      </c>
      <c r="V51" s="41"/>
      <c r="W51" s="41"/>
      <c r="X51" s="13" t="str">
        <f t="shared" si="24"/>
        <v/>
      </c>
      <c r="Y51" s="23" t="str">
        <f t="shared" si="25"/>
        <v/>
      </c>
      <c r="Z51" s="34" t="str">
        <f t="shared" si="26"/>
        <v/>
      </c>
      <c r="AA51" s="18">
        <f>IF(OR(V51="",V52=""),0,IF(AND(V51&gt;=Parametri!$B$11,W51&gt;=Parametri!$B$10,W52&lt;Parametri!$B$10),ROW(),0))</f>
        <v>0</v>
      </c>
      <c r="AC51" s="41"/>
      <c r="AD51" s="41"/>
      <c r="AE51" s="13" t="str">
        <f t="shared" si="27"/>
        <v/>
      </c>
      <c r="AF51" s="23" t="str">
        <f t="shared" si="28"/>
        <v/>
      </c>
      <c r="AG51" s="34" t="str">
        <f t="shared" si="29"/>
        <v/>
      </c>
      <c r="AH51" s="18">
        <f>IF(OR(AC51="",AC52=""),0,IF(AND(AC51&gt;=Parametri!$B$11,AD51&gt;=Parametri!$B$10,AD52&lt;Parametri!$B$10),ROW(),0))</f>
        <v>0</v>
      </c>
    </row>
    <row r="52" spans="1:34" x14ac:dyDescent="0.25">
      <c r="A52" s="41"/>
      <c r="B52" s="41"/>
      <c r="C52" s="13" t="str">
        <f t="shared" si="15"/>
        <v/>
      </c>
      <c r="D52" s="23" t="str">
        <f t="shared" si="16"/>
        <v/>
      </c>
      <c r="E52" s="34" t="str">
        <f t="shared" si="17"/>
        <v/>
      </c>
      <c r="F52" s="18">
        <f>IF(OR(A52="",A53=""),0,IF(AND(A52&gt;=Parametri!$B$11,B52&gt;=Parametri!$B$10,B53&lt;Parametri!$B$10),ROW(),0))</f>
        <v>0</v>
      </c>
      <c r="H52" s="41"/>
      <c r="I52" s="41"/>
      <c r="J52" s="13" t="str">
        <f t="shared" si="18"/>
        <v/>
      </c>
      <c r="K52" s="23" t="str">
        <f t="shared" si="19"/>
        <v/>
      </c>
      <c r="L52" s="34" t="str">
        <f t="shared" si="20"/>
        <v/>
      </c>
      <c r="M52" s="18">
        <f>IF(OR(H52="",H53=""),0,IF(AND(H52&gt;=Parametri!$B$11,I52&gt;=Parametri!$B$10,I53&lt;Parametri!$B$10),ROW(),0))</f>
        <v>0</v>
      </c>
      <c r="O52" s="41"/>
      <c r="P52" s="41"/>
      <c r="Q52" s="13" t="str">
        <f t="shared" si="21"/>
        <v/>
      </c>
      <c r="R52" s="23" t="str">
        <f t="shared" si="22"/>
        <v/>
      </c>
      <c r="S52" s="34" t="str">
        <f t="shared" si="23"/>
        <v/>
      </c>
      <c r="T52" s="18">
        <f>IF(OR(O52="",O53=""),0,IF(AND(O52&gt;=Parametri!$B$11,P52&gt;=Parametri!$B$10,P53&lt;Parametri!$B$10),ROW(),0))</f>
        <v>0</v>
      </c>
      <c r="V52" s="41"/>
      <c r="W52" s="41"/>
      <c r="X52" s="13" t="str">
        <f t="shared" si="24"/>
        <v/>
      </c>
      <c r="Y52" s="23" t="str">
        <f t="shared" si="25"/>
        <v/>
      </c>
      <c r="Z52" s="34" t="str">
        <f t="shared" si="26"/>
        <v/>
      </c>
      <c r="AA52" s="18">
        <f>IF(OR(V52="",V53=""),0,IF(AND(V52&gt;=Parametri!$B$11,W52&gt;=Parametri!$B$10,W53&lt;Parametri!$B$10),ROW(),0))</f>
        <v>0</v>
      </c>
      <c r="AC52" s="41"/>
      <c r="AD52" s="41"/>
      <c r="AE52" s="13" t="str">
        <f t="shared" si="27"/>
        <v/>
      </c>
      <c r="AF52" s="23" t="str">
        <f t="shared" si="28"/>
        <v/>
      </c>
      <c r="AG52" s="34" t="str">
        <f t="shared" si="29"/>
        <v/>
      </c>
      <c r="AH52" s="18">
        <f>IF(OR(AC52="",AC53=""),0,IF(AND(AC52&gt;=Parametri!$B$11,AD52&gt;=Parametri!$B$10,AD53&lt;Parametri!$B$10),ROW(),0))</f>
        <v>0</v>
      </c>
    </row>
    <row r="53" spans="1:34" x14ac:dyDescent="0.25">
      <c r="A53" s="41"/>
      <c r="B53" s="41"/>
      <c r="C53" s="13" t="str">
        <f t="shared" si="15"/>
        <v/>
      </c>
      <c r="D53" s="23" t="str">
        <f t="shared" si="16"/>
        <v/>
      </c>
      <c r="E53" s="34" t="str">
        <f t="shared" si="17"/>
        <v/>
      </c>
      <c r="F53" s="18">
        <f>IF(OR(A53="",A54=""),0,IF(AND(A53&gt;=Parametri!$B$11,B53&gt;=Parametri!$B$10,B54&lt;Parametri!$B$10),ROW(),0))</f>
        <v>0</v>
      </c>
      <c r="H53" s="41"/>
      <c r="I53" s="41"/>
      <c r="J53" s="13" t="str">
        <f t="shared" si="18"/>
        <v/>
      </c>
      <c r="K53" s="23" t="str">
        <f t="shared" si="19"/>
        <v/>
      </c>
      <c r="L53" s="34" t="str">
        <f t="shared" si="20"/>
        <v/>
      </c>
      <c r="M53" s="18">
        <f>IF(OR(H53="",H54=""),0,IF(AND(H53&gt;=Parametri!$B$11,I53&gt;=Parametri!$B$10,I54&lt;Parametri!$B$10),ROW(),0))</f>
        <v>0</v>
      </c>
      <c r="O53" s="41"/>
      <c r="P53" s="41"/>
      <c r="Q53" s="13" t="str">
        <f t="shared" si="21"/>
        <v/>
      </c>
      <c r="R53" s="23" t="str">
        <f t="shared" si="22"/>
        <v/>
      </c>
      <c r="S53" s="34" t="str">
        <f t="shared" si="23"/>
        <v/>
      </c>
      <c r="T53" s="18">
        <f>IF(OR(O53="",O54=""),0,IF(AND(O53&gt;=Parametri!$B$11,P53&gt;=Parametri!$B$10,P54&lt;Parametri!$B$10),ROW(),0))</f>
        <v>0</v>
      </c>
      <c r="V53" s="41"/>
      <c r="W53" s="41"/>
      <c r="X53" s="13" t="str">
        <f t="shared" si="24"/>
        <v/>
      </c>
      <c r="Y53" s="23" t="str">
        <f t="shared" si="25"/>
        <v/>
      </c>
      <c r="Z53" s="34" t="str">
        <f t="shared" si="26"/>
        <v/>
      </c>
      <c r="AA53" s="18">
        <f>IF(OR(V53="",V54=""),0,IF(AND(V53&gt;=Parametri!$B$11,W53&gt;=Parametri!$B$10,W54&lt;Parametri!$B$10),ROW(),0))</f>
        <v>0</v>
      </c>
      <c r="AC53" s="41"/>
      <c r="AD53" s="41"/>
      <c r="AE53" s="13" t="str">
        <f t="shared" si="27"/>
        <v/>
      </c>
      <c r="AF53" s="23" t="str">
        <f t="shared" si="28"/>
        <v/>
      </c>
      <c r="AG53" s="34" t="str">
        <f t="shared" si="29"/>
        <v/>
      </c>
      <c r="AH53" s="18">
        <f>IF(OR(AC53="",AC54=""),0,IF(AND(AC53&gt;=Parametri!$B$11,AD53&gt;=Parametri!$B$10,AD54&lt;Parametri!$B$10),ROW(),0))</f>
        <v>0</v>
      </c>
    </row>
    <row r="54" spans="1:34" x14ac:dyDescent="0.25">
      <c r="A54" s="41"/>
      <c r="B54" s="41"/>
      <c r="C54" s="13" t="str">
        <f t="shared" si="15"/>
        <v/>
      </c>
      <c r="D54" s="23" t="str">
        <f t="shared" si="16"/>
        <v/>
      </c>
      <c r="E54" s="34" t="str">
        <f t="shared" si="17"/>
        <v/>
      </c>
      <c r="F54" s="18">
        <f>IF(OR(A54="",A55=""),0,IF(AND(A54&gt;=Parametri!$B$11,B54&gt;=Parametri!$B$10,B55&lt;Parametri!$B$10),ROW(),0))</f>
        <v>0</v>
      </c>
      <c r="H54" s="41"/>
      <c r="I54" s="41"/>
      <c r="J54" s="13" t="str">
        <f t="shared" si="18"/>
        <v/>
      </c>
      <c r="K54" s="23" t="str">
        <f t="shared" si="19"/>
        <v/>
      </c>
      <c r="L54" s="34" t="str">
        <f t="shared" si="20"/>
        <v/>
      </c>
      <c r="M54" s="18">
        <f>IF(OR(H54="",H55=""),0,IF(AND(H54&gt;=Parametri!$B$11,I54&gt;=Parametri!$B$10,I55&lt;Parametri!$B$10),ROW(),0))</f>
        <v>0</v>
      </c>
      <c r="O54" s="41"/>
      <c r="P54" s="41"/>
      <c r="Q54" s="13" t="str">
        <f t="shared" si="21"/>
        <v/>
      </c>
      <c r="R54" s="23" t="str">
        <f t="shared" si="22"/>
        <v/>
      </c>
      <c r="S54" s="34" t="str">
        <f t="shared" si="23"/>
        <v/>
      </c>
      <c r="T54" s="18">
        <f>IF(OR(O54="",O55=""),0,IF(AND(O54&gt;=Parametri!$B$11,P54&gt;=Parametri!$B$10,P55&lt;Parametri!$B$10),ROW(),0))</f>
        <v>0</v>
      </c>
      <c r="V54" s="41"/>
      <c r="W54" s="41"/>
      <c r="X54" s="13" t="str">
        <f t="shared" si="24"/>
        <v/>
      </c>
      <c r="Y54" s="23" t="str">
        <f t="shared" si="25"/>
        <v/>
      </c>
      <c r="Z54" s="34" t="str">
        <f t="shared" si="26"/>
        <v/>
      </c>
      <c r="AA54" s="18">
        <f>IF(OR(V54="",V55=""),0,IF(AND(V54&gt;=Parametri!$B$11,W54&gt;=Parametri!$B$10,W55&lt;Parametri!$B$10),ROW(),0))</f>
        <v>0</v>
      </c>
      <c r="AC54" s="41"/>
      <c r="AD54" s="41"/>
      <c r="AE54" s="13" t="str">
        <f t="shared" si="27"/>
        <v/>
      </c>
      <c r="AF54" s="23" t="str">
        <f t="shared" si="28"/>
        <v/>
      </c>
      <c r="AG54" s="34" t="str">
        <f t="shared" si="29"/>
        <v/>
      </c>
      <c r="AH54" s="18">
        <f>IF(OR(AC54="",AC55=""),0,IF(AND(AC54&gt;=Parametri!$B$11,AD54&gt;=Parametri!$B$10,AD55&lt;Parametri!$B$10),ROW(),0))</f>
        <v>0</v>
      </c>
    </row>
    <row r="55" spans="1:34" x14ac:dyDescent="0.25">
      <c r="A55" s="41"/>
      <c r="B55" s="41"/>
      <c r="C55" s="13" t="str">
        <f t="shared" si="15"/>
        <v/>
      </c>
      <c r="D55" s="23" t="str">
        <f t="shared" si="16"/>
        <v/>
      </c>
      <c r="E55" s="34" t="str">
        <f t="shared" si="17"/>
        <v/>
      </c>
      <c r="F55" s="18">
        <f>IF(OR(A55="",A56=""),0,IF(AND(A55&gt;=Parametri!$B$11,B55&gt;=Parametri!$B$10,B56&lt;Parametri!$B$10),ROW(),0))</f>
        <v>0</v>
      </c>
      <c r="H55" s="41"/>
      <c r="I55" s="41"/>
      <c r="J55" s="13" t="str">
        <f t="shared" si="18"/>
        <v/>
      </c>
      <c r="K55" s="23" t="str">
        <f t="shared" si="19"/>
        <v/>
      </c>
      <c r="L55" s="34" t="str">
        <f t="shared" si="20"/>
        <v/>
      </c>
      <c r="M55" s="18">
        <f>IF(OR(H55="",H56=""),0,IF(AND(H55&gt;=Parametri!$B$11,I55&gt;=Parametri!$B$10,I56&lt;Parametri!$B$10),ROW(),0))</f>
        <v>0</v>
      </c>
      <c r="O55" s="41"/>
      <c r="P55" s="41"/>
      <c r="Q55" s="13" t="str">
        <f t="shared" si="21"/>
        <v/>
      </c>
      <c r="R55" s="23" t="str">
        <f t="shared" si="22"/>
        <v/>
      </c>
      <c r="S55" s="34" t="str">
        <f t="shared" si="23"/>
        <v/>
      </c>
      <c r="T55" s="18">
        <f>IF(OR(O55="",O56=""),0,IF(AND(O55&gt;=Parametri!$B$11,P55&gt;=Parametri!$B$10,P56&lt;Parametri!$B$10),ROW(),0))</f>
        <v>0</v>
      </c>
      <c r="V55" s="41"/>
      <c r="W55" s="41"/>
      <c r="X55" s="13" t="str">
        <f t="shared" si="24"/>
        <v/>
      </c>
      <c r="Y55" s="23" t="str">
        <f t="shared" si="25"/>
        <v/>
      </c>
      <c r="Z55" s="34" t="str">
        <f t="shared" si="26"/>
        <v/>
      </c>
      <c r="AA55" s="18">
        <f>IF(OR(V55="",V56=""),0,IF(AND(V55&gt;=Parametri!$B$11,W55&gt;=Parametri!$B$10,W56&lt;Parametri!$B$10),ROW(),0))</f>
        <v>0</v>
      </c>
      <c r="AC55" s="41"/>
      <c r="AD55" s="41"/>
      <c r="AE55" s="13" t="str">
        <f t="shared" si="27"/>
        <v/>
      </c>
      <c r="AF55" s="23" t="str">
        <f t="shared" si="28"/>
        <v/>
      </c>
      <c r="AG55" s="34" t="str">
        <f t="shared" si="29"/>
        <v/>
      </c>
      <c r="AH55" s="18">
        <f>IF(OR(AC55="",AC56=""),0,IF(AND(AC55&gt;=Parametri!$B$11,AD55&gt;=Parametri!$B$10,AD56&lt;Parametri!$B$10),ROW(),0))</f>
        <v>0</v>
      </c>
    </row>
    <row r="56" spans="1:34" x14ac:dyDescent="0.25">
      <c r="A56" s="41"/>
      <c r="B56" s="41"/>
      <c r="C56" s="13" t="str">
        <f t="shared" si="15"/>
        <v/>
      </c>
      <c r="D56" s="23" t="str">
        <f t="shared" si="16"/>
        <v/>
      </c>
      <c r="E56" s="34" t="str">
        <f t="shared" si="17"/>
        <v/>
      </c>
      <c r="F56" s="18">
        <f>IF(OR(A56="",A57=""),0,IF(AND(A56&gt;=Parametri!$B$11,B56&gt;=Parametri!$B$10,B57&lt;Parametri!$B$10),ROW(),0))</f>
        <v>0</v>
      </c>
      <c r="H56" s="41"/>
      <c r="I56" s="41"/>
      <c r="J56" s="13" t="str">
        <f t="shared" si="18"/>
        <v/>
      </c>
      <c r="K56" s="23" t="str">
        <f t="shared" si="19"/>
        <v/>
      </c>
      <c r="L56" s="34" t="str">
        <f t="shared" si="20"/>
        <v/>
      </c>
      <c r="M56" s="18">
        <f>IF(OR(H56="",H57=""),0,IF(AND(H56&gt;=Parametri!$B$11,I56&gt;=Parametri!$B$10,I57&lt;Parametri!$B$10),ROW(),0))</f>
        <v>0</v>
      </c>
      <c r="O56" s="41"/>
      <c r="P56" s="41"/>
      <c r="Q56" s="13" t="str">
        <f t="shared" si="21"/>
        <v/>
      </c>
      <c r="R56" s="23" t="str">
        <f t="shared" si="22"/>
        <v/>
      </c>
      <c r="S56" s="34" t="str">
        <f t="shared" si="23"/>
        <v/>
      </c>
      <c r="T56" s="18">
        <f>IF(OR(O56="",O57=""),0,IF(AND(O56&gt;=Parametri!$B$11,P56&gt;=Parametri!$B$10,P57&lt;Parametri!$B$10),ROW(),0))</f>
        <v>0</v>
      </c>
      <c r="V56" s="41"/>
      <c r="W56" s="41"/>
      <c r="X56" s="13" t="str">
        <f t="shared" si="24"/>
        <v/>
      </c>
      <c r="Y56" s="23" t="str">
        <f t="shared" si="25"/>
        <v/>
      </c>
      <c r="Z56" s="34" t="str">
        <f t="shared" si="26"/>
        <v/>
      </c>
      <c r="AA56" s="18">
        <f>IF(OR(V56="",V57=""),0,IF(AND(V56&gt;=Parametri!$B$11,W56&gt;=Parametri!$B$10,W57&lt;Parametri!$B$10),ROW(),0))</f>
        <v>0</v>
      </c>
      <c r="AC56" s="41"/>
      <c r="AD56" s="41"/>
      <c r="AE56" s="13" t="str">
        <f t="shared" si="27"/>
        <v/>
      </c>
      <c r="AF56" s="23" t="str">
        <f t="shared" si="28"/>
        <v/>
      </c>
      <c r="AG56" s="34" t="str">
        <f t="shared" si="29"/>
        <v/>
      </c>
      <c r="AH56" s="18">
        <f>IF(OR(AC56="",AC57=""),0,IF(AND(AC56&gt;=Parametri!$B$11,AD56&gt;=Parametri!$B$10,AD57&lt;Parametri!$B$10),ROW(),0))</f>
        <v>0</v>
      </c>
    </row>
    <row r="57" spans="1:34" x14ac:dyDescent="0.25">
      <c r="A57" s="41"/>
      <c r="B57" s="41"/>
      <c r="C57" s="13" t="str">
        <f t="shared" si="15"/>
        <v/>
      </c>
      <c r="D57" s="23" t="str">
        <f t="shared" si="16"/>
        <v/>
      </c>
      <c r="E57" s="34" t="str">
        <f t="shared" si="17"/>
        <v/>
      </c>
      <c r="F57" s="18">
        <f>IF(OR(A57="",A58=""),0,IF(AND(A57&gt;=Parametri!$B$11,B57&gt;=Parametri!$B$10,B58&lt;Parametri!$B$10),ROW(),0))</f>
        <v>0</v>
      </c>
      <c r="H57" s="41"/>
      <c r="I57" s="41"/>
      <c r="J57" s="13" t="str">
        <f t="shared" si="18"/>
        <v/>
      </c>
      <c r="K57" s="23" t="str">
        <f t="shared" si="19"/>
        <v/>
      </c>
      <c r="L57" s="34" t="str">
        <f t="shared" si="20"/>
        <v/>
      </c>
      <c r="M57" s="18">
        <f>IF(OR(H57="",H58=""),0,IF(AND(H57&gt;=Parametri!$B$11,I57&gt;=Parametri!$B$10,I58&lt;Parametri!$B$10),ROW(),0))</f>
        <v>0</v>
      </c>
      <c r="O57" s="41"/>
      <c r="P57" s="41"/>
      <c r="Q57" s="13" t="str">
        <f t="shared" si="21"/>
        <v/>
      </c>
      <c r="R57" s="23" t="str">
        <f t="shared" si="22"/>
        <v/>
      </c>
      <c r="S57" s="34" t="str">
        <f t="shared" si="23"/>
        <v/>
      </c>
      <c r="T57" s="18">
        <f>IF(OR(O57="",O58=""),0,IF(AND(O57&gt;=Parametri!$B$11,P57&gt;=Parametri!$B$10,P58&lt;Parametri!$B$10),ROW(),0))</f>
        <v>0</v>
      </c>
      <c r="V57" s="41"/>
      <c r="W57" s="41"/>
      <c r="X57" s="13" t="str">
        <f t="shared" si="24"/>
        <v/>
      </c>
      <c r="Y57" s="23" t="str">
        <f t="shared" si="25"/>
        <v/>
      </c>
      <c r="Z57" s="34" t="str">
        <f t="shared" si="26"/>
        <v/>
      </c>
      <c r="AA57" s="18">
        <f>IF(OR(V57="",V58=""),0,IF(AND(V57&gt;=Parametri!$B$11,W57&gt;=Parametri!$B$10,W58&lt;Parametri!$B$10),ROW(),0))</f>
        <v>0</v>
      </c>
      <c r="AC57" s="41"/>
      <c r="AD57" s="41"/>
      <c r="AE57" s="13" t="str">
        <f t="shared" si="27"/>
        <v/>
      </c>
      <c r="AF57" s="23" t="str">
        <f t="shared" si="28"/>
        <v/>
      </c>
      <c r="AG57" s="34" t="str">
        <f t="shared" si="29"/>
        <v/>
      </c>
      <c r="AH57" s="18">
        <f>IF(OR(AC57="",AC58=""),0,IF(AND(AC57&gt;=Parametri!$B$11,AD57&gt;=Parametri!$B$10,AD58&lt;Parametri!$B$10),ROW(),0))</f>
        <v>0</v>
      </c>
    </row>
    <row r="58" spans="1:34" x14ac:dyDescent="0.25">
      <c r="A58" s="41"/>
      <c r="B58" s="41"/>
      <c r="C58" s="13" t="str">
        <f t="shared" si="15"/>
        <v/>
      </c>
      <c r="D58" s="23" t="str">
        <f t="shared" si="16"/>
        <v/>
      </c>
      <c r="E58" s="34" t="str">
        <f t="shared" si="17"/>
        <v/>
      </c>
      <c r="F58" s="18">
        <f>IF(OR(A58="",A59=""),0,IF(AND(A58&gt;=Parametri!$B$11,B58&gt;=Parametri!$B$10,B59&lt;Parametri!$B$10),ROW(),0))</f>
        <v>0</v>
      </c>
      <c r="H58" s="41"/>
      <c r="I58" s="41"/>
      <c r="J58" s="13" t="str">
        <f t="shared" si="18"/>
        <v/>
      </c>
      <c r="K58" s="23" t="str">
        <f t="shared" si="19"/>
        <v/>
      </c>
      <c r="L58" s="34" t="str">
        <f t="shared" si="20"/>
        <v/>
      </c>
      <c r="M58" s="18">
        <f>IF(OR(H58="",H59=""),0,IF(AND(H58&gt;=Parametri!$B$11,I58&gt;=Parametri!$B$10,I59&lt;Parametri!$B$10),ROW(),0))</f>
        <v>0</v>
      </c>
      <c r="O58" s="41"/>
      <c r="P58" s="41"/>
      <c r="Q58" s="13" t="str">
        <f t="shared" si="21"/>
        <v/>
      </c>
      <c r="R58" s="23" t="str">
        <f t="shared" si="22"/>
        <v/>
      </c>
      <c r="S58" s="34" t="str">
        <f t="shared" si="23"/>
        <v/>
      </c>
      <c r="T58" s="18">
        <f>IF(OR(O58="",O59=""),0,IF(AND(O58&gt;=Parametri!$B$11,P58&gt;=Parametri!$B$10,P59&lt;Parametri!$B$10),ROW(),0))</f>
        <v>0</v>
      </c>
      <c r="V58" s="41"/>
      <c r="W58" s="41"/>
      <c r="X58" s="13" t="str">
        <f t="shared" si="24"/>
        <v/>
      </c>
      <c r="Y58" s="23" t="str">
        <f t="shared" si="25"/>
        <v/>
      </c>
      <c r="Z58" s="34" t="str">
        <f t="shared" si="26"/>
        <v/>
      </c>
      <c r="AA58" s="18">
        <f>IF(OR(V58="",V59=""),0,IF(AND(V58&gt;=Parametri!$B$11,W58&gt;=Parametri!$B$10,W59&lt;Parametri!$B$10),ROW(),0))</f>
        <v>0</v>
      </c>
      <c r="AC58" s="41"/>
      <c r="AD58" s="41"/>
      <c r="AE58" s="13" t="str">
        <f t="shared" si="27"/>
        <v/>
      </c>
      <c r="AF58" s="23" t="str">
        <f t="shared" si="28"/>
        <v/>
      </c>
      <c r="AG58" s="34" t="str">
        <f t="shared" si="29"/>
        <v/>
      </c>
      <c r="AH58" s="18">
        <f>IF(OR(AC58="",AC59=""),0,IF(AND(AC58&gt;=Parametri!$B$11,AD58&gt;=Parametri!$B$10,AD59&lt;Parametri!$B$10),ROW(),0))</f>
        <v>0</v>
      </c>
    </row>
    <row r="59" spans="1:34" x14ac:dyDescent="0.25">
      <c r="A59" s="41"/>
      <c r="B59" s="41"/>
      <c r="C59" s="13" t="str">
        <f t="shared" si="15"/>
        <v/>
      </c>
      <c r="D59" s="23" t="str">
        <f t="shared" si="16"/>
        <v/>
      </c>
      <c r="E59" s="34" t="str">
        <f t="shared" si="17"/>
        <v/>
      </c>
      <c r="F59" s="18">
        <f>IF(OR(A59="",A60=""),0,IF(AND(A59&gt;=Parametri!$B$11,B59&gt;=Parametri!$B$10,B60&lt;Parametri!$B$10),ROW(),0))</f>
        <v>0</v>
      </c>
      <c r="H59" s="41"/>
      <c r="I59" s="41"/>
      <c r="J59" s="13" t="str">
        <f t="shared" si="18"/>
        <v/>
      </c>
      <c r="K59" s="23" t="str">
        <f t="shared" si="19"/>
        <v/>
      </c>
      <c r="L59" s="34" t="str">
        <f t="shared" si="20"/>
        <v/>
      </c>
      <c r="M59" s="18">
        <f>IF(OR(H59="",H60=""),0,IF(AND(H59&gt;=Parametri!$B$11,I59&gt;=Parametri!$B$10,I60&lt;Parametri!$B$10),ROW(),0))</f>
        <v>0</v>
      </c>
      <c r="O59" s="41"/>
      <c r="P59" s="41"/>
      <c r="Q59" s="13" t="str">
        <f t="shared" si="21"/>
        <v/>
      </c>
      <c r="R59" s="23" t="str">
        <f t="shared" si="22"/>
        <v/>
      </c>
      <c r="S59" s="34" t="str">
        <f t="shared" si="23"/>
        <v/>
      </c>
      <c r="T59" s="18">
        <f>IF(OR(O59="",O60=""),0,IF(AND(O59&gt;=Parametri!$B$11,P59&gt;=Parametri!$B$10,P60&lt;Parametri!$B$10),ROW(),0))</f>
        <v>0</v>
      </c>
      <c r="V59" s="41"/>
      <c r="W59" s="41"/>
      <c r="X59" s="13" t="str">
        <f t="shared" si="24"/>
        <v/>
      </c>
      <c r="Y59" s="23" t="str">
        <f t="shared" si="25"/>
        <v/>
      </c>
      <c r="Z59" s="34" t="str">
        <f t="shared" si="26"/>
        <v/>
      </c>
      <c r="AA59" s="18">
        <f>IF(OR(V59="",V60=""),0,IF(AND(V59&gt;=Parametri!$B$11,W59&gt;=Parametri!$B$10,W60&lt;Parametri!$B$10),ROW(),0))</f>
        <v>0</v>
      </c>
      <c r="AC59" s="41"/>
      <c r="AD59" s="41"/>
      <c r="AE59" s="13" t="str">
        <f t="shared" si="27"/>
        <v/>
      </c>
      <c r="AF59" s="23" t="str">
        <f t="shared" si="28"/>
        <v/>
      </c>
      <c r="AG59" s="34" t="str">
        <f t="shared" si="29"/>
        <v/>
      </c>
      <c r="AH59" s="18">
        <f>IF(OR(AC59="",AC60=""),0,IF(AND(AC59&gt;=Parametri!$B$11,AD59&gt;=Parametri!$B$10,AD60&lt;Parametri!$B$10),ROW(),0))</f>
        <v>0</v>
      </c>
    </row>
    <row r="60" spans="1:34" x14ac:dyDescent="0.25">
      <c r="A60" s="41"/>
      <c r="B60" s="41"/>
      <c r="C60" s="13" t="str">
        <f t="shared" si="15"/>
        <v/>
      </c>
      <c r="D60" s="23" t="str">
        <f t="shared" si="16"/>
        <v/>
      </c>
      <c r="E60" s="34" t="str">
        <f t="shared" si="17"/>
        <v/>
      </c>
      <c r="F60" s="18">
        <f>IF(OR(A60="",A61=""),0,IF(AND(A60&gt;=Parametri!$B$11,B60&gt;=Parametri!$B$10,B61&lt;Parametri!$B$10),ROW(),0))</f>
        <v>0</v>
      </c>
      <c r="H60" s="41"/>
      <c r="I60" s="41"/>
      <c r="J60" s="13" t="str">
        <f t="shared" si="18"/>
        <v/>
      </c>
      <c r="K60" s="23" t="str">
        <f t="shared" si="19"/>
        <v/>
      </c>
      <c r="L60" s="34" t="str">
        <f t="shared" si="20"/>
        <v/>
      </c>
      <c r="M60" s="18">
        <f>IF(OR(H60="",H61=""),0,IF(AND(H60&gt;=Parametri!$B$11,I60&gt;=Parametri!$B$10,I61&lt;Parametri!$B$10),ROW(),0))</f>
        <v>0</v>
      </c>
      <c r="O60" s="41"/>
      <c r="P60" s="41"/>
      <c r="Q60" s="13" t="str">
        <f t="shared" si="21"/>
        <v/>
      </c>
      <c r="R60" s="23" t="str">
        <f t="shared" si="22"/>
        <v/>
      </c>
      <c r="S60" s="34" t="str">
        <f t="shared" si="23"/>
        <v/>
      </c>
      <c r="T60" s="18">
        <f>IF(OR(O60="",O61=""),0,IF(AND(O60&gt;=Parametri!$B$11,P60&gt;=Parametri!$B$10,P61&lt;Parametri!$B$10),ROW(),0))</f>
        <v>0</v>
      </c>
      <c r="V60" s="41"/>
      <c r="W60" s="41"/>
      <c r="X60" s="13" t="str">
        <f t="shared" si="24"/>
        <v/>
      </c>
      <c r="Y60" s="23" t="str">
        <f t="shared" si="25"/>
        <v/>
      </c>
      <c r="Z60" s="34" t="str">
        <f t="shared" si="26"/>
        <v/>
      </c>
      <c r="AA60" s="18">
        <f>IF(OR(V60="",V61=""),0,IF(AND(V60&gt;=Parametri!$B$11,W60&gt;=Parametri!$B$10,W61&lt;Parametri!$B$10),ROW(),0))</f>
        <v>0</v>
      </c>
      <c r="AC60" s="41"/>
      <c r="AD60" s="41"/>
      <c r="AE60" s="13" t="str">
        <f t="shared" si="27"/>
        <v/>
      </c>
      <c r="AF60" s="23" t="str">
        <f t="shared" si="28"/>
        <v/>
      </c>
      <c r="AG60" s="34" t="str">
        <f t="shared" si="29"/>
        <v/>
      </c>
      <c r="AH60" s="18">
        <f>IF(OR(AC60="",AC61=""),0,IF(AND(AC60&gt;=Parametri!$B$11,AD60&gt;=Parametri!$B$10,AD61&lt;Parametri!$B$10),ROW(),0))</f>
        <v>0</v>
      </c>
    </row>
    <row r="61" spans="1:34" x14ac:dyDescent="0.25">
      <c r="A61" s="41"/>
      <c r="B61" s="41"/>
      <c r="C61" s="13" t="str">
        <f t="shared" si="15"/>
        <v/>
      </c>
      <c r="D61" s="23" t="str">
        <f t="shared" si="16"/>
        <v/>
      </c>
      <c r="E61" s="34" t="str">
        <f t="shared" si="17"/>
        <v/>
      </c>
      <c r="F61" s="18">
        <f>IF(OR(A61="",A62=""),0,IF(AND(A61&gt;=Parametri!$B$11,B61&gt;=Parametri!$B$10,B62&lt;Parametri!$B$10),ROW(),0))</f>
        <v>0</v>
      </c>
      <c r="H61" s="41"/>
      <c r="I61" s="41"/>
      <c r="J61" s="13" t="str">
        <f t="shared" si="18"/>
        <v/>
      </c>
      <c r="K61" s="23" t="str">
        <f t="shared" si="19"/>
        <v/>
      </c>
      <c r="L61" s="34" t="str">
        <f t="shared" si="20"/>
        <v/>
      </c>
      <c r="M61" s="18">
        <f>IF(OR(H61="",H62=""),0,IF(AND(H61&gt;=Parametri!$B$11,I61&gt;=Parametri!$B$10,I62&lt;Parametri!$B$10),ROW(),0))</f>
        <v>0</v>
      </c>
      <c r="O61" s="41"/>
      <c r="P61" s="41"/>
      <c r="Q61" s="13" t="str">
        <f t="shared" si="21"/>
        <v/>
      </c>
      <c r="R61" s="23" t="str">
        <f t="shared" si="22"/>
        <v/>
      </c>
      <c r="S61" s="34" t="str">
        <f t="shared" si="23"/>
        <v/>
      </c>
      <c r="T61" s="18">
        <f>IF(OR(O61="",O62=""),0,IF(AND(O61&gt;=Parametri!$B$11,P61&gt;=Parametri!$B$10,P62&lt;Parametri!$B$10),ROW(),0))</f>
        <v>0</v>
      </c>
      <c r="V61" s="41"/>
      <c r="W61" s="41"/>
      <c r="X61" s="13" t="str">
        <f t="shared" si="24"/>
        <v/>
      </c>
      <c r="Y61" s="23" t="str">
        <f t="shared" si="25"/>
        <v/>
      </c>
      <c r="Z61" s="34" t="str">
        <f t="shared" si="26"/>
        <v/>
      </c>
      <c r="AA61" s="18">
        <f>IF(OR(V61="",V62=""),0,IF(AND(V61&gt;=Parametri!$B$11,W61&gt;=Parametri!$B$10,W62&lt;Parametri!$B$10),ROW(),0))</f>
        <v>0</v>
      </c>
      <c r="AC61" s="41"/>
      <c r="AD61" s="41"/>
      <c r="AE61" s="13" t="str">
        <f t="shared" si="27"/>
        <v/>
      </c>
      <c r="AF61" s="23" t="str">
        <f t="shared" si="28"/>
        <v/>
      </c>
      <c r="AG61" s="34" t="str">
        <f t="shared" si="29"/>
        <v/>
      </c>
      <c r="AH61" s="18">
        <f>IF(OR(AC61="",AC62=""),0,IF(AND(AC61&gt;=Parametri!$B$11,AD61&gt;=Parametri!$B$10,AD62&lt;Parametri!$B$10),ROW(),0))</f>
        <v>0</v>
      </c>
    </row>
    <row r="62" spans="1:34" x14ac:dyDescent="0.25">
      <c r="A62" s="41"/>
      <c r="B62" s="41"/>
      <c r="C62" s="13" t="str">
        <f t="shared" si="15"/>
        <v/>
      </c>
      <c r="D62" s="23" t="str">
        <f t="shared" si="16"/>
        <v/>
      </c>
      <c r="E62" s="34" t="str">
        <f t="shared" si="17"/>
        <v/>
      </c>
      <c r="F62" s="18">
        <f>IF(OR(A62="",A63=""),0,IF(AND(A62&gt;=Parametri!$B$11,B62&gt;=Parametri!$B$10,B63&lt;Parametri!$B$10),ROW(),0))</f>
        <v>0</v>
      </c>
      <c r="H62" s="41"/>
      <c r="I62" s="41"/>
      <c r="J62" s="13" t="str">
        <f t="shared" si="18"/>
        <v/>
      </c>
      <c r="K62" s="23" t="str">
        <f t="shared" si="19"/>
        <v/>
      </c>
      <c r="L62" s="34" t="str">
        <f t="shared" si="20"/>
        <v/>
      </c>
      <c r="M62" s="18">
        <f>IF(OR(H62="",H63=""),0,IF(AND(H62&gt;=Parametri!$B$11,I62&gt;=Parametri!$B$10,I63&lt;Parametri!$B$10),ROW(),0))</f>
        <v>0</v>
      </c>
      <c r="O62" s="41"/>
      <c r="P62" s="41"/>
      <c r="Q62" s="13" t="str">
        <f t="shared" si="21"/>
        <v/>
      </c>
      <c r="R62" s="23" t="str">
        <f t="shared" si="22"/>
        <v/>
      </c>
      <c r="S62" s="34" t="str">
        <f t="shared" si="23"/>
        <v/>
      </c>
      <c r="T62" s="18">
        <f>IF(OR(O62="",O63=""),0,IF(AND(O62&gt;=Parametri!$B$11,P62&gt;=Parametri!$B$10,P63&lt;Parametri!$B$10),ROW(),0))</f>
        <v>0</v>
      </c>
      <c r="V62" s="41"/>
      <c r="W62" s="41"/>
      <c r="X62" s="13" t="str">
        <f t="shared" si="24"/>
        <v/>
      </c>
      <c r="Y62" s="23" t="str">
        <f t="shared" si="25"/>
        <v/>
      </c>
      <c r="Z62" s="34" t="str">
        <f t="shared" si="26"/>
        <v/>
      </c>
      <c r="AA62" s="18">
        <f>IF(OR(V62="",V63=""),0,IF(AND(V62&gt;=Parametri!$B$11,W62&gt;=Parametri!$B$10,W63&lt;Parametri!$B$10),ROW(),0))</f>
        <v>0</v>
      </c>
      <c r="AC62" s="41"/>
      <c r="AD62" s="41"/>
      <c r="AE62" s="13" t="str">
        <f t="shared" si="27"/>
        <v/>
      </c>
      <c r="AF62" s="23" t="str">
        <f t="shared" si="28"/>
        <v/>
      </c>
      <c r="AG62" s="34" t="str">
        <f t="shared" si="29"/>
        <v/>
      </c>
      <c r="AH62" s="18">
        <f>IF(OR(AC62="",AC63=""),0,IF(AND(AC62&gt;=Parametri!$B$11,AD62&gt;=Parametri!$B$10,AD63&lt;Parametri!$B$10),ROW(),0))</f>
        <v>0</v>
      </c>
    </row>
    <row r="63" spans="1:34" x14ac:dyDescent="0.25">
      <c r="A63" s="41"/>
      <c r="B63" s="41"/>
      <c r="C63" s="13" t="str">
        <f t="shared" si="15"/>
        <v/>
      </c>
      <c r="D63" s="23" t="str">
        <f t="shared" si="16"/>
        <v/>
      </c>
      <c r="E63" s="34" t="str">
        <f t="shared" si="17"/>
        <v/>
      </c>
      <c r="F63" s="18">
        <f>IF(OR(A63="",A64=""),0,IF(AND(A63&gt;=Parametri!$B$11,B63&gt;=Parametri!$B$10,B64&lt;Parametri!$B$10),ROW(),0))</f>
        <v>0</v>
      </c>
      <c r="H63" s="41"/>
      <c r="I63" s="41"/>
      <c r="J63" s="13" t="str">
        <f t="shared" si="18"/>
        <v/>
      </c>
      <c r="K63" s="23" t="str">
        <f t="shared" si="19"/>
        <v/>
      </c>
      <c r="L63" s="34" t="str">
        <f t="shared" si="20"/>
        <v/>
      </c>
      <c r="M63" s="18">
        <f>IF(OR(H63="",H64=""),0,IF(AND(H63&gt;=Parametri!$B$11,I63&gt;=Parametri!$B$10,I64&lt;Parametri!$B$10),ROW(),0))</f>
        <v>0</v>
      </c>
      <c r="O63" s="41"/>
      <c r="P63" s="41"/>
      <c r="Q63" s="13" t="str">
        <f t="shared" si="21"/>
        <v/>
      </c>
      <c r="R63" s="23" t="str">
        <f t="shared" si="22"/>
        <v/>
      </c>
      <c r="S63" s="34" t="str">
        <f t="shared" si="23"/>
        <v/>
      </c>
      <c r="T63" s="18">
        <f>IF(OR(O63="",O64=""),0,IF(AND(O63&gt;=Parametri!$B$11,P63&gt;=Parametri!$B$10,P64&lt;Parametri!$B$10),ROW(),0))</f>
        <v>0</v>
      </c>
      <c r="V63" s="41"/>
      <c r="W63" s="41"/>
      <c r="X63" s="13" t="str">
        <f t="shared" si="24"/>
        <v/>
      </c>
      <c r="Y63" s="23" t="str">
        <f t="shared" si="25"/>
        <v/>
      </c>
      <c r="Z63" s="34" t="str">
        <f t="shared" si="26"/>
        <v/>
      </c>
      <c r="AA63" s="18">
        <f>IF(OR(V63="",V64=""),0,IF(AND(V63&gt;=Parametri!$B$11,W63&gt;=Parametri!$B$10,W64&lt;Parametri!$B$10),ROW(),0))</f>
        <v>0</v>
      </c>
      <c r="AC63" s="41"/>
      <c r="AD63" s="41"/>
      <c r="AE63" s="13" t="str">
        <f t="shared" si="27"/>
        <v/>
      </c>
      <c r="AF63" s="23" t="str">
        <f t="shared" si="28"/>
        <v/>
      </c>
      <c r="AG63" s="34" t="str">
        <f t="shared" si="29"/>
        <v/>
      </c>
      <c r="AH63" s="18">
        <f>IF(OR(AC63="",AC64=""),0,IF(AND(AC63&gt;=Parametri!$B$11,AD63&gt;=Parametri!$B$10,AD64&lt;Parametri!$B$10),ROW(),0))</f>
        <v>0</v>
      </c>
    </row>
    <row r="64" spans="1:34" x14ac:dyDescent="0.25">
      <c r="A64" s="41"/>
      <c r="B64" s="41"/>
      <c r="C64" s="13" t="str">
        <f t="shared" si="15"/>
        <v/>
      </c>
      <c r="D64" s="23" t="str">
        <f t="shared" si="16"/>
        <v/>
      </c>
      <c r="E64" s="34" t="str">
        <f t="shared" si="17"/>
        <v/>
      </c>
      <c r="F64" s="18">
        <f>IF(OR(A64="",A65=""),0,IF(AND(A64&gt;=Parametri!$B$11,B64&gt;=Parametri!$B$10,B65&lt;Parametri!$B$10),ROW(),0))</f>
        <v>0</v>
      </c>
      <c r="H64" s="41"/>
      <c r="I64" s="41"/>
      <c r="J64" s="13" t="str">
        <f t="shared" si="18"/>
        <v/>
      </c>
      <c r="K64" s="23" t="str">
        <f t="shared" si="19"/>
        <v/>
      </c>
      <c r="L64" s="34" t="str">
        <f t="shared" si="20"/>
        <v/>
      </c>
      <c r="M64" s="18">
        <f>IF(OR(H64="",H65=""),0,IF(AND(H64&gt;=Parametri!$B$11,I64&gt;=Parametri!$B$10,I65&lt;Parametri!$B$10),ROW(),0))</f>
        <v>0</v>
      </c>
      <c r="O64" s="41"/>
      <c r="P64" s="41"/>
      <c r="Q64" s="13" t="str">
        <f t="shared" si="21"/>
        <v/>
      </c>
      <c r="R64" s="23" t="str">
        <f t="shared" si="22"/>
        <v/>
      </c>
      <c r="S64" s="34" t="str">
        <f t="shared" si="23"/>
        <v/>
      </c>
      <c r="T64" s="18">
        <f>IF(OR(O64="",O65=""),0,IF(AND(O64&gt;=Parametri!$B$11,P64&gt;=Parametri!$B$10,P65&lt;Parametri!$B$10),ROW(),0))</f>
        <v>0</v>
      </c>
      <c r="V64" s="41"/>
      <c r="W64" s="41"/>
      <c r="X64" s="13" t="str">
        <f t="shared" si="24"/>
        <v/>
      </c>
      <c r="Y64" s="23" t="str">
        <f t="shared" si="25"/>
        <v/>
      </c>
      <c r="Z64" s="34" t="str">
        <f t="shared" si="26"/>
        <v/>
      </c>
      <c r="AA64" s="18">
        <f>IF(OR(V64="",V65=""),0,IF(AND(V64&gt;=Parametri!$B$11,W64&gt;=Parametri!$B$10,W65&lt;Parametri!$B$10),ROW(),0))</f>
        <v>0</v>
      </c>
      <c r="AC64" s="41"/>
      <c r="AD64" s="41"/>
      <c r="AE64" s="13" t="str">
        <f t="shared" si="27"/>
        <v/>
      </c>
      <c r="AF64" s="23" t="str">
        <f t="shared" si="28"/>
        <v/>
      </c>
      <c r="AG64" s="34" t="str">
        <f t="shared" si="29"/>
        <v/>
      </c>
      <c r="AH64" s="18">
        <f>IF(OR(AC64="",AC65=""),0,IF(AND(AC64&gt;=Parametri!$B$11,AD64&gt;=Parametri!$B$10,AD65&lt;Parametri!$B$10),ROW(),0))</f>
        <v>0</v>
      </c>
    </row>
    <row r="65" spans="1:34" x14ac:dyDescent="0.25">
      <c r="A65" s="41"/>
      <c r="B65" s="41"/>
      <c r="C65" s="13" t="str">
        <f t="shared" si="15"/>
        <v/>
      </c>
      <c r="D65" s="23" t="str">
        <f t="shared" si="16"/>
        <v/>
      </c>
      <c r="E65" s="34" t="str">
        <f t="shared" si="17"/>
        <v/>
      </c>
      <c r="F65" s="18">
        <f>IF(OR(A65="",A66=""),0,IF(AND(A65&gt;=Parametri!$B$11,B65&gt;=Parametri!$B$10,B66&lt;Parametri!$B$10),ROW(),0))</f>
        <v>0</v>
      </c>
      <c r="H65" s="41"/>
      <c r="I65" s="41"/>
      <c r="J65" s="13" t="str">
        <f t="shared" si="18"/>
        <v/>
      </c>
      <c r="K65" s="23" t="str">
        <f t="shared" si="19"/>
        <v/>
      </c>
      <c r="L65" s="34" t="str">
        <f t="shared" si="20"/>
        <v/>
      </c>
      <c r="M65" s="18">
        <f>IF(OR(H65="",H66=""),0,IF(AND(H65&gt;=Parametri!$B$11,I65&gt;=Parametri!$B$10,I66&lt;Parametri!$B$10),ROW(),0))</f>
        <v>0</v>
      </c>
      <c r="O65" s="41"/>
      <c r="P65" s="41"/>
      <c r="Q65" s="13" t="str">
        <f t="shared" si="21"/>
        <v/>
      </c>
      <c r="R65" s="23" t="str">
        <f t="shared" si="22"/>
        <v/>
      </c>
      <c r="S65" s="34" t="str">
        <f t="shared" si="23"/>
        <v/>
      </c>
      <c r="T65" s="18">
        <f>IF(OR(O65="",O66=""),0,IF(AND(O65&gt;=Parametri!$B$11,P65&gt;=Parametri!$B$10,P66&lt;Parametri!$B$10),ROW(),0))</f>
        <v>0</v>
      </c>
      <c r="V65" s="41"/>
      <c r="W65" s="41"/>
      <c r="X65" s="13" t="str">
        <f t="shared" si="24"/>
        <v/>
      </c>
      <c r="Y65" s="23" t="str">
        <f t="shared" si="25"/>
        <v/>
      </c>
      <c r="Z65" s="34" t="str">
        <f t="shared" si="26"/>
        <v/>
      </c>
      <c r="AA65" s="18">
        <f>IF(OR(V65="",V66=""),0,IF(AND(V65&gt;=Parametri!$B$11,W65&gt;=Parametri!$B$10,W66&lt;Parametri!$B$10),ROW(),0))</f>
        <v>0</v>
      </c>
      <c r="AC65" s="41"/>
      <c r="AD65" s="41"/>
      <c r="AE65" s="13" t="str">
        <f t="shared" si="27"/>
        <v/>
      </c>
      <c r="AF65" s="23" t="str">
        <f t="shared" si="28"/>
        <v/>
      </c>
      <c r="AG65" s="34" t="str">
        <f t="shared" si="29"/>
        <v/>
      </c>
      <c r="AH65" s="18">
        <f>IF(OR(AC65="",AC66=""),0,IF(AND(AC65&gt;=Parametri!$B$11,AD65&gt;=Parametri!$B$10,AD66&lt;Parametri!$B$10),ROW(),0))</f>
        <v>0</v>
      </c>
    </row>
    <row r="66" spans="1:34" x14ac:dyDescent="0.25">
      <c r="A66" s="41"/>
      <c r="B66" s="41"/>
      <c r="C66" s="13" t="str">
        <f t="shared" si="15"/>
        <v/>
      </c>
      <c r="D66" s="23" t="str">
        <f t="shared" si="16"/>
        <v/>
      </c>
      <c r="E66" s="34" t="str">
        <f t="shared" si="17"/>
        <v/>
      </c>
      <c r="F66" s="18">
        <f>IF(OR(A66="",A67=""),0,IF(AND(A66&gt;=Parametri!$B$11,B66&gt;=Parametri!$B$10,B67&lt;Parametri!$B$10),ROW(),0))</f>
        <v>0</v>
      </c>
      <c r="H66" s="41"/>
      <c r="I66" s="41"/>
      <c r="J66" s="13" t="str">
        <f t="shared" si="18"/>
        <v/>
      </c>
      <c r="K66" s="23" t="str">
        <f t="shared" si="19"/>
        <v/>
      </c>
      <c r="L66" s="34" t="str">
        <f t="shared" si="20"/>
        <v/>
      </c>
      <c r="M66" s="18">
        <f>IF(OR(H66="",H67=""),0,IF(AND(H66&gt;=Parametri!$B$11,I66&gt;=Parametri!$B$10,I67&lt;Parametri!$B$10),ROW(),0))</f>
        <v>0</v>
      </c>
      <c r="O66" s="41"/>
      <c r="P66" s="41"/>
      <c r="Q66" s="13" t="str">
        <f t="shared" si="21"/>
        <v/>
      </c>
      <c r="R66" s="23" t="str">
        <f t="shared" si="22"/>
        <v/>
      </c>
      <c r="S66" s="34" t="str">
        <f t="shared" si="23"/>
        <v/>
      </c>
      <c r="T66" s="18">
        <f>IF(OR(O66="",O67=""),0,IF(AND(O66&gt;=Parametri!$B$11,P66&gt;=Parametri!$B$10,P67&lt;Parametri!$B$10),ROW(),0))</f>
        <v>0</v>
      </c>
      <c r="V66" s="41"/>
      <c r="W66" s="41"/>
      <c r="X66" s="13" t="str">
        <f t="shared" si="24"/>
        <v/>
      </c>
      <c r="Y66" s="23" t="str">
        <f t="shared" si="25"/>
        <v/>
      </c>
      <c r="Z66" s="34" t="str">
        <f t="shared" si="26"/>
        <v/>
      </c>
      <c r="AA66" s="18">
        <f>IF(OR(V66="",V67=""),0,IF(AND(V66&gt;=Parametri!$B$11,W66&gt;=Parametri!$B$10,W67&lt;Parametri!$B$10),ROW(),0))</f>
        <v>0</v>
      </c>
      <c r="AC66" s="41"/>
      <c r="AD66" s="41"/>
      <c r="AE66" s="13" t="str">
        <f t="shared" si="27"/>
        <v/>
      </c>
      <c r="AF66" s="23" t="str">
        <f t="shared" si="28"/>
        <v/>
      </c>
      <c r="AG66" s="34" t="str">
        <f t="shared" si="29"/>
        <v/>
      </c>
      <c r="AH66" s="18">
        <f>IF(OR(AC66="",AC67=""),0,IF(AND(AC66&gt;=Parametri!$B$11,AD66&gt;=Parametri!$B$10,AD67&lt;Parametri!$B$10),ROW(),0))</f>
        <v>0</v>
      </c>
    </row>
    <row r="67" spans="1:34" x14ac:dyDescent="0.25">
      <c r="A67" s="41"/>
      <c r="B67" s="41"/>
      <c r="C67" s="13" t="str">
        <f t="shared" si="15"/>
        <v/>
      </c>
      <c r="D67" s="23" t="str">
        <f t="shared" si="16"/>
        <v/>
      </c>
      <c r="E67" s="34" t="str">
        <f t="shared" si="17"/>
        <v/>
      </c>
      <c r="F67" s="18">
        <f>IF(OR(A67="",A68=""),0,IF(AND(A67&gt;=Parametri!$B$11,B67&gt;=Parametri!$B$10,B68&lt;Parametri!$B$10),ROW(),0))</f>
        <v>0</v>
      </c>
      <c r="H67" s="41"/>
      <c r="I67" s="41"/>
      <c r="J67" s="13" t="str">
        <f t="shared" si="18"/>
        <v/>
      </c>
      <c r="K67" s="23" t="str">
        <f t="shared" si="19"/>
        <v/>
      </c>
      <c r="L67" s="34" t="str">
        <f t="shared" si="20"/>
        <v/>
      </c>
      <c r="M67" s="18">
        <f>IF(OR(H67="",H68=""),0,IF(AND(H67&gt;=Parametri!$B$11,I67&gt;=Parametri!$B$10,I68&lt;Parametri!$B$10),ROW(),0))</f>
        <v>0</v>
      </c>
      <c r="O67" s="41"/>
      <c r="P67" s="41"/>
      <c r="Q67" s="13" t="str">
        <f t="shared" si="21"/>
        <v/>
      </c>
      <c r="R67" s="23" t="str">
        <f t="shared" si="22"/>
        <v/>
      </c>
      <c r="S67" s="34" t="str">
        <f t="shared" si="23"/>
        <v/>
      </c>
      <c r="T67" s="18">
        <f>IF(OR(O67="",O68=""),0,IF(AND(O67&gt;=Parametri!$B$11,P67&gt;=Parametri!$B$10,P68&lt;Parametri!$B$10),ROW(),0))</f>
        <v>0</v>
      </c>
      <c r="V67" s="41"/>
      <c r="W67" s="41"/>
      <c r="X67" s="13" t="str">
        <f t="shared" si="24"/>
        <v/>
      </c>
      <c r="Y67" s="23" t="str">
        <f t="shared" si="25"/>
        <v/>
      </c>
      <c r="Z67" s="34" t="str">
        <f t="shared" si="26"/>
        <v/>
      </c>
      <c r="AA67" s="18">
        <f>IF(OR(V67="",V68=""),0,IF(AND(V67&gt;=Parametri!$B$11,W67&gt;=Parametri!$B$10,W68&lt;Parametri!$B$10),ROW(),0))</f>
        <v>0</v>
      </c>
      <c r="AC67" s="41"/>
      <c r="AD67" s="41"/>
      <c r="AE67" s="13" t="str">
        <f t="shared" si="27"/>
        <v/>
      </c>
      <c r="AF67" s="23" t="str">
        <f t="shared" si="28"/>
        <v/>
      </c>
      <c r="AG67" s="34" t="str">
        <f t="shared" si="29"/>
        <v/>
      </c>
      <c r="AH67" s="18">
        <f>IF(OR(AC67="",AC68=""),0,IF(AND(AC67&gt;=Parametri!$B$11,AD67&gt;=Parametri!$B$10,AD68&lt;Parametri!$B$10),ROW(),0))</f>
        <v>0</v>
      </c>
    </row>
    <row r="68" spans="1:34" x14ac:dyDescent="0.25">
      <c r="A68" s="41"/>
      <c r="B68" s="41"/>
      <c r="C68" s="13" t="str">
        <f t="shared" si="15"/>
        <v/>
      </c>
      <c r="D68" s="23" t="str">
        <f t="shared" si="16"/>
        <v/>
      </c>
      <c r="E68" s="34" t="str">
        <f t="shared" si="17"/>
        <v/>
      </c>
      <c r="F68" s="18">
        <f>IF(OR(A68="",A69=""),0,IF(AND(A68&gt;=Parametri!$B$11,B68&gt;=Parametri!$B$10,B69&lt;Parametri!$B$10),ROW(),0))</f>
        <v>0</v>
      </c>
      <c r="H68" s="41"/>
      <c r="I68" s="41"/>
      <c r="J68" s="13" t="str">
        <f t="shared" si="18"/>
        <v/>
      </c>
      <c r="K68" s="23" t="str">
        <f t="shared" si="19"/>
        <v/>
      </c>
      <c r="L68" s="34" t="str">
        <f t="shared" si="20"/>
        <v/>
      </c>
      <c r="M68" s="18">
        <f>IF(OR(H68="",H69=""),0,IF(AND(H68&gt;=Parametri!$B$11,I68&gt;=Parametri!$B$10,I69&lt;Parametri!$B$10),ROW(),0))</f>
        <v>0</v>
      </c>
      <c r="O68" s="41"/>
      <c r="P68" s="41"/>
      <c r="Q68" s="13" t="str">
        <f t="shared" si="21"/>
        <v/>
      </c>
      <c r="R68" s="23" t="str">
        <f t="shared" si="22"/>
        <v/>
      </c>
      <c r="S68" s="34" t="str">
        <f t="shared" si="23"/>
        <v/>
      </c>
      <c r="T68" s="18">
        <f>IF(OR(O68="",O69=""),0,IF(AND(O68&gt;=Parametri!$B$11,P68&gt;=Parametri!$B$10,P69&lt;Parametri!$B$10),ROW(),0))</f>
        <v>0</v>
      </c>
      <c r="V68" s="41"/>
      <c r="W68" s="41"/>
      <c r="X68" s="13" t="str">
        <f t="shared" si="24"/>
        <v/>
      </c>
      <c r="Y68" s="23" t="str">
        <f t="shared" si="25"/>
        <v/>
      </c>
      <c r="Z68" s="34" t="str">
        <f t="shared" si="26"/>
        <v/>
      </c>
      <c r="AA68" s="18">
        <f>IF(OR(V68="",V69=""),0,IF(AND(V68&gt;=Parametri!$B$11,W68&gt;=Parametri!$B$10,W69&lt;Parametri!$B$10),ROW(),0))</f>
        <v>0</v>
      </c>
      <c r="AC68" s="41"/>
      <c r="AD68" s="41"/>
      <c r="AE68" s="13" t="str">
        <f t="shared" si="27"/>
        <v/>
      </c>
      <c r="AF68" s="23" t="str">
        <f t="shared" si="28"/>
        <v/>
      </c>
      <c r="AG68" s="34" t="str">
        <f t="shared" si="29"/>
        <v/>
      </c>
      <c r="AH68" s="18">
        <f>IF(OR(AC68="",AC69=""),0,IF(AND(AC68&gt;=Parametri!$B$11,AD68&gt;=Parametri!$B$10,AD69&lt;Parametri!$B$10),ROW(),0))</f>
        <v>0</v>
      </c>
    </row>
    <row r="69" spans="1:34" x14ac:dyDescent="0.25">
      <c r="A69" s="41"/>
      <c r="B69" s="41"/>
      <c r="C69" s="13" t="str">
        <f t="shared" si="15"/>
        <v/>
      </c>
      <c r="D69" s="23" t="str">
        <f t="shared" si="16"/>
        <v/>
      </c>
      <c r="E69" s="34" t="str">
        <f t="shared" si="17"/>
        <v/>
      </c>
      <c r="F69" s="18">
        <f>IF(OR(A69="",A70=""),0,IF(AND(A69&gt;=Parametri!$B$11,B69&gt;=Parametri!$B$10,B70&lt;Parametri!$B$10),ROW(),0))</f>
        <v>0</v>
      </c>
      <c r="H69" s="41"/>
      <c r="I69" s="41"/>
      <c r="J69" s="13" t="str">
        <f t="shared" si="18"/>
        <v/>
      </c>
      <c r="K69" s="23" t="str">
        <f t="shared" si="19"/>
        <v/>
      </c>
      <c r="L69" s="34" t="str">
        <f t="shared" si="20"/>
        <v/>
      </c>
      <c r="M69" s="18">
        <f>IF(OR(H69="",H70=""),0,IF(AND(H69&gt;=Parametri!$B$11,I69&gt;=Parametri!$B$10,I70&lt;Parametri!$B$10),ROW(),0))</f>
        <v>0</v>
      </c>
      <c r="O69" s="41"/>
      <c r="P69" s="41"/>
      <c r="Q69" s="13" t="str">
        <f t="shared" si="21"/>
        <v/>
      </c>
      <c r="R69" s="23" t="str">
        <f t="shared" si="22"/>
        <v/>
      </c>
      <c r="S69" s="34" t="str">
        <f t="shared" si="23"/>
        <v/>
      </c>
      <c r="T69" s="18">
        <f>IF(OR(O69="",O70=""),0,IF(AND(O69&gt;=Parametri!$B$11,P69&gt;=Parametri!$B$10,P70&lt;Parametri!$B$10),ROW(),0))</f>
        <v>0</v>
      </c>
      <c r="V69" s="41"/>
      <c r="W69" s="41"/>
      <c r="X69" s="13" t="str">
        <f t="shared" si="24"/>
        <v/>
      </c>
      <c r="Y69" s="23" t="str">
        <f t="shared" si="25"/>
        <v/>
      </c>
      <c r="Z69" s="34" t="str">
        <f t="shared" si="26"/>
        <v/>
      </c>
      <c r="AA69" s="18">
        <f>IF(OR(V69="",V70=""),0,IF(AND(V69&gt;=Parametri!$B$11,W69&gt;=Parametri!$B$10,W70&lt;Parametri!$B$10),ROW(),0))</f>
        <v>0</v>
      </c>
      <c r="AC69" s="41"/>
      <c r="AD69" s="41"/>
      <c r="AE69" s="13" t="str">
        <f t="shared" si="27"/>
        <v/>
      </c>
      <c r="AF69" s="23" t="str">
        <f t="shared" si="28"/>
        <v/>
      </c>
      <c r="AG69" s="34" t="str">
        <f t="shared" si="29"/>
        <v/>
      </c>
      <c r="AH69" s="18">
        <f>IF(OR(AC69="",AC70=""),0,IF(AND(AC69&gt;=Parametri!$B$11,AD69&gt;=Parametri!$B$10,AD70&lt;Parametri!$B$10),ROW(),0))</f>
        <v>0</v>
      </c>
    </row>
    <row r="70" spans="1:34" x14ac:dyDescent="0.25">
      <c r="A70" s="41"/>
      <c r="B70" s="41"/>
      <c r="C70" s="13" t="str">
        <f t="shared" si="15"/>
        <v/>
      </c>
      <c r="D70" s="23" t="str">
        <f t="shared" si="16"/>
        <v/>
      </c>
      <c r="E70" s="34" t="str">
        <f t="shared" si="17"/>
        <v/>
      </c>
      <c r="F70" s="18">
        <f>IF(OR(A70="",A71=""),0,IF(AND(A70&gt;=Parametri!$B$11,B70&gt;=Parametri!$B$10,B71&lt;Parametri!$B$10),ROW(),0))</f>
        <v>0</v>
      </c>
      <c r="H70" s="41"/>
      <c r="I70" s="41"/>
      <c r="J70" s="13" t="str">
        <f t="shared" si="18"/>
        <v/>
      </c>
      <c r="K70" s="23" t="str">
        <f t="shared" si="19"/>
        <v/>
      </c>
      <c r="L70" s="34" t="str">
        <f t="shared" si="20"/>
        <v/>
      </c>
      <c r="M70" s="18">
        <f>IF(OR(H70="",H71=""),0,IF(AND(H70&gt;=Parametri!$B$11,I70&gt;=Parametri!$B$10,I71&lt;Parametri!$B$10),ROW(),0))</f>
        <v>0</v>
      </c>
      <c r="O70" s="41"/>
      <c r="P70" s="41"/>
      <c r="Q70" s="13" t="str">
        <f t="shared" si="21"/>
        <v/>
      </c>
      <c r="R70" s="23" t="str">
        <f t="shared" si="22"/>
        <v/>
      </c>
      <c r="S70" s="34" t="str">
        <f t="shared" si="23"/>
        <v/>
      </c>
      <c r="T70" s="18">
        <f>IF(OR(O70="",O71=""),0,IF(AND(O70&gt;=Parametri!$B$11,P70&gt;=Parametri!$B$10,P71&lt;Parametri!$B$10),ROW(),0))</f>
        <v>0</v>
      </c>
      <c r="V70" s="41"/>
      <c r="W70" s="41"/>
      <c r="X70" s="13" t="str">
        <f t="shared" si="24"/>
        <v/>
      </c>
      <c r="Y70" s="23" t="str">
        <f t="shared" si="25"/>
        <v/>
      </c>
      <c r="Z70" s="34" t="str">
        <f t="shared" si="26"/>
        <v/>
      </c>
      <c r="AA70" s="18">
        <f>IF(OR(V70="",V71=""),0,IF(AND(V70&gt;=Parametri!$B$11,W70&gt;=Parametri!$B$10,W71&lt;Parametri!$B$10),ROW(),0))</f>
        <v>0</v>
      </c>
      <c r="AC70" s="41"/>
      <c r="AD70" s="41"/>
      <c r="AE70" s="13" t="str">
        <f t="shared" si="27"/>
        <v/>
      </c>
      <c r="AF70" s="23" t="str">
        <f t="shared" si="28"/>
        <v/>
      </c>
      <c r="AG70" s="34" t="str">
        <f t="shared" si="29"/>
        <v/>
      </c>
      <c r="AH70" s="18">
        <f>IF(OR(AC70="",AC71=""),0,IF(AND(AC70&gt;=Parametri!$B$11,AD70&gt;=Parametri!$B$10,AD71&lt;Parametri!$B$10),ROW(),0))</f>
        <v>0</v>
      </c>
    </row>
    <row r="71" spans="1:34" x14ac:dyDescent="0.25">
      <c r="A71" s="41"/>
      <c r="B71" s="41"/>
      <c r="C71" s="13" t="str">
        <f t="shared" si="15"/>
        <v/>
      </c>
      <c r="D71" s="23" t="str">
        <f t="shared" si="16"/>
        <v/>
      </c>
      <c r="E71" s="34" t="str">
        <f t="shared" si="17"/>
        <v/>
      </c>
      <c r="F71" s="18">
        <f>IF(OR(A71="",A72=""),0,IF(AND(A71&gt;=Parametri!$B$11,B71&gt;=Parametri!$B$10,B72&lt;Parametri!$B$10),ROW(),0))</f>
        <v>0</v>
      </c>
      <c r="H71" s="41"/>
      <c r="I71" s="41"/>
      <c r="J71" s="13" t="str">
        <f t="shared" si="18"/>
        <v/>
      </c>
      <c r="K71" s="23" t="str">
        <f t="shared" si="19"/>
        <v/>
      </c>
      <c r="L71" s="34" t="str">
        <f t="shared" si="20"/>
        <v/>
      </c>
      <c r="M71" s="18">
        <f>IF(OR(H71="",H72=""),0,IF(AND(H71&gt;=Parametri!$B$11,I71&gt;=Parametri!$B$10,I72&lt;Parametri!$B$10),ROW(),0))</f>
        <v>0</v>
      </c>
      <c r="O71" s="41"/>
      <c r="P71" s="41"/>
      <c r="Q71" s="13" t="str">
        <f t="shared" si="21"/>
        <v/>
      </c>
      <c r="R71" s="23" t="str">
        <f t="shared" si="22"/>
        <v/>
      </c>
      <c r="S71" s="34" t="str">
        <f t="shared" si="23"/>
        <v/>
      </c>
      <c r="T71" s="18">
        <f>IF(OR(O71="",O72=""),0,IF(AND(O71&gt;=Parametri!$B$11,P71&gt;=Parametri!$B$10,P72&lt;Parametri!$B$10),ROW(),0))</f>
        <v>0</v>
      </c>
      <c r="V71" s="41"/>
      <c r="W71" s="41"/>
      <c r="X71" s="13" t="str">
        <f t="shared" si="24"/>
        <v/>
      </c>
      <c r="Y71" s="23" t="str">
        <f t="shared" si="25"/>
        <v/>
      </c>
      <c r="Z71" s="34" t="str">
        <f t="shared" si="26"/>
        <v/>
      </c>
      <c r="AA71" s="18">
        <f>IF(OR(V71="",V72=""),0,IF(AND(V71&gt;=Parametri!$B$11,W71&gt;=Parametri!$B$10,W72&lt;Parametri!$B$10),ROW(),0))</f>
        <v>0</v>
      </c>
      <c r="AC71" s="41"/>
      <c r="AD71" s="41"/>
      <c r="AE71" s="13" t="str">
        <f t="shared" si="27"/>
        <v/>
      </c>
      <c r="AF71" s="23" t="str">
        <f t="shared" si="28"/>
        <v/>
      </c>
      <c r="AG71" s="34" t="str">
        <f t="shared" si="29"/>
        <v/>
      </c>
      <c r="AH71" s="18">
        <f>IF(OR(AC71="",AC72=""),0,IF(AND(AC71&gt;=Parametri!$B$11,AD71&gt;=Parametri!$B$10,AD72&lt;Parametri!$B$10),ROW(),0))</f>
        <v>0</v>
      </c>
    </row>
    <row r="72" spans="1:34" x14ac:dyDescent="0.25">
      <c r="A72" s="41"/>
      <c r="B72" s="41"/>
      <c r="C72" s="13" t="str">
        <f t="shared" si="15"/>
        <v/>
      </c>
      <c r="D72" s="23" t="str">
        <f t="shared" si="16"/>
        <v/>
      </c>
      <c r="E72" s="34" t="str">
        <f t="shared" si="17"/>
        <v/>
      </c>
      <c r="F72" s="18">
        <f>IF(OR(A72="",A73=""),0,IF(AND(A72&gt;=Parametri!$B$11,B72&gt;=Parametri!$B$10,B73&lt;Parametri!$B$10),ROW(),0))</f>
        <v>0</v>
      </c>
      <c r="H72" s="41"/>
      <c r="I72" s="41"/>
      <c r="J72" s="13" t="str">
        <f t="shared" si="18"/>
        <v/>
      </c>
      <c r="K72" s="23" t="str">
        <f t="shared" si="19"/>
        <v/>
      </c>
      <c r="L72" s="34" t="str">
        <f t="shared" si="20"/>
        <v/>
      </c>
      <c r="M72" s="18">
        <f>IF(OR(H72="",H73=""),0,IF(AND(H72&gt;=Parametri!$B$11,I72&gt;=Parametri!$B$10,I73&lt;Parametri!$B$10),ROW(),0))</f>
        <v>0</v>
      </c>
      <c r="O72" s="41"/>
      <c r="P72" s="41"/>
      <c r="Q72" s="13" t="str">
        <f t="shared" si="21"/>
        <v/>
      </c>
      <c r="R72" s="23" t="str">
        <f t="shared" si="22"/>
        <v/>
      </c>
      <c r="S72" s="34" t="str">
        <f t="shared" si="23"/>
        <v/>
      </c>
      <c r="T72" s="18">
        <f>IF(OR(O72="",O73=""),0,IF(AND(O72&gt;=Parametri!$B$11,P72&gt;=Parametri!$B$10,P73&lt;Parametri!$B$10),ROW(),0))</f>
        <v>0</v>
      </c>
      <c r="V72" s="41"/>
      <c r="W72" s="41"/>
      <c r="X72" s="13" t="str">
        <f t="shared" si="24"/>
        <v/>
      </c>
      <c r="Y72" s="23" t="str">
        <f t="shared" si="25"/>
        <v/>
      </c>
      <c r="Z72" s="34" t="str">
        <f t="shared" si="26"/>
        <v/>
      </c>
      <c r="AA72" s="18">
        <f>IF(OR(V72="",V73=""),0,IF(AND(V72&gt;=Parametri!$B$11,W72&gt;=Parametri!$B$10,W73&lt;Parametri!$B$10),ROW(),0))</f>
        <v>0</v>
      </c>
      <c r="AC72" s="41"/>
      <c r="AD72" s="41"/>
      <c r="AE72" s="13" t="str">
        <f t="shared" si="27"/>
        <v/>
      </c>
      <c r="AF72" s="23" t="str">
        <f t="shared" si="28"/>
        <v/>
      </c>
      <c r="AG72" s="34" t="str">
        <f t="shared" si="29"/>
        <v/>
      </c>
      <c r="AH72" s="18">
        <f>IF(OR(AC72="",AC73=""),0,IF(AND(AC72&gt;=Parametri!$B$11,AD72&gt;=Parametri!$B$10,AD73&lt;Parametri!$B$10),ROW(),0))</f>
        <v>0</v>
      </c>
    </row>
    <row r="73" spans="1:34" x14ac:dyDescent="0.25">
      <c r="A73" s="41"/>
      <c r="B73" s="41"/>
      <c r="C73" s="13" t="str">
        <f t="shared" ref="C73:C104" si="30">IF(OR(A73="",B$4=""),"",B73/B$4)</f>
        <v/>
      </c>
      <c r="D73" s="23" t="str">
        <f t="shared" ref="D73:D108" si="31">IF(OR(A73="",A74="",A73&lt;=0),"",IFERROR(LN(B74/B73)/LN(A74/A73),""))</f>
        <v/>
      </c>
      <c r="E73" s="34" t="str">
        <f t="shared" ref="E73:E108" si="32">IF(OR(A73="",B$3="",A73&lt;=0),"",B73*A73/B$3)</f>
        <v/>
      </c>
      <c r="F73" s="18">
        <f>IF(OR(A73="",A74=""),0,IF(AND(A73&gt;=Parametri!$B$11,B73&gt;=Parametri!$B$10,B74&lt;Parametri!$B$10),ROW(),0))</f>
        <v>0</v>
      </c>
      <c r="H73" s="41"/>
      <c r="I73" s="41"/>
      <c r="J73" s="13" t="str">
        <f t="shared" ref="J73:J104" si="33">IF(OR(H73="",I$4=""),"",I73/I$4)</f>
        <v/>
      </c>
      <c r="K73" s="23" t="str">
        <f t="shared" ref="K73:K108" si="34">IF(OR(H73="",H74="",H73&lt;=0),"",IFERROR(LN(I74/I73)/LN(H74/H73),""))</f>
        <v/>
      </c>
      <c r="L73" s="34" t="str">
        <f t="shared" ref="L73:L108" si="35">IF(OR(H73="",I$3="",H73&lt;=0),"",I73*H73/I$3)</f>
        <v/>
      </c>
      <c r="M73" s="18">
        <f>IF(OR(H73="",H74=""),0,IF(AND(H73&gt;=Parametri!$B$11,I73&gt;=Parametri!$B$10,I74&lt;Parametri!$B$10),ROW(),0))</f>
        <v>0</v>
      </c>
      <c r="O73" s="41"/>
      <c r="P73" s="41"/>
      <c r="Q73" s="13" t="str">
        <f t="shared" ref="Q73:Q104" si="36">IF(OR(O73="",P$4=""),"",P73/P$4)</f>
        <v/>
      </c>
      <c r="R73" s="23" t="str">
        <f t="shared" ref="R73:R108" si="37">IF(OR(O73="",O74="",O73&lt;=0),"",IFERROR(LN(P74/P73)/LN(O74/O73),""))</f>
        <v/>
      </c>
      <c r="S73" s="34" t="str">
        <f t="shared" ref="S73:S108" si="38">IF(OR(O73="",P$3="",O73&lt;=0),"",P73*O73/P$3)</f>
        <v/>
      </c>
      <c r="T73" s="18">
        <f>IF(OR(O73="",O74=""),0,IF(AND(O73&gt;=Parametri!$B$11,P73&gt;=Parametri!$B$10,P74&lt;Parametri!$B$10),ROW(),0))</f>
        <v>0</v>
      </c>
      <c r="V73" s="41"/>
      <c r="W73" s="41"/>
      <c r="X73" s="13" t="str">
        <f t="shared" ref="X73:X104" si="39">IF(OR(V73="",W$4=""),"",W73/W$4)</f>
        <v/>
      </c>
      <c r="Y73" s="23" t="str">
        <f t="shared" ref="Y73:Y108" si="40">IF(OR(V73="",V74="",V73&lt;=0),"",IFERROR(LN(W74/W73)/LN(V74/V73),""))</f>
        <v/>
      </c>
      <c r="Z73" s="34" t="str">
        <f t="shared" ref="Z73:Z108" si="41">IF(OR(V73="",W$3="",V73&lt;=0),"",W73*V73/W$3)</f>
        <v/>
      </c>
      <c r="AA73" s="18">
        <f>IF(OR(V73="",V74=""),0,IF(AND(V73&gt;=Parametri!$B$11,W73&gt;=Parametri!$B$10,W74&lt;Parametri!$B$10),ROW(),0))</f>
        <v>0</v>
      </c>
      <c r="AC73" s="41"/>
      <c r="AD73" s="41"/>
      <c r="AE73" s="13" t="str">
        <f t="shared" ref="AE73:AE104" si="42">IF(OR(AC73="",AD$4=""),"",AD73/AD$4)</f>
        <v/>
      </c>
      <c r="AF73" s="23" t="str">
        <f t="shared" ref="AF73:AF108" si="43">IF(OR(AC73="",AC74="",AC73&lt;=0),"",IFERROR(LN(AD74/AD73)/LN(AC74/AC73),""))</f>
        <v/>
      </c>
      <c r="AG73" s="34" t="str">
        <f t="shared" ref="AG73:AG108" si="44">IF(OR(AC73="",AD$3="",AC73&lt;=0),"",AD73*AC73/AD$3)</f>
        <v/>
      </c>
      <c r="AH73" s="18">
        <f>IF(OR(AC73="",AC74=""),0,IF(AND(AC73&gt;=Parametri!$B$11,AD73&gt;=Parametri!$B$10,AD74&lt;Parametri!$B$10),ROW(),0))</f>
        <v>0</v>
      </c>
    </row>
    <row r="74" spans="1:34" x14ac:dyDescent="0.25">
      <c r="A74" s="41"/>
      <c r="B74" s="41"/>
      <c r="C74" s="13" t="str">
        <f t="shared" si="30"/>
        <v/>
      </c>
      <c r="D74" s="23" t="str">
        <f t="shared" si="31"/>
        <v/>
      </c>
      <c r="E74" s="34" t="str">
        <f t="shared" si="32"/>
        <v/>
      </c>
      <c r="F74" s="18">
        <f>IF(OR(A74="",A75=""),0,IF(AND(A74&gt;=Parametri!$B$11,B74&gt;=Parametri!$B$10,B75&lt;Parametri!$B$10),ROW(),0))</f>
        <v>0</v>
      </c>
      <c r="H74" s="41"/>
      <c r="I74" s="41"/>
      <c r="J74" s="13" t="str">
        <f t="shared" si="33"/>
        <v/>
      </c>
      <c r="K74" s="23" t="str">
        <f t="shared" si="34"/>
        <v/>
      </c>
      <c r="L74" s="34" t="str">
        <f t="shared" si="35"/>
        <v/>
      </c>
      <c r="M74" s="18">
        <f>IF(OR(H74="",H75=""),0,IF(AND(H74&gt;=Parametri!$B$11,I74&gt;=Parametri!$B$10,I75&lt;Parametri!$B$10),ROW(),0))</f>
        <v>0</v>
      </c>
      <c r="O74" s="41"/>
      <c r="P74" s="41"/>
      <c r="Q74" s="13" t="str">
        <f t="shared" si="36"/>
        <v/>
      </c>
      <c r="R74" s="23" t="str">
        <f t="shared" si="37"/>
        <v/>
      </c>
      <c r="S74" s="34" t="str">
        <f t="shared" si="38"/>
        <v/>
      </c>
      <c r="T74" s="18">
        <f>IF(OR(O74="",O75=""),0,IF(AND(O74&gt;=Parametri!$B$11,P74&gt;=Parametri!$B$10,P75&lt;Parametri!$B$10),ROW(),0))</f>
        <v>0</v>
      </c>
      <c r="V74" s="41"/>
      <c r="W74" s="41"/>
      <c r="X74" s="13" t="str">
        <f t="shared" si="39"/>
        <v/>
      </c>
      <c r="Y74" s="23" t="str">
        <f t="shared" si="40"/>
        <v/>
      </c>
      <c r="Z74" s="34" t="str">
        <f t="shared" si="41"/>
        <v/>
      </c>
      <c r="AA74" s="18">
        <f>IF(OR(V74="",V75=""),0,IF(AND(V74&gt;=Parametri!$B$11,W74&gt;=Parametri!$B$10,W75&lt;Parametri!$B$10),ROW(),0))</f>
        <v>0</v>
      </c>
      <c r="AC74" s="41"/>
      <c r="AD74" s="41"/>
      <c r="AE74" s="13" t="str">
        <f t="shared" si="42"/>
        <v/>
      </c>
      <c r="AF74" s="23" t="str">
        <f t="shared" si="43"/>
        <v/>
      </c>
      <c r="AG74" s="34" t="str">
        <f t="shared" si="44"/>
        <v/>
      </c>
      <c r="AH74" s="18">
        <f>IF(OR(AC74="",AC75=""),0,IF(AND(AC74&gt;=Parametri!$B$11,AD74&gt;=Parametri!$B$10,AD75&lt;Parametri!$B$10),ROW(),0))</f>
        <v>0</v>
      </c>
    </row>
    <row r="75" spans="1:34" x14ac:dyDescent="0.25">
      <c r="A75" s="41"/>
      <c r="B75" s="41"/>
      <c r="C75" s="13" t="str">
        <f t="shared" si="30"/>
        <v/>
      </c>
      <c r="D75" s="23" t="str">
        <f t="shared" si="31"/>
        <v/>
      </c>
      <c r="E75" s="34" t="str">
        <f t="shared" si="32"/>
        <v/>
      </c>
      <c r="F75" s="18">
        <f>IF(OR(A75="",A76=""),0,IF(AND(A75&gt;=Parametri!$B$11,B75&gt;=Parametri!$B$10,B76&lt;Parametri!$B$10),ROW(),0))</f>
        <v>0</v>
      </c>
      <c r="H75" s="41"/>
      <c r="I75" s="41"/>
      <c r="J75" s="13" t="str">
        <f t="shared" si="33"/>
        <v/>
      </c>
      <c r="K75" s="23" t="str">
        <f t="shared" si="34"/>
        <v/>
      </c>
      <c r="L75" s="34" t="str">
        <f t="shared" si="35"/>
        <v/>
      </c>
      <c r="M75" s="18">
        <f>IF(OR(H75="",H76=""),0,IF(AND(H75&gt;=Parametri!$B$11,I75&gt;=Parametri!$B$10,I76&lt;Parametri!$B$10),ROW(),0))</f>
        <v>0</v>
      </c>
      <c r="O75" s="41"/>
      <c r="P75" s="41"/>
      <c r="Q75" s="13" t="str">
        <f t="shared" si="36"/>
        <v/>
      </c>
      <c r="R75" s="23" t="str">
        <f t="shared" si="37"/>
        <v/>
      </c>
      <c r="S75" s="34" t="str">
        <f t="shared" si="38"/>
        <v/>
      </c>
      <c r="T75" s="18">
        <f>IF(OR(O75="",O76=""),0,IF(AND(O75&gt;=Parametri!$B$11,P75&gt;=Parametri!$B$10,P76&lt;Parametri!$B$10),ROW(),0))</f>
        <v>0</v>
      </c>
      <c r="V75" s="41"/>
      <c r="W75" s="41"/>
      <c r="X75" s="13" t="str">
        <f t="shared" si="39"/>
        <v/>
      </c>
      <c r="Y75" s="23" t="str">
        <f t="shared" si="40"/>
        <v/>
      </c>
      <c r="Z75" s="34" t="str">
        <f t="shared" si="41"/>
        <v/>
      </c>
      <c r="AA75" s="18">
        <f>IF(OR(V75="",V76=""),0,IF(AND(V75&gt;=Parametri!$B$11,W75&gt;=Parametri!$B$10,W76&lt;Parametri!$B$10),ROW(),0))</f>
        <v>0</v>
      </c>
      <c r="AC75" s="41"/>
      <c r="AD75" s="41"/>
      <c r="AE75" s="13" t="str">
        <f t="shared" si="42"/>
        <v/>
      </c>
      <c r="AF75" s="23" t="str">
        <f t="shared" si="43"/>
        <v/>
      </c>
      <c r="AG75" s="34" t="str">
        <f t="shared" si="44"/>
        <v/>
      </c>
      <c r="AH75" s="18">
        <f>IF(OR(AC75="",AC76=""),0,IF(AND(AC75&gt;=Parametri!$B$11,AD75&gt;=Parametri!$B$10,AD76&lt;Parametri!$B$10),ROW(),0))</f>
        <v>0</v>
      </c>
    </row>
    <row r="76" spans="1:34" x14ac:dyDescent="0.25">
      <c r="A76" s="41"/>
      <c r="B76" s="41"/>
      <c r="C76" s="13" t="str">
        <f t="shared" si="30"/>
        <v/>
      </c>
      <c r="D76" s="23" t="str">
        <f t="shared" si="31"/>
        <v/>
      </c>
      <c r="E76" s="34" t="str">
        <f t="shared" si="32"/>
        <v/>
      </c>
      <c r="F76" s="18">
        <f>IF(OR(A76="",A77=""),0,IF(AND(A76&gt;=Parametri!$B$11,B76&gt;=Parametri!$B$10,B77&lt;Parametri!$B$10),ROW(),0))</f>
        <v>0</v>
      </c>
      <c r="H76" s="41"/>
      <c r="I76" s="41"/>
      <c r="J76" s="13" t="str">
        <f t="shared" si="33"/>
        <v/>
      </c>
      <c r="K76" s="23" t="str">
        <f t="shared" si="34"/>
        <v/>
      </c>
      <c r="L76" s="34" t="str">
        <f t="shared" si="35"/>
        <v/>
      </c>
      <c r="M76" s="18">
        <f>IF(OR(H76="",H77=""),0,IF(AND(H76&gt;=Parametri!$B$11,I76&gt;=Parametri!$B$10,I77&lt;Parametri!$B$10),ROW(),0))</f>
        <v>0</v>
      </c>
      <c r="O76" s="41"/>
      <c r="P76" s="41"/>
      <c r="Q76" s="13" t="str">
        <f t="shared" si="36"/>
        <v/>
      </c>
      <c r="R76" s="23" t="str">
        <f t="shared" si="37"/>
        <v/>
      </c>
      <c r="S76" s="34" t="str">
        <f t="shared" si="38"/>
        <v/>
      </c>
      <c r="T76" s="18">
        <f>IF(OR(O76="",O77=""),0,IF(AND(O76&gt;=Parametri!$B$11,P76&gt;=Parametri!$B$10,P77&lt;Parametri!$B$10),ROW(),0))</f>
        <v>0</v>
      </c>
      <c r="V76" s="41"/>
      <c r="W76" s="41"/>
      <c r="X76" s="13" t="str">
        <f t="shared" si="39"/>
        <v/>
      </c>
      <c r="Y76" s="23" t="str">
        <f t="shared" si="40"/>
        <v/>
      </c>
      <c r="Z76" s="34" t="str">
        <f t="shared" si="41"/>
        <v/>
      </c>
      <c r="AA76" s="18">
        <f>IF(OR(V76="",V77=""),0,IF(AND(V76&gt;=Parametri!$B$11,W76&gt;=Parametri!$B$10,W77&lt;Parametri!$B$10),ROW(),0))</f>
        <v>0</v>
      </c>
      <c r="AC76" s="41"/>
      <c r="AD76" s="41"/>
      <c r="AE76" s="13" t="str">
        <f t="shared" si="42"/>
        <v/>
      </c>
      <c r="AF76" s="23" t="str">
        <f t="shared" si="43"/>
        <v/>
      </c>
      <c r="AG76" s="34" t="str">
        <f t="shared" si="44"/>
        <v/>
      </c>
      <c r="AH76" s="18">
        <f>IF(OR(AC76="",AC77=""),0,IF(AND(AC76&gt;=Parametri!$B$11,AD76&gt;=Parametri!$B$10,AD77&lt;Parametri!$B$10),ROW(),0))</f>
        <v>0</v>
      </c>
    </row>
    <row r="77" spans="1:34" x14ac:dyDescent="0.25">
      <c r="A77" s="41"/>
      <c r="B77" s="41"/>
      <c r="C77" s="13" t="str">
        <f t="shared" si="30"/>
        <v/>
      </c>
      <c r="D77" s="23" t="str">
        <f t="shared" si="31"/>
        <v/>
      </c>
      <c r="E77" s="34" t="str">
        <f t="shared" si="32"/>
        <v/>
      </c>
      <c r="F77" s="18">
        <f>IF(OR(A77="",A78=""),0,IF(AND(A77&gt;=Parametri!$B$11,B77&gt;=Parametri!$B$10,B78&lt;Parametri!$B$10),ROW(),0))</f>
        <v>0</v>
      </c>
      <c r="H77" s="41"/>
      <c r="I77" s="41"/>
      <c r="J77" s="13" t="str">
        <f t="shared" si="33"/>
        <v/>
      </c>
      <c r="K77" s="23" t="str">
        <f t="shared" si="34"/>
        <v/>
      </c>
      <c r="L77" s="34" t="str">
        <f t="shared" si="35"/>
        <v/>
      </c>
      <c r="M77" s="18">
        <f>IF(OR(H77="",H78=""),0,IF(AND(H77&gt;=Parametri!$B$11,I77&gt;=Parametri!$B$10,I78&lt;Parametri!$B$10),ROW(),0))</f>
        <v>0</v>
      </c>
      <c r="O77" s="41"/>
      <c r="P77" s="41"/>
      <c r="Q77" s="13" t="str">
        <f t="shared" si="36"/>
        <v/>
      </c>
      <c r="R77" s="23" t="str">
        <f t="shared" si="37"/>
        <v/>
      </c>
      <c r="S77" s="34" t="str">
        <f t="shared" si="38"/>
        <v/>
      </c>
      <c r="T77" s="18">
        <f>IF(OR(O77="",O78=""),0,IF(AND(O77&gt;=Parametri!$B$11,P77&gt;=Parametri!$B$10,P78&lt;Parametri!$B$10),ROW(),0))</f>
        <v>0</v>
      </c>
      <c r="V77" s="41"/>
      <c r="W77" s="41"/>
      <c r="X77" s="13" t="str">
        <f t="shared" si="39"/>
        <v/>
      </c>
      <c r="Y77" s="23" t="str">
        <f t="shared" si="40"/>
        <v/>
      </c>
      <c r="Z77" s="34" t="str">
        <f t="shared" si="41"/>
        <v/>
      </c>
      <c r="AA77" s="18">
        <f>IF(OR(V77="",V78=""),0,IF(AND(V77&gt;=Parametri!$B$11,W77&gt;=Parametri!$B$10,W78&lt;Parametri!$B$10),ROW(),0))</f>
        <v>0</v>
      </c>
      <c r="AC77" s="41"/>
      <c r="AD77" s="41"/>
      <c r="AE77" s="13" t="str">
        <f t="shared" si="42"/>
        <v/>
      </c>
      <c r="AF77" s="23" t="str">
        <f t="shared" si="43"/>
        <v/>
      </c>
      <c r="AG77" s="34" t="str">
        <f t="shared" si="44"/>
        <v/>
      </c>
      <c r="AH77" s="18">
        <f>IF(OR(AC77="",AC78=""),0,IF(AND(AC77&gt;=Parametri!$B$11,AD77&gt;=Parametri!$B$10,AD78&lt;Parametri!$B$10),ROW(),0))</f>
        <v>0</v>
      </c>
    </row>
    <row r="78" spans="1:34" x14ac:dyDescent="0.25">
      <c r="A78" s="41"/>
      <c r="B78" s="41"/>
      <c r="C78" s="13" t="str">
        <f t="shared" si="30"/>
        <v/>
      </c>
      <c r="D78" s="23" t="str">
        <f t="shared" si="31"/>
        <v/>
      </c>
      <c r="E78" s="34" t="str">
        <f t="shared" si="32"/>
        <v/>
      </c>
      <c r="F78" s="18">
        <f>IF(OR(A78="",A79=""),0,IF(AND(A78&gt;=Parametri!$B$11,B78&gt;=Parametri!$B$10,B79&lt;Parametri!$B$10),ROW(),0))</f>
        <v>0</v>
      </c>
      <c r="H78" s="41"/>
      <c r="I78" s="41"/>
      <c r="J78" s="13" t="str">
        <f t="shared" si="33"/>
        <v/>
      </c>
      <c r="K78" s="23" t="str">
        <f t="shared" si="34"/>
        <v/>
      </c>
      <c r="L78" s="34" t="str">
        <f t="shared" si="35"/>
        <v/>
      </c>
      <c r="M78" s="18">
        <f>IF(OR(H78="",H79=""),0,IF(AND(H78&gt;=Parametri!$B$11,I78&gt;=Parametri!$B$10,I79&lt;Parametri!$B$10),ROW(),0))</f>
        <v>0</v>
      </c>
      <c r="O78" s="41"/>
      <c r="P78" s="41"/>
      <c r="Q78" s="13" t="str">
        <f t="shared" si="36"/>
        <v/>
      </c>
      <c r="R78" s="23" t="str">
        <f t="shared" si="37"/>
        <v/>
      </c>
      <c r="S78" s="34" t="str">
        <f t="shared" si="38"/>
        <v/>
      </c>
      <c r="T78" s="18">
        <f>IF(OR(O78="",O79=""),0,IF(AND(O78&gt;=Parametri!$B$11,P78&gt;=Parametri!$B$10,P79&lt;Parametri!$B$10),ROW(),0))</f>
        <v>0</v>
      </c>
      <c r="V78" s="41"/>
      <c r="W78" s="41"/>
      <c r="X78" s="13" t="str">
        <f t="shared" si="39"/>
        <v/>
      </c>
      <c r="Y78" s="23" t="str">
        <f t="shared" si="40"/>
        <v/>
      </c>
      <c r="Z78" s="34" t="str">
        <f t="shared" si="41"/>
        <v/>
      </c>
      <c r="AA78" s="18">
        <f>IF(OR(V78="",V79=""),0,IF(AND(V78&gt;=Parametri!$B$11,W78&gt;=Parametri!$B$10,W79&lt;Parametri!$B$10),ROW(),0))</f>
        <v>0</v>
      </c>
      <c r="AC78" s="41"/>
      <c r="AD78" s="41"/>
      <c r="AE78" s="13" t="str">
        <f t="shared" si="42"/>
        <v/>
      </c>
      <c r="AF78" s="23" t="str">
        <f t="shared" si="43"/>
        <v/>
      </c>
      <c r="AG78" s="34" t="str">
        <f t="shared" si="44"/>
        <v/>
      </c>
      <c r="AH78" s="18">
        <f>IF(OR(AC78="",AC79=""),0,IF(AND(AC78&gt;=Parametri!$B$11,AD78&gt;=Parametri!$B$10,AD79&lt;Parametri!$B$10),ROW(),0))</f>
        <v>0</v>
      </c>
    </row>
    <row r="79" spans="1:34" x14ac:dyDescent="0.25">
      <c r="A79" s="41"/>
      <c r="B79" s="41"/>
      <c r="C79" s="13" t="str">
        <f t="shared" si="30"/>
        <v/>
      </c>
      <c r="D79" s="23" t="str">
        <f t="shared" si="31"/>
        <v/>
      </c>
      <c r="E79" s="34" t="str">
        <f t="shared" si="32"/>
        <v/>
      </c>
      <c r="F79" s="18">
        <f>IF(OR(A79="",A80=""),0,IF(AND(A79&gt;=Parametri!$B$11,B79&gt;=Parametri!$B$10,B80&lt;Parametri!$B$10),ROW(),0))</f>
        <v>0</v>
      </c>
      <c r="H79" s="41"/>
      <c r="I79" s="41"/>
      <c r="J79" s="13" t="str">
        <f t="shared" si="33"/>
        <v/>
      </c>
      <c r="K79" s="23" t="str">
        <f t="shared" si="34"/>
        <v/>
      </c>
      <c r="L79" s="34" t="str">
        <f t="shared" si="35"/>
        <v/>
      </c>
      <c r="M79" s="18">
        <f>IF(OR(H79="",H80=""),0,IF(AND(H79&gt;=Parametri!$B$11,I79&gt;=Parametri!$B$10,I80&lt;Parametri!$B$10),ROW(),0))</f>
        <v>0</v>
      </c>
      <c r="O79" s="41"/>
      <c r="P79" s="41"/>
      <c r="Q79" s="13" t="str">
        <f t="shared" si="36"/>
        <v/>
      </c>
      <c r="R79" s="23" t="str">
        <f t="shared" si="37"/>
        <v/>
      </c>
      <c r="S79" s="34" t="str">
        <f t="shared" si="38"/>
        <v/>
      </c>
      <c r="T79" s="18">
        <f>IF(OR(O79="",O80=""),0,IF(AND(O79&gt;=Parametri!$B$11,P79&gt;=Parametri!$B$10,P80&lt;Parametri!$B$10),ROW(),0))</f>
        <v>0</v>
      </c>
      <c r="V79" s="41"/>
      <c r="W79" s="41"/>
      <c r="X79" s="13" t="str">
        <f t="shared" si="39"/>
        <v/>
      </c>
      <c r="Y79" s="23" t="str">
        <f t="shared" si="40"/>
        <v/>
      </c>
      <c r="Z79" s="34" t="str">
        <f t="shared" si="41"/>
        <v/>
      </c>
      <c r="AA79" s="18">
        <f>IF(OR(V79="",V80=""),0,IF(AND(V79&gt;=Parametri!$B$11,W79&gt;=Parametri!$B$10,W80&lt;Parametri!$B$10),ROW(),0))</f>
        <v>0</v>
      </c>
      <c r="AC79" s="41"/>
      <c r="AD79" s="41"/>
      <c r="AE79" s="13" t="str">
        <f t="shared" si="42"/>
        <v/>
      </c>
      <c r="AF79" s="23" t="str">
        <f t="shared" si="43"/>
        <v/>
      </c>
      <c r="AG79" s="34" t="str">
        <f t="shared" si="44"/>
        <v/>
      </c>
      <c r="AH79" s="18">
        <f>IF(OR(AC79="",AC80=""),0,IF(AND(AC79&gt;=Parametri!$B$11,AD79&gt;=Parametri!$B$10,AD80&lt;Parametri!$B$10),ROW(),0))</f>
        <v>0</v>
      </c>
    </row>
    <row r="80" spans="1:34" x14ac:dyDescent="0.25">
      <c r="A80" s="41"/>
      <c r="B80" s="41"/>
      <c r="C80" s="13" t="str">
        <f t="shared" si="30"/>
        <v/>
      </c>
      <c r="D80" s="23" t="str">
        <f t="shared" si="31"/>
        <v/>
      </c>
      <c r="E80" s="34" t="str">
        <f t="shared" si="32"/>
        <v/>
      </c>
      <c r="F80" s="18">
        <f>IF(OR(A80="",A81=""),0,IF(AND(A80&gt;=Parametri!$B$11,B80&gt;=Parametri!$B$10,B81&lt;Parametri!$B$10),ROW(),0))</f>
        <v>0</v>
      </c>
      <c r="H80" s="41"/>
      <c r="I80" s="41"/>
      <c r="J80" s="13" t="str">
        <f t="shared" si="33"/>
        <v/>
      </c>
      <c r="K80" s="23" t="str">
        <f t="shared" si="34"/>
        <v/>
      </c>
      <c r="L80" s="34" t="str">
        <f t="shared" si="35"/>
        <v/>
      </c>
      <c r="M80" s="18">
        <f>IF(OR(H80="",H81=""),0,IF(AND(H80&gt;=Parametri!$B$11,I80&gt;=Parametri!$B$10,I81&lt;Parametri!$B$10),ROW(),0))</f>
        <v>0</v>
      </c>
      <c r="O80" s="41"/>
      <c r="P80" s="41"/>
      <c r="Q80" s="13" t="str">
        <f t="shared" si="36"/>
        <v/>
      </c>
      <c r="R80" s="23" t="str">
        <f t="shared" si="37"/>
        <v/>
      </c>
      <c r="S80" s="34" t="str">
        <f t="shared" si="38"/>
        <v/>
      </c>
      <c r="T80" s="18">
        <f>IF(OR(O80="",O81=""),0,IF(AND(O80&gt;=Parametri!$B$11,P80&gt;=Parametri!$B$10,P81&lt;Parametri!$B$10),ROW(),0))</f>
        <v>0</v>
      </c>
      <c r="V80" s="41"/>
      <c r="W80" s="41"/>
      <c r="X80" s="13" t="str">
        <f t="shared" si="39"/>
        <v/>
      </c>
      <c r="Y80" s="23" t="str">
        <f t="shared" si="40"/>
        <v/>
      </c>
      <c r="Z80" s="34" t="str">
        <f t="shared" si="41"/>
        <v/>
      </c>
      <c r="AA80" s="18">
        <f>IF(OR(V80="",V81=""),0,IF(AND(V80&gt;=Parametri!$B$11,W80&gt;=Parametri!$B$10,W81&lt;Parametri!$B$10),ROW(),0))</f>
        <v>0</v>
      </c>
      <c r="AC80" s="41"/>
      <c r="AD80" s="41"/>
      <c r="AE80" s="13" t="str">
        <f t="shared" si="42"/>
        <v/>
      </c>
      <c r="AF80" s="23" t="str">
        <f t="shared" si="43"/>
        <v/>
      </c>
      <c r="AG80" s="34" t="str">
        <f t="shared" si="44"/>
        <v/>
      </c>
      <c r="AH80" s="18">
        <f>IF(OR(AC80="",AC81=""),0,IF(AND(AC80&gt;=Parametri!$B$11,AD80&gt;=Parametri!$B$10,AD81&lt;Parametri!$B$10),ROW(),0))</f>
        <v>0</v>
      </c>
    </row>
    <row r="81" spans="1:34" x14ac:dyDescent="0.25">
      <c r="A81" s="41"/>
      <c r="B81" s="41"/>
      <c r="C81" s="13" t="str">
        <f t="shared" si="30"/>
        <v/>
      </c>
      <c r="D81" s="23" t="str">
        <f t="shared" si="31"/>
        <v/>
      </c>
      <c r="E81" s="34" t="str">
        <f t="shared" si="32"/>
        <v/>
      </c>
      <c r="F81" s="18">
        <f>IF(OR(A81="",A82=""),0,IF(AND(A81&gt;=Parametri!$B$11,B81&gt;=Parametri!$B$10,B82&lt;Parametri!$B$10),ROW(),0))</f>
        <v>0</v>
      </c>
      <c r="H81" s="41"/>
      <c r="I81" s="41"/>
      <c r="J81" s="13" t="str">
        <f t="shared" si="33"/>
        <v/>
      </c>
      <c r="K81" s="23" t="str">
        <f t="shared" si="34"/>
        <v/>
      </c>
      <c r="L81" s="34" t="str">
        <f t="shared" si="35"/>
        <v/>
      </c>
      <c r="M81" s="18">
        <f>IF(OR(H81="",H82=""),0,IF(AND(H81&gt;=Parametri!$B$11,I81&gt;=Parametri!$B$10,I82&lt;Parametri!$B$10),ROW(),0))</f>
        <v>0</v>
      </c>
      <c r="O81" s="41"/>
      <c r="P81" s="41"/>
      <c r="Q81" s="13" t="str">
        <f t="shared" si="36"/>
        <v/>
      </c>
      <c r="R81" s="23" t="str">
        <f t="shared" si="37"/>
        <v/>
      </c>
      <c r="S81" s="34" t="str">
        <f t="shared" si="38"/>
        <v/>
      </c>
      <c r="T81" s="18">
        <f>IF(OR(O81="",O82=""),0,IF(AND(O81&gt;=Parametri!$B$11,P81&gt;=Parametri!$B$10,P82&lt;Parametri!$B$10),ROW(),0))</f>
        <v>0</v>
      </c>
      <c r="V81" s="41"/>
      <c r="W81" s="41"/>
      <c r="X81" s="13" t="str">
        <f t="shared" si="39"/>
        <v/>
      </c>
      <c r="Y81" s="23" t="str">
        <f t="shared" si="40"/>
        <v/>
      </c>
      <c r="Z81" s="34" t="str">
        <f t="shared" si="41"/>
        <v/>
      </c>
      <c r="AA81" s="18">
        <f>IF(OR(V81="",V82=""),0,IF(AND(V81&gt;=Parametri!$B$11,W81&gt;=Parametri!$B$10,W82&lt;Parametri!$B$10),ROW(),0))</f>
        <v>0</v>
      </c>
      <c r="AC81" s="41"/>
      <c r="AD81" s="41"/>
      <c r="AE81" s="13" t="str">
        <f t="shared" si="42"/>
        <v/>
      </c>
      <c r="AF81" s="23" t="str">
        <f t="shared" si="43"/>
        <v/>
      </c>
      <c r="AG81" s="34" t="str">
        <f t="shared" si="44"/>
        <v/>
      </c>
      <c r="AH81" s="18">
        <f>IF(OR(AC81="",AC82=""),0,IF(AND(AC81&gt;=Parametri!$B$11,AD81&gt;=Parametri!$B$10,AD82&lt;Parametri!$B$10),ROW(),0))</f>
        <v>0</v>
      </c>
    </row>
    <row r="82" spans="1:34" x14ac:dyDescent="0.25">
      <c r="A82" s="41"/>
      <c r="B82" s="41"/>
      <c r="C82" s="13" t="str">
        <f t="shared" si="30"/>
        <v/>
      </c>
      <c r="D82" s="23" t="str">
        <f t="shared" si="31"/>
        <v/>
      </c>
      <c r="E82" s="34" t="str">
        <f t="shared" si="32"/>
        <v/>
      </c>
      <c r="F82" s="18">
        <f>IF(OR(A82="",A83=""),0,IF(AND(A82&gt;=Parametri!$B$11,B82&gt;=Parametri!$B$10,B83&lt;Parametri!$B$10),ROW(),0))</f>
        <v>0</v>
      </c>
      <c r="H82" s="41"/>
      <c r="I82" s="41"/>
      <c r="J82" s="13" t="str">
        <f t="shared" si="33"/>
        <v/>
      </c>
      <c r="K82" s="23" t="str">
        <f t="shared" si="34"/>
        <v/>
      </c>
      <c r="L82" s="34" t="str">
        <f t="shared" si="35"/>
        <v/>
      </c>
      <c r="M82" s="18">
        <f>IF(OR(H82="",H83=""),0,IF(AND(H82&gt;=Parametri!$B$11,I82&gt;=Parametri!$B$10,I83&lt;Parametri!$B$10),ROW(),0))</f>
        <v>0</v>
      </c>
      <c r="O82" s="41"/>
      <c r="P82" s="41"/>
      <c r="Q82" s="13" t="str">
        <f t="shared" si="36"/>
        <v/>
      </c>
      <c r="R82" s="23" t="str">
        <f t="shared" si="37"/>
        <v/>
      </c>
      <c r="S82" s="34" t="str">
        <f t="shared" si="38"/>
        <v/>
      </c>
      <c r="T82" s="18">
        <f>IF(OR(O82="",O83=""),0,IF(AND(O82&gt;=Parametri!$B$11,P82&gt;=Parametri!$B$10,P83&lt;Parametri!$B$10),ROW(),0))</f>
        <v>0</v>
      </c>
      <c r="V82" s="41"/>
      <c r="W82" s="41"/>
      <c r="X82" s="13" t="str">
        <f t="shared" si="39"/>
        <v/>
      </c>
      <c r="Y82" s="23" t="str">
        <f t="shared" si="40"/>
        <v/>
      </c>
      <c r="Z82" s="34" t="str">
        <f t="shared" si="41"/>
        <v/>
      </c>
      <c r="AA82" s="18">
        <f>IF(OR(V82="",V83=""),0,IF(AND(V82&gt;=Parametri!$B$11,W82&gt;=Parametri!$B$10,W83&lt;Parametri!$B$10),ROW(),0))</f>
        <v>0</v>
      </c>
      <c r="AC82" s="41"/>
      <c r="AD82" s="41"/>
      <c r="AE82" s="13" t="str">
        <f t="shared" si="42"/>
        <v/>
      </c>
      <c r="AF82" s="23" t="str">
        <f t="shared" si="43"/>
        <v/>
      </c>
      <c r="AG82" s="34" t="str">
        <f t="shared" si="44"/>
        <v/>
      </c>
      <c r="AH82" s="18">
        <f>IF(OR(AC82="",AC83=""),0,IF(AND(AC82&gt;=Parametri!$B$11,AD82&gt;=Parametri!$B$10,AD83&lt;Parametri!$B$10),ROW(),0))</f>
        <v>0</v>
      </c>
    </row>
    <row r="83" spans="1:34" x14ac:dyDescent="0.25">
      <c r="A83" s="41"/>
      <c r="B83" s="41"/>
      <c r="C83" s="13" t="str">
        <f t="shared" si="30"/>
        <v/>
      </c>
      <c r="D83" s="23" t="str">
        <f t="shared" si="31"/>
        <v/>
      </c>
      <c r="E83" s="34" t="str">
        <f t="shared" si="32"/>
        <v/>
      </c>
      <c r="F83" s="18">
        <f>IF(OR(A83="",A84=""),0,IF(AND(A83&gt;=Parametri!$B$11,B83&gt;=Parametri!$B$10,B84&lt;Parametri!$B$10),ROW(),0))</f>
        <v>0</v>
      </c>
      <c r="H83" s="41"/>
      <c r="I83" s="41"/>
      <c r="J83" s="13" t="str">
        <f t="shared" si="33"/>
        <v/>
      </c>
      <c r="K83" s="23" t="str">
        <f t="shared" si="34"/>
        <v/>
      </c>
      <c r="L83" s="34" t="str">
        <f t="shared" si="35"/>
        <v/>
      </c>
      <c r="M83" s="18">
        <f>IF(OR(H83="",H84=""),0,IF(AND(H83&gt;=Parametri!$B$11,I83&gt;=Parametri!$B$10,I84&lt;Parametri!$B$10),ROW(),0))</f>
        <v>0</v>
      </c>
      <c r="O83" s="41"/>
      <c r="P83" s="41"/>
      <c r="Q83" s="13" t="str">
        <f t="shared" si="36"/>
        <v/>
      </c>
      <c r="R83" s="23" t="str">
        <f t="shared" si="37"/>
        <v/>
      </c>
      <c r="S83" s="34" t="str">
        <f t="shared" si="38"/>
        <v/>
      </c>
      <c r="T83" s="18">
        <f>IF(OR(O83="",O84=""),0,IF(AND(O83&gt;=Parametri!$B$11,P83&gt;=Parametri!$B$10,P84&lt;Parametri!$B$10),ROW(),0))</f>
        <v>0</v>
      </c>
      <c r="V83" s="41"/>
      <c r="W83" s="41"/>
      <c r="X83" s="13" t="str">
        <f t="shared" si="39"/>
        <v/>
      </c>
      <c r="Y83" s="23" t="str">
        <f t="shared" si="40"/>
        <v/>
      </c>
      <c r="Z83" s="34" t="str">
        <f t="shared" si="41"/>
        <v/>
      </c>
      <c r="AA83" s="18">
        <f>IF(OR(V83="",V84=""),0,IF(AND(V83&gt;=Parametri!$B$11,W83&gt;=Parametri!$B$10,W84&lt;Parametri!$B$10),ROW(),0))</f>
        <v>0</v>
      </c>
      <c r="AC83" s="41"/>
      <c r="AD83" s="41"/>
      <c r="AE83" s="13" t="str">
        <f t="shared" si="42"/>
        <v/>
      </c>
      <c r="AF83" s="23" t="str">
        <f t="shared" si="43"/>
        <v/>
      </c>
      <c r="AG83" s="34" t="str">
        <f t="shared" si="44"/>
        <v/>
      </c>
      <c r="AH83" s="18">
        <f>IF(OR(AC83="",AC84=""),0,IF(AND(AC83&gt;=Parametri!$B$11,AD83&gt;=Parametri!$B$10,AD84&lt;Parametri!$B$10),ROW(),0))</f>
        <v>0</v>
      </c>
    </row>
    <row r="84" spans="1:34" x14ac:dyDescent="0.25">
      <c r="A84" s="41"/>
      <c r="B84" s="41"/>
      <c r="C84" s="13" t="str">
        <f t="shared" si="30"/>
        <v/>
      </c>
      <c r="D84" s="23" t="str">
        <f t="shared" si="31"/>
        <v/>
      </c>
      <c r="E84" s="34" t="str">
        <f t="shared" si="32"/>
        <v/>
      </c>
      <c r="F84" s="18">
        <f>IF(OR(A84="",A85=""),0,IF(AND(A84&gt;=Parametri!$B$11,B84&gt;=Parametri!$B$10,B85&lt;Parametri!$B$10),ROW(),0))</f>
        <v>0</v>
      </c>
      <c r="H84" s="41"/>
      <c r="I84" s="41"/>
      <c r="J84" s="13" t="str">
        <f t="shared" si="33"/>
        <v/>
      </c>
      <c r="K84" s="23" t="str">
        <f t="shared" si="34"/>
        <v/>
      </c>
      <c r="L84" s="34" t="str">
        <f t="shared" si="35"/>
        <v/>
      </c>
      <c r="M84" s="18">
        <f>IF(OR(H84="",H85=""),0,IF(AND(H84&gt;=Parametri!$B$11,I84&gt;=Parametri!$B$10,I85&lt;Parametri!$B$10),ROW(),0))</f>
        <v>0</v>
      </c>
      <c r="O84" s="41"/>
      <c r="P84" s="41"/>
      <c r="Q84" s="13" t="str">
        <f t="shared" si="36"/>
        <v/>
      </c>
      <c r="R84" s="23" t="str">
        <f t="shared" si="37"/>
        <v/>
      </c>
      <c r="S84" s="34" t="str">
        <f t="shared" si="38"/>
        <v/>
      </c>
      <c r="T84" s="18">
        <f>IF(OR(O84="",O85=""),0,IF(AND(O84&gt;=Parametri!$B$11,P84&gt;=Parametri!$B$10,P85&lt;Parametri!$B$10),ROW(),0))</f>
        <v>0</v>
      </c>
      <c r="V84" s="41"/>
      <c r="W84" s="41"/>
      <c r="X84" s="13" t="str">
        <f t="shared" si="39"/>
        <v/>
      </c>
      <c r="Y84" s="23" t="str">
        <f t="shared" si="40"/>
        <v/>
      </c>
      <c r="Z84" s="34" t="str">
        <f t="shared" si="41"/>
        <v/>
      </c>
      <c r="AA84" s="18">
        <f>IF(OR(V84="",V85=""),0,IF(AND(V84&gt;=Parametri!$B$11,W84&gt;=Parametri!$B$10,W85&lt;Parametri!$B$10),ROW(),0))</f>
        <v>0</v>
      </c>
      <c r="AC84" s="41"/>
      <c r="AD84" s="41"/>
      <c r="AE84" s="13" t="str">
        <f t="shared" si="42"/>
        <v/>
      </c>
      <c r="AF84" s="23" t="str">
        <f t="shared" si="43"/>
        <v/>
      </c>
      <c r="AG84" s="34" t="str">
        <f t="shared" si="44"/>
        <v/>
      </c>
      <c r="AH84" s="18">
        <f>IF(OR(AC84="",AC85=""),0,IF(AND(AC84&gt;=Parametri!$B$11,AD84&gt;=Parametri!$B$10,AD85&lt;Parametri!$B$10),ROW(),0))</f>
        <v>0</v>
      </c>
    </row>
    <row r="85" spans="1:34" x14ac:dyDescent="0.25">
      <c r="A85" s="41"/>
      <c r="B85" s="41"/>
      <c r="C85" s="13" t="str">
        <f t="shared" si="30"/>
        <v/>
      </c>
      <c r="D85" s="23" t="str">
        <f t="shared" si="31"/>
        <v/>
      </c>
      <c r="E85" s="34" t="str">
        <f t="shared" si="32"/>
        <v/>
      </c>
      <c r="F85" s="18">
        <f>IF(OR(A85="",A86=""),0,IF(AND(A85&gt;=Parametri!$B$11,B85&gt;=Parametri!$B$10,B86&lt;Parametri!$B$10),ROW(),0))</f>
        <v>0</v>
      </c>
      <c r="H85" s="41"/>
      <c r="I85" s="41"/>
      <c r="J85" s="13" t="str">
        <f t="shared" si="33"/>
        <v/>
      </c>
      <c r="K85" s="23" t="str">
        <f t="shared" si="34"/>
        <v/>
      </c>
      <c r="L85" s="34" t="str">
        <f t="shared" si="35"/>
        <v/>
      </c>
      <c r="M85" s="18">
        <f>IF(OR(H85="",H86=""),0,IF(AND(H85&gt;=Parametri!$B$11,I85&gt;=Parametri!$B$10,I86&lt;Parametri!$B$10),ROW(),0))</f>
        <v>0</v>
      </c>
      <c r="O85" s="41"/>
      <c r="P85" s="41"/>
      <c r="Q85" s="13" t="str">
        <f t="shared" si="36"/>
        <v/>
      </c>
      <c r="R85" s="23" t="str">
        <f t="shared" si="37"/>
        <v/>
      </c>
      <c r="S85" s="34" t="str">
        <f t="shared" si="38"/>
        <v/>
      </c>
      <c r="T85" s="18">
        <f>IF(OR(O85="",O86=""),0,IF(AND(O85&gt;=Parametri!$B$11,P85&gt;=Parametri!$B$10,P86&lt;Parametri!$B$10),ROW(),0))</f>
        <v>0</v>
      </c>
      <c r="V85" s="41"/>
      <c r="W85" s="41"/>
      <c r="X85" s="13" t="str">
        <f t="shared" si="39"/>
        <v/>
      </c>
      <c r="Y85" s="23" t="str">
        <f t="shared" si="40"/>
        <v/>
      </c>
      <c r="Z85" s="34" t="str">
        <f t="shared" si="41"/>
        <v/>
      </c>
      <c r="AA85" s="18">
        <f>IF(OR(V85="",V86=""),0,IF(AND(V85&gt;=Parametri!$B$11,W85&gt;=Parametri!$B$10,W86&lt;Parametri!$B$10),ROW(),0))</f>
        <v>0</v>
      </c>
      <c r="AC85" s="41"/>
      <c r="AD85" s="41"/>
      <c r="AE85" s="13" t="str">
        <f t="shared" si="42"/>
        <v/>
      </c>
      <c r="AF85" s="23" t="str">
        <f t="shared" si="43"/>
        <v/>
      </c>
      <c r="AG85" s="34" t="str">
        <f t="shared" si="44"/>
        <v/>
      </c>
      <c r="AH85" s="18">
        <f>IF(OR(AC85="",AC86=""),0,IF(AND(AC85&gt;=Parametri!$B$11,AD85&gt;=Parametri!$B$10,AD86&lt;Parametri!$B$10),ROW(),0))</f>
        <v>0</v>
      </c>
    </row>
    <row r="86" spans="1:34" x14ac:dyDescent="0.25">
      <c r="A86" s="41"/>
      <c r="B86" s="41"/>
      <c r="C86" s="13" t="str">
        <f t="shared" si="30"/>
        <v/>
      </c>
      <c r="D86" s="23" t="str">
        <f t="shared" si="31"/>
        <v/>
      </c>
      <c r="E86" s="34" t="str">
        <f t="shared" si="32"/>
        <v/>
      </c>
      <c r="F86" s="18">
        <f>IF(OR(A86="",A87=""),0,IF(AND(A86&gt;=Parametri!$B$11,B86&gt;=Parametri!$B$10,B87&lt;Parametri!$B$10),ROW(),0))</f>
        <v>0</v>
      </c>
      <c r="H86" s="41"/>
      <c r="I86" s="41"/>
      <c r="J86" s="13" t="str">
        <f t="shared" si="33"/>
        <v/>
      </c>
      <c r="K86" s="23" t="str">
        <f t="shared" si="34"/>
        <v/>
      </c>
      <c r="L86" s="34" t="str">
        <f t="shared" si="35"/>
        <v/>
      </c>
      <c r="M86" s="18">
        <f>IF(OR(H86="",H87=""),0,IF(AND(H86&gt;=Parametri!$B$11,I86&gt;=Parametri!$B$10,I87&lt;Parametri!$B$10),ROW(),0))</f>
        <v>0</v>
      </c>
      <c r="O86" s="41"/>
      <c r="P86" s="41"/>
      <c r="Q86" s="13" t="str">
        <f t="shared" si="36"/>
        <v/>
      </c>
      <c r="R86" s="23" t="str">
        <f t="shared" si="37"/>
        <v/>
      </c>
      <c r="S86" s="34" t="str">
        <f t="shared" si="38"/>
        <v/>
      </c>
      <c r="T86" s="18">
        <f>IF(OR(O86="",O87=""),0,IF(AND(O86&gt;=Parametri!$B$11,P86&gt;=Parametri!$B$10,P87&lt;Parametri!$B$10),ROW(),0))</f>
        <v>0</v>
      </c>
      <c r="V86" s="41"/>
      <c r="W86" s="41"/>
      <c r="X86" s="13" t="str">
        <f t="shared" si="39"/>
        <v/>
      </c>
      <c r="Y86" s="23" t="str">
        <f t="shared" si="40"/>
        <v/>
      </c>
      <c r="Z86" s="34" t="str">
        <f t="shared" si="41"/>
        <v/>
      </c>
      <c r="AA86" s="18">
        <f>IF(OR(V86="",V87=""),0,IF(AND(V86&gt;=Parametri!$B$11,W86&gt;=Parametri!$B$10,W87&lt;Parametri!$B$10),ROW(),0))</f>
        <v>0</v>
      </c>
      <c r="AC86" s="41"/>
      <c r="AD86" s="41"/>
      <c r="AE86" s="13" t="str">
        <f t="shared" si="42"/>
        <v/>
      </c>
      <c r="AF86" s="23" t="str">
        <f t="shared" si="43"/>
        <v/>
      </c>
      <c r="AG86" s="34" t="str">
        <f t="shared" si="44"/>
        <v/>
      </c>
      <c r="AH86" s="18">
        <f>IF(OR(AC86="",AC87=""),0,IF(AND(AC86&gt;=Parametri!$B$11,AD86&gt;=Parametri!$B$10,AD87&lt;Parametri!$B$10),ROW(),0))</f>
        <v>0</v>
      </c>
    </row>
    <row r="87" spans="1:34" x14ac:dyDescent="0.25">
      <c r="A87" s="41"/>
      <c r="B87" s="41"/>
      <c r="C87" s="13" t="str">
        <f t="shared" si="30"/>
        <v/>
      </c>
      <c r="D87" s="23" t="str">
        <f t="shared" si="31"/>
        <v/>
      </c>
      <c r="E87" s="34" t="str">
        <f t="shared" si="32"/>
        <v/>
      </c>
      <c r="F87" s="18">
        <f>IF(OR(A87="",A88=""),0,IF(AND(A87&gt;=Parametri!$B$11,B87&gt;=Parametri!$B$10,B88&lt;Parametri!$B$10),ROW(),0))</f>
        <v>0</v>
      </c>
      <c r="H87" s="41"/>
      <c r="I87" s="41"/>
      <c r="J87" s="13" t="str">
        <f t="shared" si="33"/>
        <v/>
      </c>
      <c r="K87" s="23" t="str">
        <f t="shared" si="34"/>
        <v/>
      </c>
      <c r="L87" s="34" t="str">
        <f t="shared" si="35"/>
        <v/>
      </c>
      <c r="M87" s="18">
        <f>IF(OR(H87="",H88=""),0,IF(AND(H87&gt;=Parametri!$B$11,I87&gt;=Parametri!$B$10,I88&lt;Parametri!$B$10),ROW(),0))</f>
        <v>0</v>
      </c>
      <c r="O87" s="41"/>
      <c r="P87" s="41"/>
      <c r="Q87" s="13" t="str">
        <f t="shared" si="36"/>
        <v/>
      </c>
      <c r="R87" s="23" t="str">
        <f t="shared" si="37"/>
        <v/>
      </c>
      <c r="S87" s="34" t="str">
        <f t="shared" si="38"/>
        <v/>
      </c>
      <c r="T87" s="18">
        <f>IF(OR(O87="",O88=""),0,IF(AND(O87&gt;=Parametri!$B$11,P87&gt;=Parametri!$B$10,P88&lt;Parametri!$B$10),ROW(),0))</f>
        <v>0</v>
      </c>
      <c r="V87" s="41"/>
      <c r="W87" s="41"/>
      <c r="X87" s="13" t="str">
        <f t="shared" si="39"/>
        <v/>
      </c>
      <c r="Y87" s="23" t="str">
        <f t="shared" si="40"/>
        <v/>
      </c>
      <c r="Z87" s="34" t="str">
        <f t="shared" si="41"/>
        <v/>
      </c>
      <c r="AA87" s="18">
        <f>IF(OR(V87="",V88=""),0,IF(AND(V87&gt;=Parametri!$B$11,W87&gt;=Parametri!$B$10,W88&lt;Parametri!$B$10),ROW(),0))</f>
        <v>0</v>
      </c>
      <c r="AC87" s="41"/>
      <c r="AD87" s="41"/>
      <c r="AE87" s="13" t="str">
        <f t="shared" si="42"/>
        <v/>
      </c>
      <c r="AF87" s="23" t="str">
        <f t="shared" si="43"/>
        <v/>
      </c>
      <c r="AG87" s="34" t="str">
        <f t="shared" si="44"/>
        <v/>
      </c>
      <c r="AH87" s="18">
        <f>IF(OR(AC87="",AC88=""),0,IF(AND(AC87&gt;=Parametri!$B$11,AD87&gt;=Parametri!$B$10,AD88&lt;Parametri!$B$10),ROW(),0))</f>
        <v>0</v>
      </c>
    </row>
    <row r="88" spans="1:34" x14ac:dyDescent="0.25">
      <c r="A88" s="41"/>
      <c r="B88" s="41"/>
      <c r="C88" s="13" t="str">
        <f t="shared" si="30"/>
        <v/>
      </c>
      <c r="D88" s="23" t="str">
        <f t="shared" si="31"/>
        <v/>
      </c>
      <c r="E88" s="34" t="str">
        <f t="shared" si="32"/>
        <v/>
      </c>
      <c r="F88" s="18">
        <f>IF(OR(A88="",A89=""),0,IF(AND(A88&gt;=Parametri!$B$11,B88&gt;=Parametri!$B$10,B89&lt;Parametri!$B$10),ROW(),0))</f>
        <v>0</v>
      </c>
      <c r="H88" s="41"/>
      <c r="I88" s="41"/>
      <c r="J88" s="13" t="str">
        <f t="shared" si="33"/>
        <v/>
      </c>
      <c r="K88" s="23" t="str">
        <f t="shared" si="34"/>
        <v/>
      </c>
      <c r="L88" s="34" t="str">
        <f t="shared" si="35"/>
        <v/>
      </c>
      <c r="M88" s="18">
        <f>IF(OR(H88="",H89=""),0,IF(AND(H88&gt;=Parametri!$B$11,I88&gt;=Parametri!$B$10,I89&lt;Parametri!$B$10),ROW(),0))</f>
        <v>0</v>
      </c>
      <c r="O88" s="41"/>
      <c r="P88" s="41"/>
      <c r="Q88" s="13" t="str">
        <f t="shared" si="36"/>
        <v/>
      </c>
      <c r="R88" s="23" t="str">
        <f t="shared" si="37"/>
        <v/>
      </c>
      <c r="S88" s="34" t="str">
        <f t="shared" si="38"/>
        <v/>
      </c>
      <c r="T88" s="18">
        <f>IF(OR(O88="",O89=""),0,IF(AND(O88&gt;=Parametri!$B$11,P88&gt;=Parametri!$B$10,P89&lt;Parametri!$B$10),ROW(),0))</f>
        <v>0</v>
      </c>
      <c r="V88" s="41"/>
      <c r="W88" s="41"/>
      <c r="X88" s="13" t="str">
        <f t="shared" si="39"/>
        <v/>
      </c>
      <c r="Y88" s="23" t="str">
        <f t="shared" si="40"/>
        <v/>
      </c>
      <c r="Z88" s="34" t="str">
        <f t="shared" si="41"/>
        <v/>
      </c>
      <c r="AA88" s="18">
        <f>IF(OR(V88="",V89=""),0,IF(AND(V88&gt;=Parametri!$B$11,W88&gt;=Parametri!$B$10,W89&lt;Parametri!$B$10),ROW(),0))</f>
        <v>0</v>
      </c>
      <c r="AC88" s="41"/>
      <c r="AD88" s="41"/>
      <c r="AE88" s="13" t="str">
        <f t="shared" si="42"/>
        <v/>
      </c>
      <c r="AF88" s="23" t="str">
        <f t="shared" si="43"/>
        <v/>
      </c>
      <c r="AG88" s="34" t="str">
        <f t="shared" si="44"/>
        <v/>
      </c>
      <c r="AH88" s="18">
        <f>IF(OR(AC88="",AC89=""),0,IF(AND(AC88&gt;=Parametri!$B$11,AD88&gt;=Parametri!$B$10,AD89&lt;Parametri!$B$10),ROW(),0))</f>
        <v>0</v>
      </c>
    </row>
    <row r="89" spans="1:34" x14ac:dyDescent="0.25">
      <c r="A89" s="41"/>
      <c r="B89" s="41"/>
      <c r="C89" s="13" t="str">
        <f t="shared" si="30"/>
        <v/>
      </c>
      <c r="D89" s="23" t="str">
        <f t="shared" si="31"/>
        <v/>
      </c>
      <c r="E89" s="34" t="str">
        <f t="shared" si="32"/>
        <v/>
      </c>
      <c r="F89" s="18">
        <f>IF(OR(A89="",A90=""),0,IF(AND(A89&gt;=Parametri!$B$11,B89&gt;=Parametri!$B$10,B90&lt;Parametri!$B$10),ROW(),0))</f>
        <v>0</v>
      </c>
      <c r="H89" s="41"/>
      <c r="I89" s="41"/>
      <c r="J89" s="13" t="str">
        <f t="shared" si="33"/>
        <v/>
      </c>
      <c r="K89" s="23" t="str">
        <f t="shared" si="34"/>
        <v/>
      </c>
      <c r="L89" s="34" t="str">
        <f t="shared" si="35"/>
        <v/>
      </c>
      <c r="M89" s="18">
        <f>IF(OR(H89="",H90=""),0,IF(AND(H89&gt;=Parametri!$B$11,I89&gt;=Parametri!$B$10,I90&lt;Parametri!$B$10),ROW(),0))</f>
        <v>0</v>
      </c>
      <c r="O89" s="41"/>
      <c r="P89" s="41"/>
      <c r="Q89" s="13" t="str">
        <f t="shared" si="36"/>
        <v/>
      </c>
      <c r="R89" s="23" t="str">
        <f t="shared" si="37"/>
        <v/>
      </c>
      <c r="S89" s="34" t="str">
        <f t="shared" si="38"/>
        <v/>
      </c>
      <c r="T89" s="18">
        <f>IF(OR(O89="",O90=""),0,IF(AND(O89&gt;=Parametri!$B$11,P89&gt;=Parametri!$B$10,P90&lt;Parametri!$B$10),ROW(),0))</f>
        <v>0</v>
      </c>
      <c r="V89" s="41"/>
      <c r="W89" s="41"/>
      <c r="X89" s="13" t="str">
        <f t="shared" si="39"/>
        <v/>
      </c>
      <c r="Y89" s="23" t="str">
        <f t="shared" si="40"/>
        <v/>
      </c>
      <c r="Z89" s="34" t="str">
        <f t="shared" si="41"/>
        <v/>
      </c>
      <c r="AA89" s="18">
        <f>IF(OR(V89="",V90=""),0,IF(AND(V89&gt;=Parametri!$B$11,W89&gt;=Parametri!$B$10,W90&lt;Parametri!$B$10),ROW(),0))</f>
        <v>0</v>
      </c>
      <c r="AC89" s="41"/>
      <c r="AD89" s="41"/>
      <c r="AE89" s="13" t="str">
        <f t="shared" si="42"/>
        <v/>
      </c>
      <c r="AF89" s="23" t="str">
        <f t="shared" si="43"/>
        <v/>
      </c>
      <c r="AG89" s="34" t="str">
        <f t="shared" si="44"/>
        <v/>
      </c>
      <c r="AH89" s="18">
        <f>IF(OR(AC89="",AC90=""),0,IF(AND(AC89&gt;=Parametri!$B$11,AD89&gt;=Parametri!$B$10,AD90&lt;Parametri!$B$10),ROW(),0))</f>
        <v>0</v>
      </c>
    </row>
    <row r="90" spans="1:34" x14ac:dyDescent="0.25">
      <c r="A90" s="41"/>
      <c r="B90" s="41"/>
      <c r="C90" s="13" t="str">
        <f t="shared" si="30"/>
        <v/>
      </c>
      <c r="D90" s="23" t="str">
        <f t="shared" si="31"/>
        <v/>
      </c>
      <c r="E90" s="34" t="str">
        <f t="shared" si="32"/>
        <v/>
      </c>
      <c r="F90" s="18">
        <f>IF(OR(A90="",A91=""),0,IF(AND(A90&gt;=Parametri!$B$11,B90&gt;=Parametri!$B$10,B91&lt;Parametri!$B$10),ROW(),0))</f>
        <v>0</v>
      </c>
      <c r="H90" s="41"/>
      <c r="I90" s="41"/>
      <c r="J90" s="13" t="str">
        <f t="shared" si="33"/>
        <v/>
      </c>
      <c r="K90" s="23" t="str">
        <f t="shared" si="34"/>
        <v/>
      </c>
      <c r="L90" s="34" t="str">
        <f t="shared" si="35"/>
        <v/>
      </c>
      <c r="M90" s="18">
        <f>IF(OR(H90="",H91=""),0,IF(AND(H90&gt;=Parametri!$B$11,I90&gt;=Parametri!$B$10,I91&lt;Parametri!$B$10),ROW(),0))</f>
        <v>0</v>
      </c>
      <c r="O90" s="41"/>
      <c r="P90" s="41"/>
      <c r="Q90" s="13" t="str">
        <f t="shared" si="36"/>
        <v/>
      </c>
      <c r="R90" s="23" t="str">
        <f t="shared" si="37"/>
        <v/>
      </c>
      <c r="S90" s="34" t="str">
        <f t="shared" si="38"/>
        <v/>
      </c>
      <c r="T90" s="18">
        <f>IF(OR(O90="",O91=""),0,IF(AND(O90&gt;=Parametri!$B$11,P90&gt;=Parametri!$B$10,P91&lt;Parametri!$B$10),ROW(),0))</f>
        <v>0</v>
      </c>
      <c r="V90" s="41"/>
      <c r="W90" s="41"/>
      <c r="X90" s="13" t="str">
        <f t="shared" si="39"/>
        <v/>
      </c>
      <c r="Y90" s="23" t="str">
        <f t="shared" si="40"/>
        <v/>
      </c>
      <c r="Z90" s="34" t="str">
        <f t="shared" si="41"/>
        <v/>
      </c>
      <c r="AA90" s="18">
        <f>IF(OR(V90="",V91=""),0,IF(AND(V90&gt;=Parametri!$B$11,W90&gt;=Parametri!$B$10,W91&lt;Parametri!$B$10),ROW(),0))</f>
        <v>0</v>
      </c>
      <c r="AC90" s="41"/>
      <c r="AD90" s="41"/>
      <c r="AE90" s="13" t="str">
        <f t="shared" si="42"/>
        <v/>
      </c>
      <c r="AF90" s="23" t="str">
        <f t="shared" si="43"/>
        <v/>
      </c>
      <c r="AG90" s="34" t="str">
        <f t="shared" si="44"/>
        <v/>
      </c>
      <c r="AH90" s="18">
        <f>IF(OR(AC90="",AC91=""),0,IF(AND(AC90&gt;=Parametri!$B$11,AD90&gt;=Parametri!$B$10,AD91&lt;Parametri!$B$10),ROW(),0))</f>
        <v>0</v>
      </c>
    </row>
    <row r="91" spans="1:34" x14ac:dyDescent="0.25">
      <c r="A91" s="41"/>
      <c r="B91" s="41"/>
      <c r="C91" s="13" t="str">
        <f t="shared" si="30"/>
        <v/>
      </c>
      <c r="D91" s="23" t="str">
        <f t="shared" si="31"/>
        <v/>
      </c>
      <c r="E91" s="34" t="str">
        <f t="shared" si="32"/>
        <v/>
      </c>
      <c r="F91" s="18">
        <f>IF(OR(A91="",A92=""),0,IF(AND(A91&gt;=Parametri!$B$11,B91&gt;=Parametri!$B$10,B92&lt;Parametri!$B$10),ROW(),0))</f>
        <v>0</v>
      </c>
      <c r="H91" s="41"/>
      <c r="I91" s="41"/>
      <c r="J91" s="13" t="str">
        <f t="shared" si="33"/>
        <v/>
      </c>
      <c r="K91" s="23" t="str">
        <f t="shared" si="34"/>
        <v/>
      </c>
      <c r="L91" s="34" t="str">
        <f t="shared" si="35"/>
        <v/>
      </c>
      <c r="M91" s="18">
        <f>IF(OR(H91="",H92=""),0,IF(AND(H91&gt;=Parametri!$B$11,I91&gt;=Parametri!$B$10,I92&lt;Parametri!$B$10),ROW(),0))</f>
        <v>0</v>
      </c>
      <c r="O91" s="41"/>
      <c r="P91" s="41"/>
      <c r="Q91" s="13" t="str">
        <f t="shared" si="36"/>
        <v/>
      </c>
      <c r="R91" s="23" t="str">
        <f t="shared" si="37"/>
        <v/>
      </c>
      <c r="S91" s="34" t="str">
        <f t="shared" si="38"/>
        <v/>
      </c>
      <c r="T91" s="18">
        <f>IF(OR(O91="",O92=""),0,IF(AND(O91&gt;=Parametri!$B$11,P91&gt;=Parametri!$B$10,P92&lt;Parametri!$B$10),ROW(),0))</f>
        <v>0</v>
      </c>
      <c r="V91" s="41"/>
      <c r="W91" s="41"/>
      <c r="X91" s="13" t="str">
        <f t="shared" si="39"/>
        <v/>
      </c>
      <c r="Y91" s="23" t="str">
        <f t="shared" si="40"/>
        <v/>
      </c>
      <c r="Z91" s="34" t="str">
        <f t="shared" si="41"/>
        <v/>
      </c>
      <c r="AA91" s="18">
        <f>IF(OR(V91="",V92=""),0,IF(AND(V91&gt;=Parametri!$B$11,W91&gt;=Parametri!$B$10,W92&lt;Parametri!$B$10),ROW(),0))</f>
        <v>0</v>
      </c>
      <c r="AC91" s="41"/>
      <c r="AD91" s="41"/>
      <c r="AE91" s="13" t="str">
        <f t="shared" si="42"/>
        <v/>
      </c>
      <c r="AF91" s="23" t="str">
        <f t="shared" si="43"/>
        <v/>
      </c>
      <c r="AG91" s="34" t="str">
        <f t="shared" si="44"/>
        <v/>
      </c>
      <c r="AH91" s="18">
        <f>IF(OR(AC91="",AC92=""),0,IF(AND(AC91&gt;=Parametri!$B$11,AD91&gt;=Parametri!$B$10,AD92&lt;Parametri!$B$10),ROW(),0))</f>
        <v>0</v>
      </c>
    </row>
    <row r="92" spans="1:34" x14ac:dyDescent="0.25">
      <c r="A92" s="41"/>
      <c r="B92" s="41"/>
      <c r="C92" s="13" t="str">
        <f t="shared" si="30"/>
        <v/>
      </c>
      <c r="D92" s="23" t="str">
        <f t="shared" si="31"/>
        <v/>
      </c>
      <c r="E92" s="34" t="str">
        <f t="shared" si="32"/>
        <v/>
      </c>
      <c r="F92" s="18">
        <f>IF(OR(A92="",A93=""),0,IF(AND(A92&gt;=Parametri!$B$11,B92&gt;=Parametri!$B$10,B93&lt;Parametri!$B$10),ROW(),0))</f>
        <v>0</v>
      </c>
      <c r="H92" s="41"/>
      <c r="I92" s="41"/>
      <c r="J92" s="13" t="str">
        <f t="shared" si="33"/>
        <v/>
      </c>
      <c r="K92" s="23" t="str">
        <f t="shared" si="34"/>
        <v/>
      </c>
      <c r="L92" s="34" t="str">
        <f t="shared" si="35"/>
        <v/>
      </c>
      <c r="M92" s="18">
        <f>IF(OR(H92="",H93=""),0,IF(AND(H92&gt;=Parametri!$B$11,I92&gt;=Parametri!$B$10,I93&lt;Parametri!$B$10),ROW(),0))</f>
        <v>0</v>
      </c>
      <c r="O92" s="41"/>
      <c r="P92" s="41"/>
      <c r="Q92" s="13" t="str">
        <f t="shared" si="36"/>
        <v/>
      </c>
      <c r="R92" s="23" t="str">
        <f t="shared" si="37"/>
        <v/>
      </c>
      <c r="S92" s="34" t="str">
        <f t="shared" si="38"/>
        <v/>
      </c>
      <c r="T92" s="18">
        <f>IF(OR(O92="",O93=""),0,IF(AND(O92&gt;=Parametri!$B$11,P92&gt;=Parametri!$B$10,P93&lt;Parametri!$B$10),ROW(),0))</f>
        <v>0</v>
      </c>
      <c r="V92" s="41"/>
      <c r="W92" s="41"/>
      <c r="X92" s="13" t="str">
        <f t="shared" si="39"/>
        <v/>
      </c>
      <c r="Y92" s="23" t="str">
        <f t="shared" si="40"/>
        <v/>
      </c>
      <c r="Z92" s="34" t="str">
        <f t="shared" si="41"/>
        <v/>
      </c>
      <c r="AA92" s="18">
        <f>IF(OR(V92="",V93=""),0,IF(AND(V92&gt;=Parametri!$B$11,W92&gt;=Parametri!$B$10,W93&lt;Parametri!$B$10),ROW(),0))</f>
        <v>0</v>
      </c>
      <c r="AC92" s="41"/>
      <c r="AD92" s="41"/>
      <c r="AE92" s="13" t="str">
        <f t="shared" si="42"/>
        <v/>
      </c>
      <c r="AF92" s="23" t="str">
        <f t="shared" si="43"/>
        <v/>
      </c>
      <c r="AG92" s="34" t="str">
        <f t="shared" si="44"/>
        <v/>
      </c>
      <c r="AH92" s="18">
        <f>IF(OR(AC92="",AC93=""),0,IF(AND(AC92&gt;=Parametri!$B$11,AD92&gt;=Parametri!$B$10,AD93&lt;Parametri!$B$10),ROW(),0))</f>
        <v>0</v>
      </c>
    </row>
    <row r="93" spans="1:34" x14ac:dyDescent="0.25">
      <c r="A93" s="41"/>
      <c r="B93" s="41"/>
      <c r="C93" s="13" t="str">
        <f t="shared" si="30"/>
        <v/>
      </c>
      <c r="D93" s="23" t="str">
        <f t="shared" si="31"/>
        <v/>
      </c>
      <c r="E93" s="34" t="str">
        <f t="shared" si="32"/>
        <v/>
      </c>
      <c r="F93" s="18">
        <f>IF(OR(A93="",A94=""),0,IF(AND(A93&gt;=Parametri!$B$11,B93&gt;=Parametri!$B$10,B94&lt;Parametri!$B$10),ROW(),0))</f>
        <v>0</v>
      </c>
      <c r="H93" s="41"/>
      <c r="I93" s="41"/>
      <c r="J93" s="13" t="str">
        <f t="shared" si="33"/>
        <v/>
      </c>
      <c r="K93" s="23" t="str">
        <f t="shared" si="34"/>
        <v/>
      </c>
      <c r="L93" s="34" t="str">
        <f t="shared" si="35"/>
        <v/>
      </c>
      <c r="M93" s="18">
        <f>IF(OR(H93="",H94=""),0,IF(AND(H93&gt;=Parametri!$B$11,I93&gt;=Parametri!$B$10,I94&lt;Parametri!$B$10),ROW(),0))</f>
        <v>0</v>
      </c>
      <c r="O93" s="41"/>
      <c r="P93" s="41"/>
      <c r="Q93" s="13" t="str">
        <f t="shared" si="36"/>
        <v/>
      </c>
      <c r="R93" s="23" t="str">
        <f t="shared" si="37"/>
        <v/>
      </c>
      <c r="S93" s="34" t="str">
        <f t="shared" si="38"/>
        <v/>
      </c>
      <c r="T93" s="18">
        <f>IF(OR(O93="",O94=""),0,IF(AND(O93&gt;=Parametri!$B$11,P93&gt;=Parametri!$B$10,P94&lt;Parametri!$B$10),ROW(),0))</f>
        <v>0</v>
      </c>
      <c r="V93" s="41"/>
      <c r="W93" s="41"/>
      <c r="X93" s="13" t="str">
        <f t="shared" si="39"/>
        <v/>
      </c>
      <c r="Y93" s="23" t="str">
        <f t="shared" si="40"/>
        <v/>
      </c>
      <c r="Z93" s="34" t="str">
        <f t="shared" si="41"/>
        <v/>
      </c>
      <c r="AA93" s="18">
        <f>IF(OR(V93="",V94=""),0,IF(AND(V93&gt;=Parametri!$B$11,W93&gt;=Parametri!$B$10,W94&lt;Parametri!$B$10),ROW(),0))</f>
        <v>0</v>
      </c>
      <c r="AC93" s="41"/>
      <c r="AD93" s="41"/>
      <c r="AE93" s="13" t="str">
        <f t="shared" si="42"/>
        <v/>
      </c>
      <c r="AF93" s="23" t="str">
        <f t="shared" si="43"/>
        <v/>
      </c>
      <c r="AG93" s="34" t="str">
        <f t="shared" si="44"/>
        <v/>
      </c>
      <c r="AH93" s="18">
        <f>IF(OR(AC93="",AC94=""),0,IF(AND(AC93&gt;=Parametri!$B$11,AD93&gt;=Parametri!$B$10,AD94&lt;Parametri!$B$10),ROW(),0))</f>
        <v>0</v>
      </c>
    </row>
    <row r="94" spans="1:34" x14ac:dyDescent="0.25">
      <c r="A94" s="41"/>
      <c r="B94" s="41"/>
      <c r="C94" s="13" t="str">
        <f t="shared" si="30"/>
        <v/>
      </c>
      <c r="D94" s="23" t="str">
        <f t="shared" si="31"/>
        <v/>
      </c>
      <c r="E94" s="34" t="str">
        <f t="shared" si="32"/>
        <v/>
      </c>
      <c r="F94" s="18">
        <f>IF(OR(A94="",A95=""),0,IF(AND(A94&gt;=Parametri!$B$11,B94&gt;=Parametri!$B$10,B95&lt;Parametri!$B$10),ROW(),0))</f>
        <v>0</v>
      </c>
      <c r="H94" s="41"/>
      <c r="I94" s="41"/>
      <c r="J94" s="13" t="str">
        <f t="shared" si="33"/>
        <v/>
      </c>
      <c r="K94" s="23" t="str">
        <f t="shared" si="34"/>
        <v/>
      </c>
      <c r="L94" s="34" t="str">
        <f t="shared" si="35"/>
        <v/>
      </c>
      <c r="M94" s="18">
        <f>IF(OR(H94="",H95=""),0,IF(AND(H94&gt;=Parametri!$B$11,I94&gt;=Parametri!$B$10,I95&lt;Parametri!$B$10),ROW(),0))</f>
        <v>0</v>
      </c>
      <c r="O94" s="41"/>
      <c r="P94" s="41"/>
      <c r="Q94" s="13" t="str">
        <f t="shared" si="36"/>
        <v/>
      </c>
      <c r="R94" s="23" t="str">
        <f t="shared" si="37"/>
        <v/>
      </c>
      <c r="S94" s="34" t="str">
        <f t="shared" si="38"/>
        <v/>
      </c>
      <c r="T94" s="18">
        <f>IF(OR(O94="",O95=""),0,IF(AND(O94&gt;=Parametri!$B$11,P94&gt;=Parametri!$B$10,P95&lt;Parametri!$B$10),ROW(),0))</f>
        <v>0</v>
      </c>
      <c r="V94" s="41"/>
      <c r="W94" s="41"/>
      <c r="X94" s="13" t="str">
        <f t="shared" si="39"/>
        <v/>
      </c>
      <c r="Y94" s="23" t="str">
        <f t="shared" si="40"/>
        <v/>
      </c>
      <c r="Z94" s="34" t="str">
        <f t="shared" si="41"/>
        <v/>
      </c>
      <c r="AA94" s="18">
        <f>IF(OR(V94="",V95=""),0,IF(AND(V94&gt;=Parametri!$B$11,W94&gt;=Parametri!$B$10,W95&lt;Parametri!$B$10),ROW(),0))</f>
        <v>0</v>
      </c>
      <c r="AC94" s="41"/>
      <c r="AD94" s="41"/>
      <c r="AE94" s="13" t="str">
        <f t="shared" si="42"/>
        <v/>
      </c>
      <c r="AF94" s="23" t="str">
        <f t="shared" si="43"/>
        <v/>
      </c>
      <c r="AG94" s="34" t="str">
        <f t="shared" si="44"/>
        <v/>
      </c>
      <c r="AH94" s="18">
        <f>IF(OR(AC94="",AC95=""),0,IF(AND(AC94&gt;=Parametri!$B$11,AD94&gt;=Parametri!$B$10,AD95&lt;Parametri!$B$10),ROW(),0))</f>
        <v>0</v>
      </c>
    </row>
    <row r="95" spans="1:34" x14ac:dyDescent="0.25">
      <c r="A95" s="41"/>
      <c r="B95" s="41"/>
      <c r="C95" s="13" t="str">
        <f t="shared" si="30"/>
        <v/>
      </c>
      <c r="D95" s="23" t="str">
        <f t="shared" si="31"/>
        <v/>
      </c>
      <c r="E95" s="34" t="str">
        <f t="shared" si="32"/>
        <v/>
      </c>
      <c r="F95" s="18">
        <f>IF(OR(A95="",A96=""),0,IF(AND(A95&gt;=Parametri!$B$11,B95&gt;=Parametri!$B$10,B96&lt;Parametri!$B$10),ROW(),0))</f>
        <v>0</v>
      </c>
      <c r="H95" s="41"/>
      <c r="I95" s="41"/>
      <c r="J95" s="13" t="str">
        <f t="shared" si="33"/>
        <v/>
      </c>
      <c r="K95" s="23" t="str">
        <f t="shared" si="34"/>
        <v/>
      </c>
      <c r="L95" s="34" t="str">
        <f t="shared" si="35"/>
        <v/>
      </c>
      <c r="M95" s="18">
        <f>IF(OR(H95="",H96=""),0,IF(AND(H95&gt;=Parametri!$B$11,I95&gt;=Parametri!$B$10,I96&lt;Parametri!$B$10),ROW(),0))</f>
        <v>0</v>
      </c>
      <c r="O95" s="41"/>
      <c r="P95" s="41"/>
      <c r="Q95" s="13" t="str">
        <f t="shared" si="36"/>
        <v/>
      </c>
      <c r="R95" s="23" t="str">
        <f t="shared" si="37"/>
        <v/>
      </c>
      <c r="S95" s="34" t="str">
        <f t="shared" si="38"/>
        <v/>
      </c>
      <c r="T95" s="18">
        <f>IF(OR(O95="",O96=""),0,IF(AND(O95&gt;=Parametri!$B$11,P95&gt;=Parametri!$B$10,P96&lt;Parametri!$B$10),ROW(),0))</f>
        <v>0</v>
      </c>
      <c r="V95" s="41"/>
      <c r="W95" s="41"/>
      <c r="X95" s="13" t="str">
        <f t="shared" si="39"/>
        <v/>
      </c>
      <c r="Y95" s="23" t="str">
        <f t="shared" si="40"/>
        <v/>
      </c>
      <c r="Z95" s="34" t="str">
        <f t="shared" si="41"/>
        <v/>
      </c>
      <c r="AA95" s="18">
        <f>IF(OR(V95="",V96=""),0,IF(AND(V95&gt;=Parametri!$B$11,W95&gt;=Parametri!$B$10,W96&lt;Parametri!$B$10),ROW(),0))</f>
        <v>0</v>
      </c>
      <c r="AC95" s="41"/>
      <c r="AD95" s="41"/>
      <c r="AE95" s="13" t="str">
        <f t="shared" si="42"/>
        <v/>
      </c>
      <c r="AF95" s="23" t="str">
        <f t="shared" si="43"/>
        <v/>
      </c>
      <c r="AG95" s="34" t="str">
        <f t="shared" si="44"/>
        <v/>
      </c>
      <c r="AH95" s="18">
        <f>IF(OR(AC95="",AC96=""),0,IF(AND(AC95&gt;=Parametri!$B$11,AD95&gt;=Parametri!$B$10,AD96&lt;Parametri!$B$10),ROW(),0))</f>
        <v>0</v>
      </c>
    </row>
    <row r="96" spans="1:34" x14ac:dyDescent="0.25">
      <c r="A96" s="41"/>
      <c r="B96" s="41"/>
      <c r="C96" s="13" t="str">
        <f t="shared" si="30"/>
        <v/>
      </c>
      <c r="D96" s="23" t="str">
        <f t="shared" si="31"/>
        <v/>
      </c>
      <c r="E96" s="34" t="str">
        <f t="shared" si="32"/>
        <v/>
      </c>
      <c r="F96" s="18">
        <f>IF(OR(A96="",A97=""),0,IF(AND(A96&gt;=Parametri!$B$11,B96&gt;=Parametri!$B$10,B97&lt;Parametri!$B$10),ROW(),0))</f>
        <v>0</v>
      </c>
      <c r="H96" s="41"/>
      <c r="I96" s="41"/>
      <c r="J96" s="13" t="str">
        <f t="shared" si="33"/>
        <v/>
      </c>
      <c r="K96" s="23" t="str">
        <f t="shared" si="34"/>
        <v/>
      </c>
      <c r="L96" s="34" t="str">
        <f t="shared" si="35"/>
        <v/>
      </c>
      <c r="M96" s="18">
        <f>IF(OR(H96="",H97=""),0,IF(AND(H96&gt;=Parametri!$B$11,I96&gt;=Parametri!$B$10,I97&lt;Parametri!$B$10),ROW(),0))</f>
        <v>0</v>
      </c>
      <c r="O96" s="41"/>
      <c r="P96" s="41"/>
      <c r="Q96" s="13" t="str">
        <f t="shared" si="36"/>
        <v/>
      </c>
      <c r="R96" s="23" t="str">
        <f t="shared" si="37"/>
        <v/>
      </c>
      <c r="S96" s="34" t="str">
        <f t="shared" si="38"/>
        <v/>
      </c>
      <c r="T96" s="18">
        <f>IF(OR(O96="",O97=""),0,IF(AND(O96&gt;=Parametri!$B$11,P96&gt;=Parametri!$B$10,P97&lt;Parametri!$B$10),ROW(),0))</f>
        <v>0</v>
      </c>
      <c r="V96" s="41"/>
      <c r="W96" s="41"/>
      <c r="X96" s="13" t="str">
        <f t="shared" si="39"/>
        <v/>
      </c>
      <c r="Y96" s="23" t="str">
        <f t="shared" si="40"/>
        <v/>
      </c>
      <c r="Z96" s="34" t="str">
        <f t="shared" si="41"/>
        <v/>
      </c>
      <c r="AA96" s="18">
        <f>IF(OR(V96="",V97=""),0,IF(AND(V96&gt;=Parametri!$B$11,W96&gt;=Parametri!$B$10,W97&lt;Parametri!$B$10),ROW(),0))</f>
        <v>0</v>
      </c>
      <c r="AC96" s="41"/>
      <c r="AD96" s="41"/>
      <c r="AE96" s="13" t="str">
        <f t="shared" si="42"/>
        <v/>
      </c>
      <c r="AF96" s="23" t="str">
        <f t="shared" si="43"/>
        <v/>
      </c>
      <c r="AG96" s="34" t="str">
        <f t="shared" si="44"/>
        <v/>
      </c>
      <c r="AH96" s="18">
        <f>IF(OR(AC96="",AC97=""),0,IF(AND(AC96&gt;=Parametri!$B$11,AD96&gt;=Parametri!$B$10,AD97&lt;Parametri!$B$10),ROW(),0))</f>
        <v>0</v>
      </c>
    </row>
    <row r="97" spans="1:34" x14ac:dyDescent="0.25">
      <c r="A97" s="41"/>
      <c r="B97" s="41"/>
      <c r="C97" s="13" t="str">
        <f t="shared" si="30"/>
        <v/>
      </c>
      <c r="D97" s="23" t="str">
        <f t="shared" si="31"/>
        <v/>
      </c>
      <c r="E97" s="34" t="str">
        <f t="shared" si="32"/>
        <v/>
      </c>
      <c r="F97" s="18">
        <f>IF(OR(A97="",A98=""),0,IF(AND(A97&gt;=Parametri!$B$11,B97&gt;=Parametri!$B$10,B98&lt;Parametri!$B$10),ROW(),0))</f>
        <v>0</v>
      </c>
      <c r="H97" s="41"/>
      <c r="I97" s="41"/>
      <c r="J97" s="13" t="str">
        <f t="shared" si="33"/>
        <v/>
      </c>
      <c r="K97" s="23" t="str">
        <f t="shared" si="34"/>
        <v/>
      </c>
      <c r="L97" s="34" t="str">
        <f t="shared" si="35"/>
        <v/>
      </c>
      <c r="M97" s="18">
        <f>IF(OR(H97="",H98=""),0,IF(AND(H97&gt;=Parametri!$B$11,I97&gt;=Parametri!$B$10,I98&lt;Parametri!$B$10),ROW(),0))</f>
        <v>0</v>
      </c>
      <c r="O97" s="41"/>
      <c r="P97" s="41"/>
      <c r="Q97" s="13" t="str">
        <f t="shared" si="36"/>
        <v/>
      </c>
      <c r="R97" s="23" t="str">
        <f t="shared" si="37"/>
        <v/>
      </c>
      <c r="S97" s="34" t="str">
        <f t="shared" si="38"/>
        <v/>
      </c>
      <c r="T97" s="18">
        <f>IF(OR(O97="",O98=""),0,IF(AND(O97&gt;=Parametri!$B$11,P97&gt;=Parametri!$B$10,P98&lt;Parametri!$B$10),ROW(),0))</f>
        <v>0</v>
      </c>
      <c r="V97" s="41"/>
      <c r="W97" s="41"/>
      <c r="X97" s="13" t="str">
        <f t="shared" si="39"/>
        <v/>
      </c>
      <c r="Y97" s="23" t="str">
        <f t="shared" si="40"/>
        <v/>
      </c>
      <c r="Z97" s="34" t="str">
        <f t="shared" si="41"/>
        <v/>
      </c>
      <c r="AA97" s="18">
        <f>IF(OR(V97="",V98=""),0,IF(AND(V97&gt;=Parametri!$B$11,W97&gt;=Parametri!$B$10,W98&lt;Parametri!$B$10),ROW(),0))</f>
        <v>0</v>
      </c>
      <c r="AC97" s="41"/>
      <c r="AD97" s="41"/>
      <c r="AE97" s="13" t="str">
        <f t="shared" si="42"/>
        <v/>
      </c>
      <c r="AF97" s="23" t="str">
        <f t="shared" si="43"/>
        <v/>
      </c>
      <c r="AG97" s="34" t="str">
        <f t="shared" si="44"/>
        <v/>
      </c>
      <c r="AH97" s="18">
        <f>IF(OR(AC97="",AC98=""),0,IF(AND(AC97&gt;=Parametri!$B$11,AD97&gt;=Parametri!$B$10,AD98&lt;Parametri!$B$10),ROW(),0))</f>
        <v>0</v>
      </c>
    </row>
    <row r="98" spans="1:34" x14ac:dyDescent="0.25">
      <c r="A98" s="41"/>
      <c r="B98" s="41"/>
      <c r="C98" s="13" t="str">
        <f t="shared" si="30"/>
        <v/>
      </c>
      <c r="D98" s="23" t="str">
        <f t="shared" si="31"/>
        <v/>
      </c>
      <c r="E98" s="34" t="str">
        <f t="shared" si="32"/>
        <v/>
      </c>
      <c r="F98" s="18">
        <f>IF(OR(A98="",A99=""),0,IF(AND(A98&gt;=Parametri!$B$11,B98&gt;=Parametri!$B$10,B99&lt;Parametri!$B$10),ROW(),0))</f>
        <v>0</v>
      </c>
      <c r="H98" s="41"/>
      <c r="I98" s="41"/>
      <c r="J98" s="13" t="str">
        <f t="shared" si="33"/>
        <v/>
      </c>
      <c r="K98" s="23" t="str">
        <f t="shared" si="34"/>
        <v/>
      </c>
      <c r="L98" s="34" t="str">
        <f t="shared" si="35"/>
        <v/>
      </c>
      <c r="M98" s="18">
        <f>IF(OR(H98="",H99=""),0,IF(AND(H98&gt;=Parametri!$B$11,I98&gt;=Parametri!$B$10,I99&lt;Parametri!$B$10),ROW(),0))</f>
        <v>0</v>
      </c>
      <c r="O98" s="41"/>
      <c r="P98" s="41"/>
      <c r="Q98" s="13" t="str">
        <f t="shared" si="36"/>
        <v/>
      </c>
      <c r="R98" s="23" t="str">
        <f t="shared" si="37"/>
        <v/>
      </c>
      <c r="S98" s="34" t="str">
        <f t="shared" si="38"/>
        <v/>
      </c>
      <c r="T98" s="18">
        <f>IF(OR(O98="",O99=""),0,IF(AND(O98&gt;=Parametri!$B$11,P98&gt;=Parametri!$B$10,P99&lt;Parametri!$B$10),ROW(),0))</f>
        <v>0</v>
      </c>
      <c r="V98" s="41"/>
      <c r="W98" s="41"/>
      <c r="X98" s="13" t="str">
        <f t="shared" si="39"/>
        <v/>
      </c>
      <c r="Y98" s="23" t="str">
        <f t="shared" si="40"/>
        <v/>
      </c>
      <c r="Z98" s="34" t="str">
        <f t="shared" si="41"/>
        <v/>
      </c>
      <c r="AA98" s="18">
        <f>IF(OR(V98="",V99=""),0,IF(AND(V98&gt;=Parametri!$B$11,W98&gt;=Parametri!$B$10,W99&lt;Parametri!$B$10),ROW(),0))</f>
        <v>0</v>
      </c>
      <c r="AC98" s="41"/>
      <c r="AD98" s="41"/>
      <c r="AE98" s="13" t="str">
        <f t="shared" si="42"/>
        <v/>
      </c>
      <c r="AF98" s="23" t="str">
        <f t="shared" si="43"/>
        <v/>
      </c>
      <c r="AG98" s="34" t="str">
        <f t="shared" si="44"/>
        <v/>
      </c>
      <c r="AH98" s="18">
        <f>IF(OR(AC98="",AC99=""),0,IF(AND(AC98&gt;=Parametri!$B$11,AD98&gt;=Parametri!$B$10,AD99&lt;Parametri!$B$10),ROW(),0))</f>
        <v>0</v>
      </c>
    </row>
    <row r="99" spans="1:34" x14ac:dyDescent="0.25">
      <c r="A99" s="41"/>
      <c r="B99" s="41"/>
      <c r="C99" s="13" t="str">
        <f t="shared" si="30"/>
        <v/>
      </c>
      <c r="D99" s="23" t="str">
        <f t="shared" si="31"/>
        <v/>
      </c>
      <c r="E99" s="34" t="str">
        <f t="shared" si="32"/>
        <v/>
      </c>
      <c r="F99" s="18">
        <f>IF(OR(A99="",A100=""),0,IF(AND(A99&gt;=Parametri!$B$11,B99&gt;=Parametri!$B$10,B100&lt;Parametri!$B$10),ROW(),0))</f>
        <v>0</v>
      </c>
      <c r="H99" s="41"/>
      <c r="I99" s="41"/>
      <c r="J99" s="13" t="str">
        <f t="shared" si="33"/>
        <v/>
      </c>
      <c r="K99" s="23" t="str">
        <f t="shared" si="34"/>
        <v/>
      </c>
      <c r="L99" s="34" t="str">
        <f t="shared" si="35"/>
        <v/>
      </c>
      <c r="M99" s="18">
        <f>IF(OR(H99="",H100=""),0,IF(AND(H99&gt;=Parametri!$B$11,I99&gt;=Parametri!$B$10,I100&lt;Parametri!$B$10),ROW(),0))</f>
        <v>0</v>
      </c>
      <c r="O99" s="41"/>
      <c r="P99" s="41"/>
      <c r="Q99" s="13" t="str">
        <f t="shared" si="36"/>
        <v/>
      </c>
      <c r="R99" s="23" t="str">
        <f t="shared" si="37"/>
        <v/>
      </c>
      <c r="S99" s="34" t="str">
        <f t="shared" si="38"/>
        <v/>
      </c>
      <c r="T99" s="18">
        <f>IF(OR(O99="",O100=""),0,IF(AND(O99&gt;=Parametri!$B$11,P99&gt;=Parametri!$B$10,P100&lt;Parametri!$B$10),ROW(),0))</f>
        <v>0</v>
      </c>
      <c r="V99" s="41"/>
      <c r="W99" s="41"/>
      <c r="X99" s="13" t="str">
        <f t="shared" si="39"/>
        <v/>
      </c>
      <c r="Y99" s="23" t="str">
        <f t="shared" si="40"/>
        <v/>
      </c>
      <c r="Z99" s="34" t="str">
        <f t="shared" si="41"/>
        <v/>
      </c>
      <c r="AA99" s="18">
        <f>IF(OR(V99="",V100=""),0,IF(AND(V99&gt;=Parametri!$B$11,W99&gt;=Parametri!$B$10,W100&lt;Parametri!$B$10),ROW(),0))</f>
        <v>0</v>
      </c>
      <c r="AC99" s="41"/>
      <c r="AD99" s="41"/>
      <c r="AE99" s="13" t="str">
        <f t="shared" si="42"/>
        <v/>
      </c>
      <c r="AF99" s="23" t="str">
        <f t="shared" si="43"/>
        <v/>
      </c>
      <c r="AG99" s="34" t="str">
        <f t="shared" si="44"/>
        <v/>
      </c>
      <c r="AH99" s="18">
        <f>IF(OR(AC99="",AC100=""),0,IF(AND(AC99&gt;=Parametri!$B$11,AD99&gt;=Parametri!$B$10,AD100&lt;Parametri!$B$10),ROW(),0))</f>
        <v>0</v>
      </c>
    </row>
    <row r="100" spans="1:34" x14ac:dyDescent="0.25">
      <c r="A100" s="41"/>
      <c r="B100" s="41"/>
      <c r="C100" s="13" t="str">
        <f t="shared" si="30"/>
        <v/>
      </c>
      <c r="D100" s="23" t="str">
        <f t="shared" si="31"/>
        <v/>
      </c>
      <c r="E100" s="34" t="str">
        <f t="shared" si="32"/>
        <v/>
      </c>
      <c r="F100" s="18">
        <f>IF(OR(A100="",A101=""),0,IF(AND(A100&gt;=Parametri!$B$11,B100&gt;=Parametri!$B$10,B101&lt;Parametri!$B$10),ROW(),0))</f>
        <v>0</v>
      </c>
      <c r="H100" s="41"/>
      <c r="I100" s="41"/>
      <c r="J100" s="13" t="str">
        <f t="shared" si="33"/>
        <v/>
      </c>
      <c r="K100" s="23" t="str">
        <f t="shared" si="34"/>
        <v/>
      </c>
      <c r="L100" s="34" t="str">
        <f t="shared" si="35"/>
        <v/>
      </c>
      <c r="M100" s="18">
        <f>IF(OR(H100="",H101=""),0,IF(AND(H100&gt;=Parametri!$B$11,I100&gt;=Parametri!$B$10,I101&lt;Parametri!$B$10),ROW(),0))</f>
        <v>0</v>
      </c>
      <c r="O100" s="41"/>
      <c r="P100" s="41"/>
      <c r="Q100" s="13" t="str">
        <f t="shared" si="36"/>
        <v/>
      </c>
      <c r="R100" s="23" t="str">
        <f t="shared" si="37"/>
        <v/>
      </c>
      <c r="S100" s="34" t="str">
        <f t="shared" si="38"/>
        <v/>
      </c>
      <c r="T100" s="18">
        <f>IF(OR(O100="",O101=""),0,IF(AND(O100&gt;=Parametri!$B$11,P100&gt;=Parametri!$B$10,P101&lt;Parametri!$B$10),ROW(),0))</f>
        <v>0</v>
      </c>
      <c r="V100" s="41"/>
      <c r="W100" s="41"/>
      <c r="X100" s="13" t="str">
        <f t="shared" si="39"/>
        <v/>
      </c>
      <c r="Y100" s="23" t="str">
        <f t="shared" si="40"/>
        <v/>
      </c>
      <c r="Z100" s="34" t="str">
        <f t="shared" si="41"/>
        <v/>
      </c>
      <c r="AA100" s="18">
        <f>IF(OR(V100="",V101=""),0,IF(AND(V100&gt;=Parametri!$B$11,W100&gt;=Parametri!$B$10,W101&lt;Parametri!$B$10),ROW(),0))</f>
        <v>0</v>
      </c>
      <c r="AC100" s="41"/>
      <c r="AD100" s="41"/>
      <c r="AE100" s="13" t="str">
        <f t="shared" si="42"/>
        <v/>
      </c>
      <c r="AF100" s="23" t="str">
        <f t="shared" si="43"/>
        <v/>
      </c>
      <c r="AG100" s="34" t="str">
        <f t="shared" si="44"/>
        <v/>
      </c>
      <c r="AH100" s="18">
        <f>IF(OR(AC100="",AC101=""),0,IF(AND(AC100&gt;=Parametri!$B$11,AD100&gt;=Parametri!$B$10,AD101&lt;Parametri!$B$10),ROW(),0))</f>
        <v>0</v>
      </c>
    </row>
    <row r="101" spans="1:34" x14ac:dyDescent="0.25">
      <c r="A101" s="41"/>
      <c r="B101" s="41"/>
      <c r="C101" s="13" t="str">
        <f t="shared" si="30"/>
        <v/>
      </c>
      <c r="D101" s="23" t="str">
        <f t="shared" si="31"/>
        <v/>
      </c>
      <c r="E101" s="34" t="str">
        <f t="shared" si="32"/>
        <v/>
      </c>
      <c r="F101" s="18">
        <f>IF(OR(A101="",A102=""),0,IF(AND(A101&gt;=Parametri!$B$11,B101&gt;=Parametri!$B$10,B102&lt;Parametri!$B$10),ROW(),0))</f>
        <v>0</v>
      </c>
      <c r="H101" s="41"/>
      <c r="I101" s="41"/>
      <c r="J101" s="13" t="str">
        <f t="shared" si="33"/>
        <v/>
      </c>
      <c r="K101" s="23" t="str">
        <f t="shared" si="34"/>
        <v/>
      </c>
      <c r="L101" s="34" t="str">
        <f t="shared" si="35"/>
        <v/>
      </c>
      <c r="M101" s="18">
        <f>IF(OR(H101="",H102=""),0,IF(AND(H101&gt;=Parametri!$B$11,I101&gt;=Parametri!$B$10,I102&lt;Parametri!$B$10),ROW(),0))</f>
        <v>0</v>
      </c>
      <c r="O101" s="41"/>
      <c r="P101" s="41"/>
      <c r="Q101" s="13" t="str">
        <f t="shared" si="36"/>
        <v/>
      </c>
      <c r="R101" s="23" t="str">
        <f t="shared" si="37"/>
        <v/>
      </c>
      <c r="S101" s="34" t="str">
        <f t="shared" si="38"/>
        <v/>
      </c>
      <c r="T101" s="18">
        <f>IF(OR(O101="",O102=""),0,IF(AND(O101&gt;=Parametri!$B$11,P101&gt;=Parametri!$B$10,P102&lt;Parametri!$B$10),ROW(),0))</f>
        <v>0</v>
      </c>
      <c r="V101" s="41"/>
      <c r="W101" s="41"/>
      <c r="X101" s="13" t="str">
        <f t="shared" si="39"/>
        <v/>
      </c>
      <c r="Y101" s="23" t="str">
        <f t="shared" si="40"/>
        <v/>
      </c>
      <c r="Z101" s="34" t="str">
        <f t="shared" si="41"/>
        <v/>
      </c>
      <c r="AA101" s="18">
        <f>IF(OR(V101="",V102=""),0,IF(AND(V101&gt;=Parametri!$B$11,W101&gt;=Parametri!$B$10,W102&lt;Parametri!$B$10),ROW(),0))</f>
        <v>0</v>
      </c>
      <c r="AC101" s="41"/>
      <c r="AD101" s="41"/>
      <c r="AE101" s="13" t="str">
        <f t="shared" si="42"/>
        <v/>
      </c>
      <c r="AF101" s="23" t="str">
        <f t="shared" si="43"/>
        <v/>
      </c>
      <c r="AG101" s="34" t="str">
        <f t="shared" si="44"/>
        <v/>
      </c>
      <c r="AH101" s="18">
        <f>IF(OR(AC101="",AC102=""),0,IF(AND(AC101&gt;=Parametri!$B$11,AD101&gt;=Parametri!$B$10,AD102&lt;Parametri!$B$10),ROW(),0))</f>
        <v>0</v>
      </c>
    </row>
    <row r="102" spans="1:34" x14ac:dyDescent="0.25">
      <c r="A102" s="41"/>
      <c r="B102" s="41"/>
      <c r="C102" s="13" t="str">
        <f t="shared" si="30"/>
        <v/>
      </c>
      <c r="D102" s="23" t="str">
        <f t="shared" si="31"/>
        <v/>
      </c>
      <c r="E102" s="34" t="str">
        <f t="shared" si="32"/>
        <v/>
      </c>
      <c r="F102" s="18">
        <f>IF(OR(A102="",A103=""),0,IF(AND(A102&gt;=Parametri!$B$11,B102&gt;=Parametri!$B$10,B103&lt;Parametri!$B$10),ROW(),0))</f>
        <v>0</v>
      </c>
      <c r="H102" s="41"/>
      <c r="I102" s="41"/>
      <c r="J102" s="13" t="str">
        <f t="shared" si="33"/>
        <v/>
      </c>
      <c r="K102" s="23" t="str">
        <f t="shared" si="34"/>
        <v/>
      </c>
      <c r="L102" s="34" t="str">
        <f t="shared" si="35"/>
        <v/>
      </c>
      <c r="M102" s="18">
        <f>IF(OR(H102="",H103=""),0,IF(AND(H102&gt;=Parametri!$B$11,I102&gt;=Parametri!$B$10,I103&lt;Parametri!$B$10),ROW(),0))</f>
        <v>0</v>
      </c>
      <c r="O102" s="41"/>
      <c r="P102" s="41"/>
      <c r="Q102" s="13" t="str">
        <f t="shared" si="36"/>
        <v/>
      </c>
      <c r="R102" s="23" t="str">
        <f t="shared" si="37"/>
        <v/>
      </c>
      <c r="S102" s="34" t="str">
        <f t="shared" si="38"/>
        <v/>
      </c>
      <c r="T102" s="18">
        <f>IF(OR(O102="",O103=""),0,IF(AND(O102&gt;=Parametri!$B$11,P102&gt;=Parametri!$B$10,P103&lt;Parametri!$B$10),ROW(),0))</f>
        <v>0</v>
      </c>
      <c r="V102" s="41"/>
      <c r="W102" s="41"/>
      <c r="X102" s="13" t="str">
        <f t="shared" si="39"/>
        <v/>
      </c>
      <c r="Y102" s="23" t="str">
        <f t="shared" si="40"/>
        <v/>
      </c>
      <c r="Z102" s="34" t="str">
        <f t="shared" si="41"/>
        <v/>
      </c>
      <c r="AA102" s="18">
        <f>IF(OR(V102="",V103=""),0,IF(AND(V102&gt;=Parametri!$B$11,W102&gt;=Parametri!$B$10,W103&lt;Parametri!$B$10),ROW(),0))</f>
        <v>0</v>
      </c>
      <c r="AC102" s="41"/>
      <c r="AD102" s="41"/>
      <c r="AE102" s="13" t="str">
        <f t="shared" si="42"/>
        <v/>
      </c>
      <c r="AF102" s="23" t="str">
        <f t="shared" si="43"/>
        <v/>
      </c>
      <c r="AG102" s="34" t="str">
        <f t="shared" si="44"/>
        <v/>
      </c>
      <c r="AH102" s="18">
        <f>IF(OR(AC102="",AC103=""),0,IF(AND(AC102&gt;=Parametri!$B$11,AD102&gt;=Parametri!$B$10,AD103&lt;Parametri!$B$10),ROW(),0))</f>
        <v>0</v>
      </c>
    </row>
    <row r="103" spans="1:34" x14ac:dyDescent="0.25">
      <c r="A103" s="41"/>
      <c r="B103" s="41"/>
      <c r="C103" s="13" t="str">
        <f t="shared" si="30"/>
        <v/>
      </c>
      <c r="D103" s="23" t="str">
        <f t="shared" si="31"/>
        <v/>
      </c>
      <c r="E103" s="34" t="str">
        <f t="shared" si="32"/>
        <v/>
      </c>
      <c r="F103" s="18">
        <f>IF(OR(A103="",A104=""),0,IF(AND(A103&gt;=Parametri!$B$11,B103&gt;=Parametri!$B$10,B104&lt;Parametri!$B$10),ROW(),0))</f>
        <v>0</v>
      </c>
      <c r="H103" s="41"/>
      <c r="I103" s="41"/>
      <c r="J103" s="13" t="str">
        <f t="shared" si="33"/>
        <v/>
      </c>
      <c r="K103" s="23" t="str">
        <f t="shared" si="34"/>
        <v/>
      </c>
      <c r="L103" s="34" t="str">
        <f t="shared" si="35"/>
        <v/>
      </c>
      <c r="M103" s="18">
        <f>IF(OR(H103="",H104=""),0,IF(AND(H103&gt;=Parametri!$B$11,I103&gt;=Parametri!$B$10,I104&lt;Parametri!$B$10),ROW(),0))</f>
        <v>0</v>
      </c>
      <c r="O103" s="41"/>
      <c r="P103" s="41"/>
      <c r="Q103" s="13" t="str">
        <f t="shared" si="36"/>
        <v/>
      </c>
      <c r="R103" s="23" t="str">
        <f t="shared" si="37"/>
        <v/>
      </c>
      <c r="S103" s="34" t="str">
        <f t="shared" si="38"/>
        <v/>
      </c>
      <c r="T103" s="18">
        <f>IF(OR(O103="",O104=""),0,IF(AND(O103&gt;=Parametri!$B$11,P103&gt;=Parametri!$B$10,P104&lt;Parametri!$B$10),ROW(),0))</f>
        <v>0</v>
      </c>
      <c r="V103" s="41"/>
      <c r="W103" s="41"/>
      <c r="X103" s="13" t="str">
        <f t="shared" si="39"/>
        <v/>
      </c>
      <c r="Y103" s="23" t="str">
        <f t="shared" si="40"/>
        <v/>
      </c>
      <c r="Z103" s="34" t="str">
        <f t="shared" si="41"/>
        <v/>
      </c>
      <c r="AA103" s="18">
        <f>IF(OR(V103="",V104=""),0,IF(AND(V103&gt;=Parametri!$B$11,W103&gt;=Parametri!$B$10,W104&lt;Parametri!$B$10),ROW(),0))</f>
        <v>0</v>
      </c>
      <c r="AC103" s="41"/>
      <c r="AD103" s="41"/>
      <c r="AE103" s="13" t="str">
        <f t="shared" si="42"/>
        <v/>
      </c>
      <c r="AF103" s="23" t="str">
        <f t="shared" si="43"/>
        <v/>
      </c>
      <c r="AG103" s="34" t="str">
        <f t="shared" si="44"/>
        <v/>
      </c>
      <c r="AH103" s="18">
        <f>IF(OR(AC103="",AC104=""),0,IF(AND(AC103&gt;=Parametri!$B$11,AD103&gt;=Parametri!$B$10,AD104&lt;Parametri!$B$10),ROW(),0))</f>
        <v>0</v>
      </c>
    </row>
    <row r="104" spans="1:34" x14ac:dyDescent="0.25">
      <c r="A104" s="41"/>
      <c r="B104" s="41"/>
      <c r="C104" s="13" t="str">
        <f t="shared" si="30"/>
        <v/>
      </c>
      <c r="D104" s="23" t="str">
        <f t="shared" si="31"/>
        <v/>
      </c>
      <c r="E104" s="34" t="str">
        <f t="shared" si="32"/>
        <v/>
      </c>
      <c r="F104" s="18">
        <f>IF(OR(A104="",A105=""),0,IF(AND(A104&gt;=Parametri!$B$11,B104&gt;=Parametri!$B$10,B105&lt;Parametri!$B$10),ROW(),0))</f>
        <v>0</v>
      </c>
      <c r="H104" s="41"/>
      <c r="I104" s="41"/>
      <c r="J104" s="13" t="str">
        <f t="shared" si="33"/>
        <v/>
      </c>
      <c r="K104" s="23" t="str">
        <f t="shared" si="34"/>
        <v/>
      </c>
      <c r="L104" s="34" t="str">
        <f t="shared" si="35"/>
        <v/>
      </c>
      <c r="M104" s="18">
        <f>IF(OR(H104="",H105=""),0,IF(AND(H104&gt;=Parametri!$B$11,I104&gt;=Parametri!$B$10,I105&lt;Parametri!$B$10),ROW(),0))</f>
        <v>0</v>
      </c>
      <c r="O104" s="41"/>
      <c r="P104" s="41"/>
      <c r="Q104" s="13" t="str">
        <f t="shared" si="36"/>
        <v/>
      </c>
      <c r="R104" s="23" t="str">
        <f t="shared" si="37"/>
        <v/>
      </c>
      <c r="S104" s="34" t="str">
        <f t="shared" si="38"/>
        <v/>
      </c>
      <c r="T104" s="18">
        <f>IF(OR(O104="",O105=""),0,IF(AND(O104&gt;=Parametri!$B$11,P104&gt;=Parametri!$B$10,P105&lt;Parametri!$B$10),ROW(),0))</f>
        <v>0</v>
      </c>
      <c r="V104" s="41"/>
      <c r="W104" s="41"/>
      <c r="X104" s="13" t="str">
        <f t="shared" si="39"/>
        <v/>
      </c>
      <c r="Y104" s="23" t="str">
        <f t="shared" si="40"/>
        <v/>
      </c>
      <c r="Z104" s="34" t="str">
        <f t="shared" si="41"/>
        <v/>
      </c>
      <c r="AA104" s="18">
        <f>IF(OR(V104="",V105=""),0,IF(AND(V104&gt;=Parametri!$B$11,W104&gt;=Parametri!$B$10,W105&lt;Parametri!$B$10),ROW(),0))</f>
        <v>0</v>
      </c>
      <c r="AC104" s="41"/>
      <c r="AD104" s="41"/>
      <c r="AE104" s="13" t="str">
        <f t="shared" si="42"/>
        <v/>
      </c>
      <c r="AF104" s="23" t="str">
        <f t="shared" si="43"/>
        <v/>
      </c>
      <c r="AG104" s="34" t="str">
        <f t="shared" si="44"/>
        <v/>
      </c>
      <c r="AH104" s="18">
        <f>IF(OR(AC104="",AC105=""),0,IF(AND(AC104&gt;=Parametri!$B$11,AD104&gt;=Parametri!$B$10,AD105&lt;Parametri!$B$10),ROW(),0))</f>
        <v>0</v>
      </c>
    </row>
    <row r="105" spans="1:34" x14ac:dyDescent="0.25">
      <c r="A105" s="41"/>
      <c r="B105" s="41"/>
      <c r="C105" s="13" t="str">
        <f t="shared" ref="C105:C136" si="45">IF(OR(A105="",B$4=""),"",B105/B$4)</f>
        <v/>
      </c>
      <c r="D105" s="23" t="str">
        <f t="shared" si="31"/>
        <v/>
      </c>
      <c r="E105" s="34" t="str">
        <f t="shared" si="32"/>
        <v/>
      </c>
      <c r="F105" s="18">
        <f>IF(OR(A105="",A106=""),0,IF(AND(A105&gt;=Parametri!$B$11,B105&gt;=Parametri!$B$10,B106&lt;Parametri!$B$10),ROW(),0))</f>
        <v>0</v>
      </c>
      <c r="H105" s="41"/>
      <c r="I105" s="41"/>
      <c r="J105" s="13" t="str">
        <f t="shared" ref="J105:J136" si="46">IF(OR(H105="",I$4=""),"",I105/I$4)</f>
        <v/>
      </c>
      <c r="K105" s="23" t="str">
        <f t="shared" si="34"/>
        <v/>
      </c>
      <c r="L105" s="34" t="str">
        <f t="shared" si="35"/>
        <v/>
      </c>
      <c r="M105" s="18">
        <f>IF(OR(H105="",H106=""),0,IF(AND(H105&gt;=Parametri!$B$11,I105&gt;=Parametri!$B$10,I106&lt;Parametri!$B$10),ROW(),0))</f>
        <v>0</v>
      </c>
      <c r="O105" s="41"/>
      <c r="P105" s="41"/>
      <c r="Q105" s="13" t="str">
        <f t="shared" ref="Q105:Q136" si="47">IF(OR(O105="",P$4=""),"",P105/P$4)</f>
        <v/>
      </c>
      <c r="R105" s="23" t="str">
        <f t="shared" si="37"/>
        <v/>
      </c>
      <c r="S105" s="34" t="str">
        <f t="shared" si="38"/>
        <v/>
      </c>
      <c r="T105" s="18">
        <f>IF(OR(O105="",O106=""),0,IF(AND(O105&gt;=Parametri!$B$11,P105&gt;=Parametri!$B$10,P106&lt;Parametri!$B$10),ROW(),0))</f>
        <v>0</v>
      </c>
      <c r="V105" s="41"/>
      <c r="W105" s="41"/>
      <c r="X105" s="13" t="str">
        <f t="shared" ref="X105:X136" si="48">IF(OR(V105="",W$4=""),"",W105/W$4)</f>
        <v/>
      </c>
      <c r="Y105" s="23" t="str">
        <f t="shared" si="40"/>
        <v/>
      </c>
      <c r="Z105" s="34" t="str">
        <f t="shared" si="41"/>
        <v/>
      </c>
      <c r="AA105" s="18">
        <f>IF(OR(V105="",V106=""),0,IF(AND(V105&gt;=Parametri!$B$11,W105&gt;=Parametri!$B$10,W106&lt;Parametri!$B$10),ROW(),0))</f>
        <v>0</v>
      </c>
      <c r="AC105" s="41"/>
      <c r="AD105" s="41"/>
      <c r="AE105" s="13" t="str">
        <f t="shared" ref="AE105:AE136" si="49">IF(OR(AC105="",AD$4=""),"",AD105/AD$4)</f>
        <v/>
      </c>
      <c r="AF105" s="23" t="str">
        <f t="shared" si="43"/>
        <v/>
      </c>
      <c r="AG105" s="34" t="str">
        <f t="shared" si="44"/>
        <v/>
      </c>
      <c r="AH105" s="18">
        <f>IF(OR(AC105="",AC106=""),0,IF(AND(AC105&gt;=Parametri!$B$11,AD105&gt;=Parametri!$B$10,AD106&lt;Parametri!$B$10),ROW(),0))</f>
        <v>0</v>
      </c>
    </row>
    <row r="106" spans="1:34" x14ac:dyDescent="0.25">
      <c r="A106" s="41"/>
      <c r="B106" s="41"/>
      <c r="C106" s="13" t="str">
        <f t="shared" si="45"/>
        <v/>
      </c>
      <c r="D106" s="23" t="str">
        <f t="shared" si="31"/>
        <v/>
      </c>
      <c r="E106" s="34" t="str">
        <f t="shared" si="32"/>
        <v/>
      </c>
      <c r="F106" s="18">
        <f>IF(OR(A106="",A107=""),0,IF(AND(A106&gt;=Parametri!$B$11,B106&gt;=Parametri!$B$10,B107&lt;Parametri!$B$10),ROW(),0))</f>
        <v>0</v>
      </c>
      <c r="H106" s="41"/>
      <c r="I106" s="41"/>
      <c r="J106" s="13" t="str">
        <f t="shared" si="46"/>
        <v/>
      </c>
      <c r="K106" s="23" t="str">
        <f t="shared" si="34"/>
        <v/>
      </c>
      <c r="L106" s="34" t="str">
        <f t="shared" si="35"/>
        <v/>
      </c>
      <c r="M106" s="18">
        <f>IF(OR(H106="",H107=""),0,IF(AND(H106&gt;=Parametri!$B$11,I106&gt;=Parametri!$B$10,I107&lt;Parametri!$B$10),ROW(),0))</f>
        <v>0</v>
      </c>
      <c r="O106" s="41"/>
      <c r="P106" s="41"/>
      <c r="Q106" s="13" t="str">
        <f t="shared" si="47"/>
        <v/>
      </c>
      <c r="R106" s="23" t="str">
        <f t="shared" si="37"/>
        <v/>
      </c>
      <c r="S106" s="34" t="str">
        <f t="shared" si="38"/>
        <v/>
      </c>
      <c r="T106" s="18">
        <f>IF(OR(O106="",O107=""),0,IF(AND(O106&gt;=Parametri!$B$11,P106&gt;=Parametri!$B$10,P107&lt;Parametri!$B$10),ROW(),0))</f>
        <v>0</v>
      </c>
      <c r="V106" s="41"/>
      <c r="W106" s="41"/>
      <c r="X106" s="13" t="str">
        <f t="shared" si="48"/>
        <v/>
      </c>
      <c r="Y106" s="23" t="str">
        <f t="shared" si="40"/>
        <v/>
      </c>
      <c r="Z106" s="34" t="str">
        <f t="shared" si="41"/>
        <v/>
      </c>
      <c r="AA106" s="18">
        <f>IF(OR(V106="",V107=""),0,IF(AND(V106&gt;=Parametri!$B$11,W106&gt;=Parametri!$B$10,W107&lt;Parametri!$B$10),ROW(),0))</f>
        <v>0</v>
      </c>
      <c r="AC106" s="41"/>
      <c r="AD106" s="41"/>
      <c r="AE106" s="13" t="str">
        <f t="shared" si="49"/>
        <v/>
      </c>
      <c r="AF106" s="23" t="str">
        <f t="shared" si="43"/>
        <v/>
      </c>
      <c r="AG106" s="34" t="str">
        <f t="shared" si="44"/>
        <v/>
      </c>
      <c r="AH106" s="18">
        <f>IF(OR(AC106="",AC107=""),0,IF(AND(AC106&gt;=Parametri!$B$11,AD106&gt;=Parametri!$B$10,AD107&lt;Parametri!$B$10),ROW(),0))</f>
        <v>0</v>
      </c>
    </row>
    <row r="107" spans="1:34" x14ac:dyDescent="0.25">
      <c r="A107" s="41"/>
      <c r="B107" s="41"/>
      <c r="C107" s="13" t="str">
        <f t="shared" si="45"/>
        <v/>
      </c>
      <c r="D107" s="23" t="str">
        <f t="shared" si="31"/>
        <v/>
      </c>
      <c r="E107" s="34" t="str">
        <f t="shared" si="32"/>
        <v/>
      </c>
      <c r="F107" s="18">
        <f>IF(OR(A107="",A108=""),0,IF(AND(A107&gt;=Parametri!$B$11,B107&gt;=Parametri!$B$10,B108&lt;Parametri!$B$10),ROW(),0))</f>
        <v>0</v>
      </c>
      <c r="H107" s="41"/>
      <c r="I107" s="41"/>
      <c r="J107" s="13" t="str">
        <f t="shared" si="46"/>
        <v/>
      </c>
      <c r="K107" s="23" t="str">
        <f t="shared" si="34"/>
        <v/>
      </c>
      <c r="L107" s="34" t="str">
        <f t="shared" si="35"/>
        <v/>
      </c>
      <c r="M107" s="18">
        <f>IF(OR(H107="",H108=""),0,IF(AND(H107&gt;=Parametri!$B$11,I107&gt;=Parametri!$B$10,I108&lt;Parametri!$B$10),ROW(),0))</f>
        <v>0</v>
      </c>
      <c r="O107" s="41"/>
      <c r="P107" s="41"/>
      <c r="Q107" s="13" t="str">
        <f t="shared" si="47"/>
        <v/>
      </c>
      <c r="R107" s="23" t="str">
        <f t="shared" si="37"/>
        <v/>
      </c>
      <c r="S107" s="34" t="str">
        <f t="shared" si="38"/>
        <v/>
      </c>
      <c r="T107" s="18">
        <f>IF(OR(O107="",O108=""),0,IF(AND(O107&gt;=Parametri!$B$11,P107&gt;=Parametri!$B$10,P108&lt;Parametri!$B$10),ROW(),0))</f>
        <v>0</v>
      </c>
      <c r="V107" s="41"/>
      <c r="W107" s="41"/>
      <c r="X107" s="13" t="str">
        <f t="shared" si="48"/>
        <v/>
      </c>
      <c r="Y107" s="23" t="str">
        <f t="shared" si="40"/>
        <v/>
      </c>
      <c r="Z107" s="34" t="str">
        <f t="shared" si="41"/>
        <v/>
      </c>
      <c r="AA107" s="18">
        <f>IF(OR(V107="",V108=""),0,IF(AND(V107&gt;=Parametri!$B$11,W107&gt;=Parametri!$B$10,W108&lt;Parametri!$B$10),ROW(),0))</f>
        <v>0</v>
      </c>
      <c r="AC107" s="41"/>
      <c r="AD107" s="41"/>
      <c r="AE107" s="13" t="str">
        <f t="shared" si="49"/>
        <v/>
      </c>
      <c r="AF107" s="23" t="str">
        <f t="shared" si="43"/>
        <v/>
      </c>
      <c r="AG107" s="34" t="str">
        <f t="shared" si="44"/>
        <v/>
      </c>
      <c r="AH107" s="18">
        <f>IF(OR(AC107="",AC108=""),0,IF(AND(AC107&gt;=Parametri!$B$11,AD107&gt;=Parametri!$B$10,AD108&lt;Parametri!$B$10),ROW(),0))</f>
        <v>0</v>
      </c>
    </row>
    <row r="108" spans="1:34" x14ac:dyDescent="0.25">
      <c r="A108" s="41"/>
      <c r="B108" s="41"/>
      <c r="C108" s="13" t="str">
        <f t="shared" si="45"/>
        <v/>
      </c>
      <c r="D108" s="23" t="str">
        <f t="shared" si="31"/>
        <v/>
      </c>
      <c r="E108" s="34" t="str">
        <f t="shared" si="32"/>
        <v/>
      </c>
      <c r="F108" s="18">
        <f>IF(OR(A108="",A109=""),0,IF(AND(A108&gt;=Parametri!$B$11,B108&gt;=Parametri!$B$10,B109&lt;Parametri!$B$10),ROW(),0))</f>
        <v>0</v>
      </c>
      <c r="H108" s="41"/>
      <c r="I108" s="41"/>
      <c r="J108" s="13" t="str">
        <f t="shared" si="46"/>
        <v/>
      </c>
      <c r="K108" s="23" t="str">
        <f t="shared" si="34"/>
        <v/>
      </c>
      <c r="L108" s="34" t="str">
        <f t="shared" si="35"/>
        <v/>
      </c>
      <c r="M108" s="18">
        <f>IF(OR(H108="",H109=""),0,IF(AND(H108&gt;=Parametri!$B$11,I108&gt;=Parametri!$B$10,I109&lt;Parametri!$B$10),ROW(),0))</f>
        <v>0</v>
      </c>
      <c r="O108" s="41"/>
      <c r="P108" s="41"/>
      <c r="Q108" s="13" t="str">
        <f t="shared" si="47"/>
        <v/>
      </c>
      <c r="R108" s="23" t="str">
        <f t="shared" si="37"/>
        <v/>
      </c>
      <c r="S108" s="34" t="str">
        <f t="shared" si="38"/>
        <v/>
      </c>
      <c r="T108" s="18">
        <f>IF(OR(O108="",O109=""),0,IF(AND(O108&gt;=Parametri!$B$11,P108&gt;=Parametri!$B$10,P109&lt;Parametri!$B$10),ROW(),0))</f>
        <v>0</v>
      </c>
      <c r="V108" s="41"/>
      <c r="W108" s="41"/>
      <c r="X108" s="13" t="str">
        <f t="shared" si="48"/>
        <v/>
      </c>
      <c r="Y108" s="23" t="str">
        <f t="shared" si="40"/>
        <v/>
      </c>
      <c r="Z108" s="34" t="str">
        <f t="shared" si="41"/>
        <v/>
      </c>
      <c r="AA108" s="18">
        <f>IF(OR(V108="",V109=""),0,IF(AND(V108&gt;=Parametri!$B$11,W108&gt;=Parametri!$B$10,W109&lt;Parametri!$B$10),ROW(),0))</f>
        <v>0</v>
      </c>
      <c r="AC108" s="41"/>
      <c r="AD108" s="41"/>
      <c r="AE108" s="13" t="str">
        <f t="shared" si="49"/>
        <v/>
      </c>
      <c r="AF108" s="23" t="str">
        <f t="shared" si="43"/>
        <v/>
      </c>
      <c r="AG108" s="34" t="str">
        <f t="shared" si="44"/>
        <v/>
      </c>
      <c r="AH108" s="18">
        <f>IF(OR(AC108="",AC109=""),0,IF(AND(AC108&gt;=Parametri!$B$11,AD108&gt;=Parametri!$B$10,AD109&lt;Parametri!$B$10),ROW(),0))</f>
        <v>0</v>
      </c>
    </row>
  </sheetData>
  <conditionalFormatting sqref="A9:F108">
    <cfRule type="expression" dxfId="32" priority="2">
      <formula>$F9&gt;0</formula>
    </cfRule>
  </conditionalFormatting>
  <conditionalFormatting sqref="H9:M108">
    <cfRule type="expression" dxfId="30" priority="4">
      <formula>$M9&gt;0</formula>
    </cfRule>
  </conditionalFormatting>
  <conditionalFormatting sqref="O9:T108">
    <cfRule type="expression" dxfId="28" priority="6">
      <formula>$T9&gt;0</formula>
    </cfRule>
  </conditionalFormatting>
  <conditionalFormatting sqref="AC9:AH108">
    <cfRule type="expression" dxfId="24" priority="10">
      <formula>$AH9&gt;0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B00-000003000000}">
            <xm:f>AND($A9&lt;&gt;"",$A9&gt;Parametri!$B$7)</xm:f>
            <x14:dxf>
              <fill>
                <patternFill>
                  <bgColor rgb="FFFCE4D6"/>
                </patternFill>
              </fill>
            </x14:dxf>
          </x14:cfRule>
          <xm:sqref>A9:F108</xm:sqref>
        </x14:conditionalFormatting>
        <x14:conditionalFormatting xmlns:xm="http://schemas.microsoft.com/office/excel/2006/main">
          <x14:cfRule type="expression" priority="5" id="{00000000-000E-0000-0B00-000005000000}">
            <xm:f>AND($H9&lt;&gt;"",$H9&gt;Parametri!$B$7)</xm:f>
            <x14:dxf>
              <fill>
                <patternFill>
                  <bgColor rgb="FFFCE4D6"/>
                </patternFill>
              </fill>
            </x14:dxf>
          </x14:cfRule>
          <xm:sqref>H9:M108</xm:sqref>
        </x14:conditionalFormatting>
        <x14:conditionalFormatting xmlns:xm="http://schemas.microsoft.com/office/excel/2006/main">
          <x14:cfRule type="expression" priority="7" id="{00000000-000E-0000-0B00-000007000000}">
            <xm:f>AND($O9&lt;&gt;"",$O9&gt;Parametri!$B$7)</xm:f>
            <x14:dxf>
              <fill>
                <patternFill>
                  <bgColor rgb="FFFCE4D6"/>
                </patternFill>
              </fill>
            </x14:dxf>
          </x14:cfRule>
          <xm:sqref>O9:T108</xm:sqref>
        </x14:conditionalFormatting>
        <x14:conditionalFormatting xmlns:xm="http://schemas.microsoft.com/office/excel/2006/main">
          <x14:cfRule type="expression" priority="8" id="{00000000-000E-0000-0B00-000008000000}">
            <xm:f>AND($V9&lt;&gt;"",$V9&gt;Parametri!$B$7)</xm:f>
            <x14:dxf>
              <fill>
                <patternFill>
                  <bgColor rgb="FFFCE4D6"/>
                </patternFill>
              </fill>
            </x14:dxf>
          </x14:cfRule>
          <xm:sqref>V9:AA108</xm:sqref>
        </x14:conditionalFormatting>
        <x14:conditionalFormatting xmlns:xm="http://schemas.microsoft.com/office/excel/2006/main">
          <x14:cfRule type="expression" priority="9" id="{00000000-000E-0000-0B00-000009000000}">
            <xm:f>AND($AC9&lt;&gt;"",$AC9&gt;Parametri!$B$7)</xm:f>
            <x14:dxf>
              <fill>
                <patternFill>
                  <bgColor rgb="FFFCE4D6"/>
                </patternFill>
              </fill>
            </x14:dxf>
          </x14:cfRule>
          <xm:sqref>AC9:AH108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3" customWidth="1"/>
    <col min="3" max="3" width="9" customWidth="1"/>
    <col min="4" max="5" width="11" customWidth="1"/>
    <col min="6" max="6" width="10" customWidth="1"/>
    <col min="7" max="7" width="3" customWidth="1"/>
    <col min="8" max="8" width="10" customWidth="1"/>
    <col min="9" max="9" width="13" customWidth="1"/>
    <col min="10" max="10" width="9" customWidth="1"/>
    <col min="11" max="12" width="11" customWidth="1"/>
    <col min="13" max="13" width="10" customWidth="1"/>
    <col min="14" max="14" width="3" customWidth="1"/>
    <col min="15" max="15" width="10" customWidth="1"/>
    <col min="16" max="16" width="13" customWidth="1"/>
    <col min="17" max="17" width="9" customWidth="1"/>
    <col min="18" max="19" width="11" customWidth="1"/>
    <col min="20" max="20" width="10" customWidth="1"/>
    <col min="21" max="21" width="3" customWidth="1"/>
    <col min="22" max="22" width="10" customWidth="1"/>
    <col min="23" max="23" width="13" customWidth="1"/>
    <col min="24" max="24" width="9" customWidth="1"/>
    <col min="25" max="26" width="11" customWidth="1"/>
    <col min="27" max="27" width="10" customWidth="1"/>
    <col min="28" max="28" width="3" customWidth="1"/>
    <col min="29" max="29" width="10" customWidth="1"/>
    <col min="30" max="30" width="13" customWidth="1"/>
    <col min="31" max="31" width="9" customWidth="1"/>
    <col min="32" max="33" width="11" customWidth="1"/>
    <col min="34" max="34" width="10" customWidth="1"/>
    <col min="35" max="35" width="3" customWidth="1"/>
  </cols>
  <sheetData>
    <row r="1" spans="1:34" ht="18" customHeight="1" x14ac:dyDescent="0.25">
      <c r="A1" s="2" t="s">
        <v>213</v>
      </c>
    </row>
    <row r="2" spans="1:34" x14ac:dyDescent="0.25">
      <c r="A2" s="3" t="s">
        <v>214</v>
      </c>
    </row>
    <row r="3" spans="1:34" x14ac:dyDescent="0.25">
      <c r="A3" s="16" t="s">
        <v>59</v>
      </c>
      <c r="B3" s="12">
        <v>80</v>
      </c>
      <c r="H3" s="16" t="s">
        <v>59</v>
      </c>
      <c r="I3" s="12">
        <v>150</v>
      </c>
      <c r="O3" s="16" t="s">
        <v>59</v>
      </c>
      <c r="P3" s="12">
        <v>250</v>
      </c>
      <c r="V3" s="16" t="s">
        <v>59</v>
      </c>
      <c r="W3" s="12"/>
      <c r="AC3" s="16" t="s">
        <v>59</v>
      </c>
      <c r="AD3" s="12"/>
    </row>
    <row r="4" spans="1:34" ht="25.5" customHeight="1" x14ac:dyDescent="0.25">
      <c r="A4" s="16" t="s">
        <v>160</v>
      </c>
      <c r="B4" s="13">
        <f>IF(COUNT(B9:B108)=0,"",MAX(B9:B108))</f>
        <v>1.0273762150000001</v>
      </c>
      <c r="H4" s="16" t="s">
        <v>160</v>
      </c>
      <c r="I4" s="13">
        <f>IF(COUNT(I9:I108)=0,"",MAX(I9:I108))</f>
        <v>1.962604016</v>
      </c>
      <c r="O4" s="16" t="s">
        <v>160</v>
      </c>
      <c r="P4" s="13">
        <f>IF(COUNT(P9:P108)=0,"",MAX(P9:P108))</f>
        <v>3.3178458059999998</v>
      </c>
      <c r="V4" s="16" t="s">
        <v>160</v>
      </c>
      <c r="W4" s="13" t="str">
        <f>IF(COUNT(W9:W108)=0,"",MAX(W9:W108))</f>
        <v/>
      </c>
      <c r="AC4" s="16" t="s">
        <v>160</v>
      </c>
      <c r="AD4" s="13" t="str">
        <f>IF(COUNT(AD9:AD108)=0,"",MAX(AD9:AD108))</f>
        <v/>
      </c>
    </row>
    <row r="5" spans="1:34" ht="25.5" customHeight="1" x14ac:dyDescent="0.25">
      <c r="A5" s="16" t="s">
        <v>159</v>
      </c>
      <c r="B5" s="13">
        <f>IF(B3="","",B3/3600/Parametri!$C$18)</f>
        <v>0.55555555555555558</v>
      </c>
      <c r="H5" s="16" t="s">
        <v>159</v>
      </c>
      <c r="I5" s="13">
        <f>IF(I3="","",I3/3600/Parametri!$C$18)</f>
        <v>1.0416666666666665</v>
      </c>
      <c r="O5" s="16" t="s">
        <v>159</v>
      </c>
      <c r="P5" s="13">
        <f>IF(P3="","",P3/3600/Parametri!$C$18)</f>
        <v>1.7361111111111112</v>
      </c>
      <c r="V5" s="16" t="s">
        <v>159</v>
      </c>
      <c r="W5" s="13" t="str">
        <f>IF(W3="","",W3/3600/Parametri!$C$18)</f>
        <v/>
      </c>
      <c r="AC5" s="16" t="s">
        <v>159</v>
      </c>
      <c r="AD5" s="13" t="str">
        <f>IF(AD3="","",AD3/3600/Parametri!$C$18)</f>
        <v/>
      </c>
    </row>
    <row r="6" spans="1:34" ht="25.5" customHeight="1" x14ac:dyDescent="0.25">
      <c r="A6" s="16" t="s">
        <v>207</v>
      </c>
      <c r="B6" s="34">
        <f>IF(OR(B3="",B4=""),"",B3/3600/B4)</f>
        <v>2.1630072701480849E-2</v>
      </c>
      <c r="H6" s="16" t="s">
        <v>207</v>
      </c>
      <c r="I6" s="34">
        <f>IF(OR(I3="",I4=""),"",I3/3600/I4)</f>
        <v>2.1230297261690033E-2</v>
      </c>
      <c r="O6" s="16" t="s">
        <v>207</v>
      </c>
      <c r="P6" s="34">
        <f>IF(OR(P3="",P4=""),"",P3/3600/P4)</f>
        <v>2.0930582222615939E-2</v>
      </c>
      <c r="V6" s="16" t="s">
        <v>207</v>
      </c>
      <c r="W6" s="34" t="str">
        <f>IF(OR(W3="",W4=""),"",W3/3600/W4)</f>
        <v/>
      </c>
      <c r="AC6" s="16" t="s">
        <v>207</v>
      </c>
      <c r="AD6" s="34" t="str">
        <f>IF(OR(AD3="",AD4=""),"",AD3/3600/AD4)</f>
        <v/>
      </c>
    </row>
    <row r="7" spans="1:34" x14ac:dyDescent="0.25">
      <c r="A7" s="3" t="s">
        <v>208</v>
      </c>
    </row>
    <row r="8" spans="1:34" ht="33.75" customHeight="1" x14ac:dyDescent="0.25">
      <c r="A8" s="4" t="s">
        <v>176</v>
      </c>
      <c r="B8" s="4" t="s">
        <v>209</v>
      </c>
      <c r="C8" s="4" t="s">
        <v>210</v>
      </c>
      <c r="D8" s="4" t="s">
        <v>211</v>
      </c>
      <c r="E8" s="4" t="s">
        <v>212</v>
      </c>
      <c r="F8" s="4" t="s">
        <v>168</v>
      </c>
      <c r="H8" s="4" t="s">
        <v>176</v>
      </c>
      <c r="I8" s="4" t="s">
        <v>209</v>
      </c>
      <c r="J8" s="4" t="s">
        <v>210</v>
      </c>
      <c r="K8" s="4" t="s">
        <v>211</v>
      </c>
      <c r="L8" s="4" t="s">
        <v>212</v>
      </c>
      <c r="M8" s="4" t="s">
        <v>168</v>
      </c>
      <c r="O8" s="4" t="s">
        <v>176</v>
      </c>
      <c r="P8" s="4" t="s">
        <v>209</v>
      </c>
      <c r="Q8" s="4" t="s">
        <v>210</v>
      </c>
      <c r="R8" s="4" t="s">
        <v>211</v>
      </c>
      <c r="S8" s="4" t="s">
        <v>212</v>
      </c>
      <c r="T8" s="4" t="s">
        <v>168</v>
      </c>
      <c r="V8" s="4" t="s">
        <v>176</v>
      </c>
      <c r="W8" s="4" t="s">
        <v>209</v>
      </c>
      <c r="X8" s="4" t="s">
        <v>210</v>
      </c>
      <c r="Y8" s="4" t="s">
        <v>211</v>
      </c>
      <c r="Z8" s="4" t="s">
        <v>212</v>
      </c>
      <c r="AA8" s="4" t="s">
        <v>168</v>
      </c>
      <c r="AC8" s="4" t="s">
        <v>176</v>
      </c>
      <c r="AD8" s="4" t="s">
        <v>209</v>
      </c>
      <c r="AE8" s="4" t="s">
        <v>210</v>
      </c>
      <c r="AF8" s="4" t="s">
        <v>211</v>
      </c>
      <c r="AG8" s="4" t="s">
        <v>212</v>
      </c>
      <c r="AH8" s="4" t="s">
        <v>168</v>
      </c>
    </row>
    <row r="9" spans="1:34" x14ac:dyDescent="0.25">
      <c r="A9" s="41">
        <v>0</v>
      </c>
      <c r="B9" s="41">
        <v>1.0273762150000001</v>
      </c>
      <c r="C9" s="13">
        <f t="shared" ref="C9:C40" si="0">IF(OR(A9="",B$4=""),"",B9/B$4)</f>
        <v>1</v>
      </c>
      <c r="D9" s="23" t="str">
        <f t="shared" ref="D9:D40" si="1">IF(OR(A9="",A10="",A9&lt;=0),"",IFERROR(LN(B10/B9)/LN(A10/A9),""))</f>
        <v/>
      </c>
      <c r="E9" s="34" t="str">
        <f t="shared" ref="E9:E40" si="2">IF(OR(A9="",B$3="",A9&lt;=0),"",B9*A9/B$3)</f>
        <v/>
      </c>
      <c r="F9" s="18">
        <f>IF(OR(A9="",A10=""),0,IF(AND(A9&gt;=Parametri!$B$11,B9&gt;=Parametri!$B$10,B10&lt;Parametri!$B$10),ROW(),0))</f>
        <v>0</v>
      </c>
      <c r="H9" s="41">
        <v>0</v>
      </c>
      <c r="I9" s="41">
        <v>1.962604016</v>
      </c>
      <c r="J9" s="13">
        <f t="shared" ref="J9:J40" si="3">IF(OR(H9="",I$4=""),"",I9/I$4)</f>
        <v>1</v>
      </c>
      <c r="K9" s="23" t="str">
        <f t="shared" ref="K9:K40" si="4">IF(OR(H9="",H10="",H9&lt;=0),"",IFERROR(LN(I10/I9)/LN(H10/H9),""))</f>
        <v/>
      </c>
      <c r="L9" s="34" t="str">
        <f t="shared" ref="L9:L40" si="5">IF(OR(H9="",I$3="",H9&lt;=0),"",I9*H9/I$3)</f>
        <v/>
      </c>
      <c r="M9" s="18">
        <f>IF(OR(H9="",H10=""),0,IF(AND(H9&gt;=Parametri!$B$11,I9&gt;=Parametri!$B$10,I10&lt;Parametri!$B$10),ROW(),0))</f>
        <v>0</v>
      </c>
      <c r="O9" s="41">
        <v>0</v>
      </c>
      <c r="P9" s="41">
        <v>3.3055731320000001</v>
      </c>
      <c r="Q9" s="13">
        <f t="shared" ref="Q9:Q40" si="6">IF(OR(O9="",P$4=""),"",P9/P$4)</f>
        <v>0.9963010113436237</v>
      </c>
      <c r="R9" s="23" t="str">
        <f t="shared" ref="R9:R40" si="7">IF(OR(O9="",O10="",O9&lt;=0),"",IFERROR(LN(P10/P9)/LN(O10/O9),""))</f>
        <v/>
      </c>
      <c r="S9" s="34" t="str">
        <f t="shared" ref="S9:S40" si="8">IF(OR(O9="",P$3="",O9&lt;=0),"",P9*O9/P$3)</f>
        <v/>
      </c>
      <c r="T9" s="18">
        <f>IF(OR(O9="",O10=""),0,IF(AND(O9&gt;=Parametri!$B$11,P9&gt;=Parametri!$B$10,P10&lt;Parametri!$B$10),ROW(),0))</f>
        <v>0</v>
      </c>
      <c r="V9" s="41"/>
      <c r="W9" s="41"/>
      <c r="X9" s="13" t="str">
        <f t="shared" ref="X9:X40" si="9">IF(OR(V9="",W$4=""),"",W9/W$4)</f>
        <v/>
      </c>
      <c r="Y9" s="23" t="str">
        <f t="shared" ref="Y9:Y40" si="10">IF(OR(V9="",V10="",V9&lt;=0),"",IFERROR(LN(W10/W9)/LN(V10/V9),""))</f>
        <v/>
      </c>
      <c r="Z9" s="34" t="str">
        <f t="shared" ref="Z9:Z40" si="11">IF(OR(V9="",W$3="",V9&lt;=0),"",W9*V9/W$3)</f>
        <v/>
      </c>
      <c r="AA9" s="18">
        <f>IF(OR(V9="",V10=""),0,IF(AND(V9&gt;=Parametri!$B$11,W9&gt;=Parametri!$B$10,W10&lt;Parametri!$B$10),ROW(),0))</f>
        <v>0</v>
      </c>
      <c r="AC9" s="41"/>
      <c r="AD9" s="41"/>
      <c r="AE9" s="13" t="str">
        <f t="shared" ref="AE9:AE40" si="12">IF(OR(AC9="",AD$4=""),"",AD9/AD$4)</f>
        <v/>
      </c>
      <c r="AF9" s="23" t="str">
        <f t="shared" ref="AF9:AF40" si="13">IF(OR(AC9="",AC10="",AC9&lt;=0),"",IFERROR(LN(AD10/AD9)/LN(AC10/AC9),""))</f>
        <v/>
      </c>
      <c r="AG9" s="34" t="str">
        <f t="shared" ref="AG9:AG40" si="14">IF(OR(AC9="",AD$3="",AC9&lt;=0),"",AD9*AC9/AD$3)</f>
        <v/>
      </c>
      <c r="AH9" s="18">
        <f>IF(OR(AC9="",AC10=""),0,IF(AND(AC9&gt;=Parametri!$B$11,AD9&gt;=Parametri!$B$10,AD10&lt;Parametri!$B$10),ROW(),0))</f>
        <v>0</v>
      </c>
    </row>
    <row r="10" spans="1:34" x14ac:dyDescent="0.25">
      <c r="A10" s="41">
        <v>4.8457300000000003E-3</v>
      </c>
      <c r="B10" s="41">
        <v>1.021613426</v>
      </c>
      <c r="C10" s="13">
        <f t="shared" si="0"/>
        <v>0.99439077047350177</v>
      </c>
      <c r="D10" s="23">
        <f t="shared" si="1"/>
        <v>-3.3593952034241641E-2</v>
      </c>
      <c r="E10" s="34">
        <f t="shared" si="2"/>
        <v>6.1880785334637257E-5</v>
      </c>
      <c r="F10" s="18">
        <f>IF(OR(A10="",A11=""),0,IF(AND(A10&gt;=Parametri!$B$11,B10&gt;=Parametri!$B$10,B11&lt;Parametri!$B$10),ROW(),0))</f>
        <v>0</v>
      </c>
      <c r="H10" s="41">
        <v>4.8457300000000003E-3</v>
      </c>
      <c r="I10" s="41">
        <v>1.96145927</v>
      </c>
      <c r="J10" s="13">
        <f t="shared" si="3"/>
        <v>0.99941672085114086</v>
      </c>
      <c r="K10" s="23">
        <f t="shared" si="4"/>
        <v>-2.6391367370652372E-2</v>
      </c>
      <c r="L10" s="34">
        <f t="shared" si="5"/>
        <v>6.336468018944734E-5</v>
      </c>
      <c r="M10" s="18">
        <f>IF(OR(H10="",H11=""),0,IF(AND(H10&gt;=Parametri!$B$11,I10&gt;=Parametri!$B$10,I11&lt;Parametri!$B$10),ROW(),0))</f>
        <v>0</v>
      </c>
      <c r="O10" s="41">
        <v>4.8457300000000003E-3</v>
      </c>
      <c r="P10" s="41">
        <v>3.3178458059999998</v>
      </c>
      <c r="Q10" s="13">
        <f t="shared" si="6"/>
        <v>1</v>
      </c>
      <c r="R10" s="23">
        <f t="shared" si="7"/>
        <v>-1.8598126390963539E-2</v>
      </c>
      <c r="S10" s="34">
        <f t="shared" si="8"/>
        <v>6.4309539830033523E-5</v>
      </c>
      <c r="T10" s="18">
        <f>IF(OR(O10="",O11=""),0,IF(AND(O10&gt;=Parametri!$B$11,P10&gt;=Parametri!$B$10,P11&lt;Parametri!$B$10),ROW(),0))</f>
        <v>0</v>
      </c>
      <c r="V10" s="41"/>
      <c r="W10" s="41"/>
      <c r="X10" s="13" t="str">
        <f t="shared" si="9"/>
        <v/>
      </c>
      <c r="Y10" s="23" t="str">
        <f t="shared" si="10"/>
        <v/>
      </c>
      <c r="Z10" s="34" t="str">
        <f t="shared" si="11"/>
        <v/>
      </c>
      <c r="AA10" s="18">
        <f>IF(OR(V10="",V11=""),0,IF(AND(V10&gt;=Parametri!$B$11,W10&gt;=Parametri!$B$10,W11&lt;Parametri!$B$10),ROW(),0))</f>
        <v>0</v>
      </c>
      <c r="AC10" s="41"/>
      <c r="AD10" s="41"/>
      <c r="AE10" s="13" t="str">
        <f t="shared" si="12"/>
        <v/>
      </c>
      <c r="AF10" s="23" t="str">
        <f t="shared" si="13"/>
        <v/>
      </c>
      <c r="AG10" s="34" t="str">
        <f t="shared" si="14"/>
        <v/>
      </c>
      <c r="AH10" s="18">
        <f>IF(OR(AC10="",AC11=""),0,IF(AND(AC10&gt;=Parametri!$B$11,AD10&gt;=Parametri!$B$10,AD11&lt;Parametri!$B$10),ROW(),0))</f>
        <v>0</v>
      </c>
    </row>
    <row r="11" spans="1:34" x14ac:dyDescent="0.25">
      <c r="A11" s="41">
        <v>1.2234470000000001E-2</v>
      </c>
      <c r="B11" s="41">
        <v>0.990316996</v>
      </c>
      <c r="C11" s="13">
        <f t="shared" si="0"/>
        <v>0.96392828794464536</v>
      </c>
      <c r="D11" s="23">
        <f t="shared" si="1"/>
        <v>-0.10044181940407106</v>
      </c>
      <c r="E11" s="34">
        <f t="shared" si="2"/>
        <v>1.5145004472565151E-4</v>
      </c>
      <c r="F11" s="18">
        <f>IF(OR(A11="",A12=""),0,IF(AND(A11&gt;=Parametri!$B$11,B11&gt;=Parametri!$B$10,B12&lt;Parametri!$B$10),ROW(),0))</f>
        <v>0</v>
      </c>
      <c r="H11" s="41">
        <v>1.1495596E-2</v>
      </c>
      <c r="I11" s="41">
        <v>1.9172466379999999</v>
      </c>
      <c r="J11" s="13">
        <f t="shared" si="3"/>
        <v>0.97688918516917977</v>
      </c>
      <c r="K11" s="23">
        <f t="shared" si="4"/>
        <v>-0.10609018258028494</v>
      </c>
      <c r="L11" s="34">
        <f t="shared" si="5"/>
        <v>1.4693261855204165E-4</v>
      </c>
      <c r="M11" s="18">
        <f>IF(OR(H11="",H12=""),0,IF(AND(H11&gt;=Parametri!$B$11,I11&gt;=Parametri!$B$10,I12&lt;Parametri!$B$10),ROW(),0))</f>
        <v>0</v>
      </c>
      <c r="O11" s="41">
        <v>1.0756722E-2</v>
      </c>
      <c r="P11" s="41">
        <v>3.26900272</v>
      </c>
      <c r="Q11" s="13">
        <f t="shared" si="6"/>
        <v>0.98527867512357814</v>
      </c>
      <c r="R11" s="23">
        <f t="shared" si="7"/>
        <v>-5.567404630756833E-2</v>
      </c>
      <c r="S11" s="34">
        <f t="shared" si="8"/>
        <v>1.4065501390513534E-4</v>
      </c>
      <c r="T11" s="18">
        <f>IF(OR(O11="",O12=""),0,IF(AND(O11&gt;=Parametri!$B$11,P11&gt;=Parametri!$B$10,P12&lt;Parametri!$B$10),ROW(),0))</f>
        <v>0</v>
      </c>
      <c r="V11" s="41"/>
      <c r="W11" s="41"/>
      <c r="X11" s="13" t="str">
        <f t="shared" si="9"/>
        <v/>
      </c>
      <c r="Y11" s="23" t="str">
        <f t="shared" si="10"/>
        <v/>
      </c>
      <c r="Z11" s="34" t="str">
        <f t="shared" si="11"/>
        <v/>
      </c>
      <c r="AA11" s="18">
        <f>IF(OR(V11="",V12=""),0,IF(AND(V11&gt;=Parametri!$B$11,W11&gt;=Parametri!$B$10,W12&lt;Parametri!$B$10),ROW(),0))</f>
        <v>0</v>
      </c>
      <c r="AC11" s="41"/>
      <c r="AD11" s="41"/>
      <c r="AE11" s="13" t="str">
        <f t="shared" si="12"/>
        <v/>
      </c>
      <c r="AF11" s="23" t="str">
        <f t="shared" si="13"/>
        <v/>
      </c>
      <c r="AG11" s="34" t="str">
        <f t="shared" si="14"/>
        <v/>
      </c>
      <c r="AH11" s="18">
        <f>IF(OR(AC11="",AC12=""),0,IF(AND(AC11&gt;=Parametri!$B$11,AD11&gt;=Parametri!$B$10,AD12&lt;Parametri!$B$10),ROW(),0))</f>
        <v>0</v>
      </c>
    </row>
    <row r="12" spans="1:34" x14ac:dyDescent="0.25">
      <c r="A12" s="41">
        <v>3.2184068000000003E-2</v>
      </c>
      <c r="B12" s="41">
        <v>0.89863445500000005</v>
      </c>
      <c r="C12" s="13">
        <f t="shared" si="0"/>
        <v>0.87468878671675299</v>
      </c>
      <c r="D12" s="23">
        <f t="shared" si="1"/>
        <v>-0.18111440372223631</v>
      </c>
      <c r="E12" s="34">
        <f t="shared" si="2"/>
        <v>3.6152140508578681E-4</v>
      </c>
      <c r="F12" s="18">
        <f>IF(OR(A12="",A13=""),0,IF(AND(A12&gt;=Parametri!$B$11,B12&gt;=Parametri!$B$10,B13&lt;Parametri!$B$10),ROW(),0))</f>
        <v>0</v>
      </c>
      <c r="H12" s="41">
        <v>4.1789429000000003E-2</v>
      </c>
      <c r="I12" s="41">
        <v>1.671901665</v>
      </c>
      <c r="J12" s="13">
        <f t="shared" si="3"/>
        <v>0.85187926416634829</v>
      </c>
      <c r="K12" s="23">
        <f t="shared" si="4"/>
        <v>-0.21792954493508745</v>
      </c>
      <c r="L12" s="34">
        <f t="shared" si="5"/>
        <v>4.6578543949666196E-4</v>
      </c>
      <c r="M12" s="18">
        <f>IF(OR(H12="",H13=""),0,IF(AND(H12&gt;=Parametri!$B$11,I12&gt;=Parametri!$B$10,I13&lt;Parametri!$B$10),ROW(),0))</f>
        <v>0</v>
      </c>
      <c r="O12" s="41">
        <v>2.1100958E-2</v>
      </c>
      <c r="P12" s="41">
        <v>3.148645873</v>
      </c>
      <c r="Q12" s="13">
        <f t="shared" si="6"/>
        <v>0.94900307522006655</v>
      </c>
      <c r="R12" s="23">
        <f t="shared" si="7"/>
        <v>-0.14202814488423271</v>
      </c>
      <c r="S12" s="34">
        <f t="shared" si="8"/>
        <v>2.657577772921853E-4</v>
      </c>
      <c r="T12" s="18">
        <f>IF(OR(O12="",O13=""),0,IF(AND(O12&gt;=Parametri!$B$11,P12&gt;=Parametri!$B$10,P13&lt;Parametri!$B$10),ROW(),0))</f>
        <v>0</v>
      </c>
      <c r="V12" s="41"/>
      <c r="W12" s="41"/>
      <c r="X12" s="13" t="str">
        <f t="shared" si="9"/>
        <v/>
      </c>
      <c r="Y12" s="23" t="str">
        <f t="shared" si="10"/>
        <v/>
      </c>
      <c r="Z12" s="34" t="str">
        <f t="shared" si="11"/>
        <v/>
      </c>
      <c r="AA12" s="18">
        <f>IF(OR(V12="",V13=""),0,IF(AND(V12&gt;=Parametri!$B$11,W12&gt;=Parametri!$B$10,W13&lt;Parametri!$B$10),ROW(),0))</f>
        <v>0</v>
      </c>
      <c r="AC12" s="41"/>
      <c r="AD12" s="41"/>
      <c r="AE12" s="13" t="str">
        <f t="shared" si="12"/>
        <v/>
      </c>
      <c r="AF12" s="23" t="str">
        <f t="shared" si="13"/>
        <v/>
      </c>
      <c r="AG12" s="34" t="str">
        <f t="shared" si="14"/>
        <v/>
      </c>
      <c r="AH12" s="18">
        <f>IF(OR(AC12="",AC13=""),0,IF(AND(AC12&gt;=Parametri!$B$11,AD12&gt;=Parametri!$B$10,AD13&lt;Parametri!$B$10),ROW(),0))</f>
        <v>0</v>
      </c>
    </row>
    <row r="13" spans="1:34" x14ac:dyDescent="0.25">
      <c r="A13" s="41">
        <v>4.6222672999999999E-2</v>
      </c>
      <c r="B13" s="41">
        <v>0.84160697200000001</v>
      </c>
      <c r="C13" s="13">
        <f t="shared" si="0"/>
        <v>0.81918089956949214</v>
      </c>
      <c r="D13" s="23">
        <f t="shared" si="1"/>
        <v>-0.22897930968538022</v>
      </c>
      <c r="E13" s="34">
        <f t="shared" si="2"/>
        <v>4.8626654826595196E-4</v>
      </c>
      <c r="F13" s="18">
        <f>IF(OR(A13="",A14=""),0,IF(AND(A13&gt;=Parametri!$B$11,B13&gt;=Parametri!$B$10,B14&lt;Parametri!$B$10),ROW(),0))</f>
        <v>0</v>
      </c>
      <c r="H13" s="41">
        <v>5.7305782999999999E-2</v>
      </c>
      <c r="I13" s="41">
        <v>1.560722218</v>
      </c>
      <c r="J13" s="13">
        <f t="shared" si="3"/>
        <v>0.79523031914554076</v>
      </c>
      <c r="K13" s="23">
        <f t="shared" si="4"/>
        <v>-0.27429102501776159</v>
      </c>
      <c r="L13" s="34">
        <f t="shared" si="5"/>
        <v>5.9625605831991127E-4</v>
      </c>
      <c r="M13" s="18">
        <f>IF(OR(H13="",H14=""),0,IF(AND(H13&gt;=Parametri!$B$11,I13&gt;=Parametri!$B$10,I14&lt;Parametri!$B$10),ROW(),0))</f>
        <v>0</v>
      </c>
      <c r="O13" s="41">
        <v>4.9917043000000001E-2</v>
      </c>
      <c r="P13" s="41">
        <v>2.7862037059999998</v>
      </c>
      <c r="Q13" s="13">
        <f t="shared" si="6"/>
        <v>0.83976286690641944</v>
      </c>
      <c r="R13" s="23">
        <f t="shared" si="7"/>
        <v>-0.24349459255753009</v>
      </c>
      <c r="S13" s="34">
        <f t="shared" si="8"/>
        <v>5.5631620079664543E-4</v>
      </c>
      <c r="T13" s="18">
        <f>IF(OR(O13="",O14=""),0,IF(AND(O13&gt;=Parametri!$B$11,P13&gt;=Parametri!$B$10,P14&lt;Parametri!$B$10),ROW(),0))</f>
        <v>0</v>
      </c>
      <c r="V13" s="41"/>
      <c r="W13" s="41"/>
      <c r="X13" s="13" t="str">
        <f t="shared" si="9"/>
        <v/>
      </c>
      <c r="Y13" s="23" t="str">
        <f t="shared" si="10"/>
        <v/>
      </c>
      <c r="Z13" s="34" t="str">
        <f t="shared" si="11"/>
        <v/>
      </c>
      <c r="AA13" s="18">
        <f>IF(OR(V13="",V14=""),0,IF(AND(V13&gt;=Parametri!$B$11,W13&gt;=Parametri!$B$10,W14&lt;Parametri!$B$10),ROW(),0))</f>
        <v>0</v>
      </c>
      <c r="AC13" s="41"/>
      <c r="AD13" s="41"/>
      <c r="AE13" s="13" t="str">
        <f t="shared" si="12"/>
        <v/>
      </c>
      <c r="AF13" s="23" t="str">
        <f t="shared" si="13"/>
        <v/>
      </c>
      <c r="AG13" s="34" t="str">
        <f t="shared" si="14"/>
        <v/>
      </c>
      <c r="AH13" s="18">
        <f>IF(OR(AC13="",AC14=""),0,IF(AND(AC13&gt;=Parametri!$B$11,AD13&gt;=Parametri!$B$10,AD14&lt;Parametri!$B$10),ROW(),0))</f>
        <v>0</v>
      </c>
    </row>
    <row r="14" spans="1:34" x14ac:dyDescent="0.25">
      <c r="A14" s="41">
        <v>6.1739027000000002E-2</v>
      </c>
      <c r="B14" s="41">
        <v>0.78763597399999996</v>
      </c>
      <c r="C14" s="13">
        <f t="shared" si="0"/>
        <v>0.76664805209647557</v>
      </c>
      <c r="D14" s="23">
        <f t="shared" si="1"/>
        <v>-0.27234484161333272</v>
      </c>
      <c r="E14" s="34">
        <f t="shared" si="2"/>
        <v>6.0784848331196621E-4</v>
      </c>
      <c r="F14" s="18">
        <f>IF(OR(A14="",A15=""),0,IF(AND(A14&gt;=Parametri!$B$11,B14&gt;=Parametri!$B$10,B15&lt;Parametri!$B$10),ROW(),0))</f>
        <v>0</v>
      </c>
      <c r="H14" s="41">
        <v>7.5038758999999997E-2</v>
      </c>
      <c r="I14" s="41">
        <v>1.4494713880000001</v>
      </c>
      <c r="J14" s="13">
        <f t="shared" si="3"/>
        <v>0.73854500254930699</v>
      </c>
      <c r="K14" s="23">
        <f t="shared" si="4"/>
        <v>-0.32172180375567361</v>
      </c>
      <c r="L14" s="34">
        <f t="shared" si="5"/>
        <v>7.251102277435167E-4</v>
      </c>
      <c r="M14" s="18">
        <f>IF(OR(H14="",H15=""),0,IF(AND(H14&gt;=Parametri!$B$11,I14&gt;=Parametri!$B$10,I15&lt;Parametri!$B$10),ROW(),0))</f>
        <v>0</v>
      </c>
      <c r="O14" s="41">
        <v>6.7650019000000006E-2</v>
      </c>
      <c r="P14" s="41">
        <v>2.5874200269999998</v>
      </c>
      <c r="Q14" s="13">
        <f t="shared" si="6"/>
        <v>0.77984938972175977</v>
      </c>
      <c r="R14" s="23">
        <f t="shared" si="7"/>
        <v>-0.3092476780608282</v>
      </c>
      <c r="S14" s="34">
        <f t="shared" si="8"/>
        <v>7.0015605595012209E-4</v>
      </c>
      <c r="T14" s="18">
        <f>IF(OR(O14="",O15=""),0,IF(AND(O14&gt;=Parametri!$B$11,P14&gt;=Parametri!$B$10,P15&lt;Parametri!$B$10),ROW(),0))</f>
        <v>0</v>
      </c>
      <c r="V14" s="41"/>
      <c r="W14" s="41"/>
      <c r="X14" s="13" t="str">
        <f t="shared" si="9"/>
        <v/>
      </c>
      <c r="Y14" s="23" t="str">
        <f t="shared" si="10"/>
        <v/>
      </c>
      <c r="Z14" s="34" t="str">
        <f t="shared" si="11"/>
        <v/>
      </c>
      <c r="AA14" s="18">
        <f>IF(OR(V14="",V15=""),0,IF(AND(V14&gt;=Parametri!$B$11,W14&gt;=Parametri!$B$10,W15&lt;Parametri!$B$10),ROW(),0))</f>
        <v>0</v>
      </c>
      <c r="AC14" s="41"/>
      <c r="AD14" s="41"/>
      <c r="AE14" s="13" t="str">
        <f t="shared" si="12"/>
        <v/>
      </c>
      <c r="AF14" s="23" t="str">
        <f t="shared" si="13"/>
        <v/>
      </c>
      <c r="AG14" s="34" t="str">
        <f t="shared" si="14"/>
        <v/>
      </c>
      <c r="AH14" s="18">
        <f>IF(OR(AC14="",AC15=""),0,IF(AND(AC14&gt;=Parametri!$B$11,AD14&gt;=Parametri!$B$10,AD15&lt;Parametri!$B$10),ROW(),0))</f>
        <v>0</v>
      </c>
    </row>
    <row r="15" spans="1:34" x14ac:dyDescent="0.25">
      <c r="A15" s="41">
        <v>7.8733128999999999E-2</v>
      </c>
      <c r="B15" s="41">
        <v>0.73716812200000004</v>
      </c>
      <c r="C15" s="13">
        <f t="shared" si="0"/>
        <v>0.71752500324333479</v>
      </c>
      <c r="D15" s="23">
        <f t="shared" si="1"/>
        <v>-0.30933874533263922</v>
      </c>
      <c r="E15" s="34">
        <f t="shared" si="2"/>
        <v>7.2549441055142177E-4</v>
      </c>
      <c r="F15" s="18">
        <f>IF(OR(A15="",A16=""),0,IF(AND(A15&gt;=Parametri!$B$11,B15&gt;=Parametri!$B$10,B16&lt;Parametri!$B$10),ROW(),0))</f>
        <v>0</v>
      </c>
      <c r="H15" s="41">
        <v>9.1293986999999993E-2</v>
      </c>
      <c r="I15" s="41">
        <v>1.3608583869999999</v>
      </c>
      <c r="J15" s="13">
        <f t="shared" si="3"/>
        <v>0.69339427408977639</v>
      </c>
      <c r="K15" s="23">
        <f t="shared" si="4"/>
        <v>-0.34176660819178495</v>
      </c>
      <c r="L15" s="34">
        <f t="shared" si="5"/>
        <v>8.2825458594412639E-4</v>
      </c>
      <c r="M15" s="18">
        <f>IF(OR(H15="",H16=""),0,IF(AND(H15&gt;=Parametri!$B$11,I15&gt;=Parametri!$B$10,I16&lt;Parametri!$B$10),ROW(),0))</f>
        <v>0</v>
      </c>
      <c r="O15" s="41">
        <v>8.7599617000000005E-2</v>
      </c>
      <c r="P15" s="41">
        <v>2.388684236</v>
      </c>
      <c r="Q15" s="13">
        <f t="shared" si="6"/>
        <v>0.71995034599868934</v>
      </c>
      <c r="R15" s="23">
        <f t="shared" si="7"/>
        <v>-0.35811443814585225</v>
      </c>
      <c r="S15" s="34">
        <f t="shared" si="8"/>
        <v>8.3699129683015045E-4</v>
      </c>
      <c r="T15" s="18">
        <f>IF(OR(O15="",O16=""),0,IF(AND(O15&gt;=Parametri!$B$11,P15&gt;=Parametri!$B$10,P16&lt;Parametri!$B$10),ROW(),0))</f>
        <v>0</v>
      </c>
      <c r="V15" s="41"/>
      <c r="W15" s="41"/>
      <c r="X15" s="13" t="str">
        <f t="shared" si="9"/>
        <v/>
      </c>
      <c r="Y15" s="23" t="str">
        <f t="shared" si="10"/>
        <v/>
      </c>
      <c r="Z15" s="34" t="str">
        <f t="shared" si="11"/>
        <v/>
      </c>
      <c r="AA15" s="18">
        <f>IF(OR(V15="",V16=""),0,IF(AND(V15&gt;=Parametri!$B$11,W15&gt;=Parametri!$B$10,W16&lt;Parametri!$B$10),ROW(),0))</f>
        <v>0</v>
      </c>
      <c r="AC15" s="41"/>
      <c r="AD15" s="41"/>
      <c r="AE15" s="13" t="str">
        <f t="shared" si="12"/>
        <v/>
      </c>
      <c r="AF15" s="23" t="str">
        <f t="shared" si="13"/>
        <v/>
      </c>
      <c r="AG15" s="34" t="str">
        <f t="shared" si="14"/>
        <v/>
      </c>
      <c r="AH15" s="18">
        <f>IF(OR(AC15="",AC16=""),0,IF(AND(AC15&gt;=Parametri!$B$11,AD15&gt;=Parametri!$B$10,AD16&lt;Parametri!$B$10),ROW(),0))</f>
        <v>0</v>
      </c>
    </row>
    <row r="16" spans="1:34" x14ac:dyDescent="0.25">
      <c r="A16" s="41">
        <v>9.6466104999999996E-2</v>
      </c>
      <c r="B16" s="41">
        <v>0.69227323100000004</v>
      </c>
      <c r="C16" s="13">
        <f t="shared" si="0"/>
        <v>0.67382641421185707</v>
      </c>
      <c r="D16" s="23">
        <f t="shared" si="1"/>
        <v>-0.33163837747601194</v>
      </c>
      <c r="E16" s="34">
        <f t="shared" si="2"/>
        <v>8.3476127737919063E-4</v>
      </c>
      <c r="F16" s="18">
        <f>IF(OR(A16="",A17=""),0,IF(AND(A16&gt;=Parametri!$B$11,B16&gt;=Parametri!$B$10,B17&lt;Parametri!$B$10),ROW(),0))</f>
        <v>0</v>
      </c>
      <c r="H16" s="41">
        <v>0.107549215</v>
      </c>
      <c r="I16" s="41">
        <v>1.2867408520000001</v>
      </c>
      <c r="J16" s="13">
        <f t="shared" si="3"/>
        <v>0.65562937888128736</v>
      </c>
      <c r="K16" s="23">
        <f t="shared" si="4"/>
        <v>-0.34516454576615663</v>
      </c>
      <c r="L16" s="34">
        <f t="shared" si="5"/>
        <v>9.2258645694020798E-4</v>
      </c>
      <c r="M16" s="18">
        <f>IF(OR(H16="",H17=""),0,IF(AND(H16&gt;=Parametri!$B$11,I16&gt;=Parametri!$B$10,I17&lt;Parametri!$B$10),ROW(),0))</f>
        <v>0</v>
      </c>
      <c r="O16" s="41">
        <v>0.104593719</v>
      </c>
      <c r="P16" s="41">
        <v>2.2417269599999998</v>
      </c>
      <c r="Q16" s="13">
        <f t="shared" si="6"/>
        <v>0.67565736657986208</v>
      </c>
      <c r="R16" s="23">
        <f t="shared" si="7"/>
        <v>-0.37316627127447899</v>
      </c>
      <c r="S16" s="34">
        <f t="shared" si="8"/>
        <v>9.3788223891585684E-4</v>
      </c>
      <c r="T16" s="18">
        <f>IF(OR(O16="",O17=""),0,IF(AND(O16&gt;=Parametri!$B$11,P16&gt;=Parametri!$B$10,P17&lt;Parametri!$B$10),ROW(),0))</f>
        <v>0</v>
      </c>
      <c r="V16" s="41"/>
      <c r="W16" s="41"/>
      <c r="X16" s="13" t="str">
        <f t="shared" si="9"/>
        <v/>
      </c>
      <c r="Y16" s="23" t="str">
        <f t="shared" si="10"/>
        <v/>
      </c>
      <c r="Z16" s="34" t="str">
        <f t="shared" si="11"/>
        <v/>
      </c>
      <c r="AA16" s="18">
        <f>IF(OR(V16="",V17=""),0,IF(AND(V16&gt;=Parametri!$B$11,W16&gt;=Parametri!$B$10,W17&lt;Parametri!$B$10),ROW(),0))</f>
        <v>0</v>
      </c>
      <c r="AC16" s="41"/>
      <c r="AD16" s="41"/>
      <c r="AE16" s="13" t="str">
        <f t="shared" si="12"/>
        <v/>
      </c>
      <c r="AF16" s="23" t="str">
        <f t="shared" si="13"/>
        <v/>
      </c>
      <c r="AG16" s="34" t="str">
        <f t="shared" si="14"/>
        <v/>
      </c>
      <c r="AH16" s="18">
        <f>IF(OR(AC16="",AC17=""),0,IF(AND(AC16&gt;=Parametri!$B$11,AD16&gt;=Parametri!$B$10,AD17&lt;Parametri!$B$10),ROW(),0))</f>
        <v>0</v>
      </c>
    </row>
    <row r="17" spans="1:34" x14ac:dyDescent="0.25">
      <c r="A17" s="41">
        <v>0.11567682899999999</v>
      </c>
      <c r="B17" s="41">
        <v>0.65180948900000002</v>
      </c>
      <c r="C17" s="13">
        <f t="shared" si="0"/>
        <v>0.63444089855632868</v>
      </c>
      <c r="D17" s="23">
        <f t="shared" si="1"/>
        <v>-0.34943127142974428</v>
      </c>
      <c r="E17" s="34">
        <f t="shared" si="2"/>
        <v>9.4249068499537968E-4</v>
      </c>
      <c r="F17" s="18">
        <f>IF(OR(A17="",A18=""),0,IF(AND(A17&gt;=Parametri!$B$11,B17&gt;=Parametri!$B$10,B18&lt;Parametri!$B$10),ROW(),0))</f>
        <v>0</v>
      </c>
      <c r="H17" s="41">
        <v>0.12675993899999999</v>
      </c>
      <c r="I17" s="41">
        <v>1.215780146</v>
      </c>
      <c r="J17" s="13">
        <f t="shared" si="3"/>
        <v>0.61947297370658183</v>
      </c>
      <c r="K17" s="23">
        <f t="shared" si="4"/>
        <v>-0.35298083438452815</v>
      </c>
      <c r="L17" s="34">
        <f t="shared" si="5"/>
        <v>1.0274147809624739E-3</v>
      </c>
      <c r="M17" s="18">
        <f>IF(OR(H17="",H18=""),0,IF(AND(H17&gt;=Parametri!$B$11,I17&gt;=Parametri!$B$10,I18&lt;Parametri!$B$10),ROW(),0))</f>
        <v>0</v>
      </c>
      <c r="O17" s="41">
        <v>0.121587821</v>
      </c>
      <c r="P17" s="41">
        <v>2.1192560710000001</v>
      </c>
      <c r="Q17" s="13">
        <f t="shared" si="6"/>
        <v>0.63874459360574642</v>
      </c>
      <c r="R17" s="23">
        <f t="shared" si="7"/>
        <v>-0.37827943546502951</v>
      </c>
      <c r="S17" s="34">
        <f t="shared" si="8"/>
        <v>1.0307029112556453E-3</v>
      </c>
      <c r="T17" s="18">
        <f>IF(OR(O17="",O18=""),0,IF(AND(O17&gt;=Parametri!$B$11,P17&gt;=Parametri!$B$10,P18&lt;Parametri!$B$10),ROW(),0))</f>
        <v>0</v>
      </c>
      <c r="V17" s="41"/>
      <c r="W17" s="41"/>
      <c r="X17" s="13" t="str">
        <f t="shared" si="9"/>
        <v/>
      </c>
      <c r="Y17" s="23" t="str">
        <f t="shared" si="10"/>
        <v/>
      </c>
      <c r="Z17" s="34" t="str">
        <f t="shared" si="11"/>
        <v/>
      </c>
      <c r="AA17" s="18">
        <f>IF(OR(V17="",V18=""),0,IF(AND(V17&gt;=Parametri!$B$11,W17&gt;=Parametri!$B$10,W18&lt;Parametri!$B$10),ROW(),0))</f>
        <v>0</v>
      </c>
      <c r="AC17" s="41"/>
      <c r="AD17" s="41"/>
      <c r="AE17" s="13" t="str">
        <f t="shared" si="12"/>
        <v/>
      </c>
      <c r="AF17" s="23" t="str">
        <f t="shared" si="13"/>
        <v/>
      </c>
      <c r="AG17" s="34" t="str">
        <f t="shared" si="14"/>
        <v/>
      </c>
      <c r="AH17" s="18">
        <f>IF(OR(AC17="",AC18=""),0,IF(AND(AC17&gt;=Parametri!$B$11,AD17&gt;=Parametri!$B$10,AD18&lt;Parametri!$B$10),ROW(),0))</f>
        <v>0</v>
      </c>
    </row>
    <row r="18" spans="1:34" x14ac:dyDescent="0.25">
      <c r="A18" s="41">
        <v>0.139320796</v>
      </c>
      <c r="B18" s="41">
        <v>0.61079751900000001</v>
      </c>
      <c r="C18" s="13">
        <f t="shared" si="0"/>
        <v>0.59452176338343588</v>
      </c>
      <c r="D18" s="23">
        <f t="shared" si="1"/>
        <v>-0.37541321064340116</v>
      </c>
      <c r="E18" s="34">
        <f t="shared" si="2"/>
        <v>1.063709956773814E-3</v>
      </c>
      <c r="F18" s="18">
        <f>IF(OR(A18="",A19=""),0,IF(AND(A18&gt;=Parametri!$B$11,B18&gt;=Parametri!$B$10,B19&lt;Parametri!$B$10),ROW(),0))</f>
        <v>0</v>
      </c>
      <c r="H18" s="41">
        <v>0.15114278</v>
      </c>
      <c r="I18" s="41">
        <v>1.142576824</v>
      </c>
      <c r="J18" s="13">
        <f t="shared" si="3"/>
        <v>0.58217389482810478</v>
      </c>
      <c r="K18" s="23">
        <f t="shared" si="4"/>
        <v>-0.38621898998713644</v>
      </c>
      <c r="L18" s="34">
        <f t="shared" si="5"/>
        <v>1.1512815836195382E-3</v>
      </c>
      <c r="M18" s="18">
        <f>IF(OR(H18="",H19=""),0,IF(AND(H18&gt;=Parametri!$B$11,I18&gt;=Parametri!$B$10,I19&lt;Parametri!$B$10),ROW(),0))</f>
        <v>0</v>
      </c>
      <c r="O18" s="41">
        <v>0.143015166</v>
      </c>
      <c r="P18" s="41">
        <v>1.9930479839999999</v>
      </c>
      <c r="Q18" s="13">
        <f t="shared" si="6"/>
        <v>0.60070542771932545</v>
      </c>
      <c r="R18" s="23">
        <f t="shared" si="7"/>
        <v>-0.39413018832161245</v>
      </c>
      <c r="S18" s="34">
        <f t="shared" si="8"/>
        <v>1.1401443531109012E-3</v>
      </c>
      <c r="T18" s="18">
        <f>IF(OR(O18="",O19=""),0,IF(AND(O18&gt;=Parametri!$B$11,P18&gt;=Parametri!$B$10,P19&lt;Parametri!$B$10),ROW(),0))</f>
        <v>0</v>
      </c>
      <c r="V18" s="41"/>
      <c r="W18" s="41"/>
      <c r="X18" s="13" t="str">
        <f t="shared" si="9"/>
        <v/>
      </c>
      <c r="Y18" s="23" t="str">
        <f t="shared" si="10"/>
        <v/>
      </c>
      <c r="Z18" s="34" t="str">
        <f t="shared" si="11"/>
        <v/>
      </c>
      <c r="AA18" s="18">
        <f>IF(OR(V18="",V19=""),0,IF(AND(V18&gt;=Parametri!$B$11,W18&gt;=Parametri!$B$10,W19&lt;Parametri!$B$10),ROW(),0))</f>
        <v>0</v>
      </c>
      <c r="AC18" s="41"/>
      <c r="AD18" s="41"/>
      <c r="AE18" s="13" t="str">
        <f t="shared" si="12"/>
        <v/>
      </c>
      <c r="AF18" s="23" t="str">
        <f t="shared" si="13"/>
        <v/>
      </c>
      <c r="AG18" s="34" t="str">
        <f t="shared" si="14"/>
        <v/>
      </c>
      <c r="AH18" s="18">
        <f>IF(OR(AC18="",AC19=""),0,IF(AND(AC18&gt;=Parametri!$B$11,AD18&gt;=Parametri!$B$10,AD19&lt;Parametri!$B$10),ROW(),0))</f>
        <v>0</v>
      </c>
    </row>
    <row r="19" spans="1:34" x14ac:dyDescent="0.25">
      <c r="A19" s="41">
        <v>0.16961462999999999</v>
      </c>
      <c r="B19" s="41">
        <v>0.56730837599999995</v>
      </c>
      <c r="C19" s="13">
        <f t="shared" si="0"/>
        <v>0.55219146376675643</v>
      </c>
      <c r="D19" s="23">
        <f t="shared" si="1"/>
        <v>-0.43396196749711191</v>
      </c>
      <c r="E19" s="34">
        <f t="shared" si="2"/>
        <v>1.2027975036392607E-3</v>
      </c>
      <c r="F19" s="18">
        <f>IF(OR(A19="",A20=""),0,IF(AND(A19&gt;=Parametri!$B$11,B19&gt;=Parametri!$B$10,B20&lt;Parametri!$B$10),ROW(),0))</f>
        <v>0</v>
      </c>
      <c r="H19" s="41">
        <v>0.189564228</v>
      </c>
      <c r="I19" s="41">
        <v>1.0468716579999999</v>
      </c>
      <c r="J19" s="13">
        <f t="shared" si="3"/>
        <v>0.53340951586027929</v>
      </c>
      <c r="K19" s="23">
        <f t="shared" si="4"/>
        <v>-0.54646874952263946</v>
      </c>
      <c r="L19" s="34">
        <f t="shared" si="5"/>
        <v>1.3229961177590001E-3</v>
      </c>
      <c r="M19" s="18">
        <f>IF(OR(H19="",H20=""),0,IF(AND(H19&gt;=Parametri!$B$11,I19&gt;=Parametri!$B$10,I20&lt;Parametri!$B$10),ROW(),0))</f>
        <v>0</v>
      </c>
      <c r="O19" s="41">
        <v>0.17257012599999999</v>
      </c>
      <c r="P19" s="41">
        <v>1.8508159179999999</v>
      </c>
      <c r="Q19" s="13">
        <f t="shared" si="6"/>
        <v>0.55783662840900572</v>
      </c>
      <c r="R19" s="23">
        <f t="shared" si="7"/>
        <v>-0.46013520796458141</v>
      </c>
      <c r="S19" s="34">
        <f t="shared" si="8"/>
        <v>1.2775821446882624E-3</v>
      </c>
      <c r="T19" s="18">
        <f>IF(OR(O19="",O20=""),0,IF(AND(O19&gt;=Parametri!$B$11,P19&gt;=Parametri!$B$10,P20&lt;Parametri!$B$10),ROW(),0))</f>
        <v>0</v>
      </c>
      <c r="V19" s="41"/>
      <c r="W19" s="41"/>
      <c r="X19" s="13" t="str">
        <f t="shared" si="9"/>
        <v/>
      </c>
      <c r="Y19" s="23" t="str">
        <f t="shared" si="10"/>
        <v/>
      </c>
      <c r="Z19" s="34" t="str">
        <f t="shared" si="11"/>
        <v/>
      </c>
      <c r="AA19" s="18">
        <f>IF(OR(V19="",V20=""),0,IF(AND(V19&gt;=Parametri!$B$11,W19&gt;=Parametri!$B$10,W20&lt;Parametri!$B$10),ROW(),0))</f>
        <v>0</v>
      </c>
      <c r="AC19" s="41"/>
      <c r="AD19" s="41"/>
      <c r="AE19" s="13" t="str">
        <f t="shared" si="12"/>
        <v/>
      </c>
      <c r="AF19" s="23" t="str">
        <f t="shared" si="13"/>
        <v/>
      </c>
      <c r="AG19" s="34" t="str">
        <f t="shared" si="14"/>
        <v/>
      </c>
      <c r="AH19" s="18">
        <f>IF(OR(AC19="",AC20=""),0,IF(AND(AC19&gt;=Parametri!$B$11,AD19&gt;=Parametri!$B$10,AD20&lt;Parametri!$B$10),ROW(),0))</f>
        <v>0</v>
      </c>
    </row>
    <row r="20" spans="1:34" x14ac:dyDescent="0.25">
      <c r="A20" s="41">
        <v>0.19769184200000001</v>
      </c>
      <c r="B20" s="41">
        <v>0.53082294299999999</v>
      </c>
      <c r="C20" s="13">
        <f t="shared" si="0"/>
        <v>0.51667824819168107</v>
      </c>
      <c r="D20" s="23">
        <f t="shared" si="1"/>
        <v>-0.56667604090194479</v>
      </c>
      <c r="E20" s="34">
        <f t="shared" si="2"/>
        <v>1.3117420672191377E-3</v>
      </c>
      <c r="F20" s="18">
        <f>IF(OR(A20="",A21=""),0,IF(AND(A20&gt;=Parametri!$B$11,B20&gt;=Parametri!$B$10,B21&lt;Parametri!$B$10),ROW(),0))</f>
        <v>0</v>
      </c>
      <c r="H20" s="41">
        <v>0.225769053</v>
      </c>
      <c r="I20" s="41">
        <v>0.9515072</v>
      </c>
      <c r="J20" s="13">
        <f t="shared" si="3"/>
        <v>0.48481873686332044</v>
      </c>
      <c r="K20" s="23">
        <f t="shared" si="4"/>
        <v>-0.65184097132256225</v>
      </c>
      <c r="L20" s="34">
        <f t="shared" si="5"/>
        <v>1.432139196444544E-3</v>
      </c>
      <c r="M20" s="18">
        <f>IF(OR(H20="",H21=""),0,IF(AND(H20&gt;=Parametri!$B$11,I20&gt;=Parametri!$B$10,I21&lt;Parametri!$B$10),ROW(),0))</f>
        <v>0</v>
      </c>
      <c r="O20" s="41">
        <v>0.19621409400000001</v>
      </c>
      <c r="P20" s="41">
        <v>1.744632578</v>
      </c>
      <c r="Q20" s="13">
        <f t="shared" si="6"/>
        <v>0.52583292895800116</v>
      </c>
      <c r="R20" s="23">
        <f t="shared" si="7"/>
        <v>-0.60202094459406852</v>
      </c>
      <c r="S20" s="34">
        <f t="shared" si="8"/>
        <v>1.3692860026206174E-3</v>
      </c>
      <c r="T20" s="18">
        <f>IF(OR(O20="",O21=""),0,IF(AND(O20&gt;=Parametri!$B$11,P20&gt;=Parametri!$B$10,P21&lt;Parametri!$B$10),ROW(),0))</f>
        <v>0</v>
      </c>
      <c r="V20" s="41"/>
      <c r="W20" s="41"/>
      <c r="X20" s="13" t="str">
        <f t="shared" si="9"/>
        <v/>
      </c>
      <c r="Y20" s="23" t="str">
        <f t="shared" si="10"/>
        <v/>
      </c>
      <c r="Z20" s="34" t="str">
        <f t="shared" si="11"/>
        <v/>
      </c>
      <c r="AA20" s="18">
        <f>IF(OR(V20="",V21=""),0,IF(AND(V20&gt;=Parametri!$B$11,W20&gt;=Parametri!$B$10,W21&lt;Parametri!$B$10),ROW(),0))</f>
        <v>0</v>
      </c>
      <c r="AC20" s="41"/>
      <c r="AD20" s="41"/>
      <c r="AE20" s="13" t="str">
        <f t="shared" si="12"/>
        <v/>
      </c>
      <c r="AF20" s="23" t="str">
        <f t="shared" si="13"/>
        <v/>
      </c>
      <c r="AG20" s="34" t="str">
        <f t="shared" si="14"/>
        <v/>
      </c>
      <c r="AH20" s="18">
        <f>IF(OR(AC20="",AC21=""),0,IF(AND(AC20&gt;=Parametri!$B$11,AD20&gt;=Parametri!$B$10,AD21&lt;Parametri!$B$10),ROW(),0))</f>
        <v>0</v>
      </c>
    </row>
    <row r="21" spans="1:34" x14ac:dyDescent="0.25">
      <c r="A21" s="41">
        <v>0.225769053</v>
      </c>
      <c r="B21" s="41">
        <v>0.49234130100000001</v>
      </c>
      <c r="C21" s="13">
        <f t="shared" si="0"/>
        <v>0.47922201605572501</v>
      </c>
      <c r="D21" s="23">
        <f t="shared" si="1"/>
        <v>-0.69075577724229131</v>
      </c>
      <c r="E21" s="34">
        <f t="shared" si="2"/>
        <v>1.3894428659944745E-3</v>
      </c>
      <c r="F21" s="18">
        <f>IF(OR(A21="",A22=""),0,IF(AND(A21&gt;=Parametri!$B$11,B21&gt;=Parametri!$B$10,B22&lt;Parametri!$B$10),ROW(),0))</f>
        <v>0</v>
      </c>
      <c r="H21" s="41">
        <v>0.24645752500000001</v>
      </c>
      <c r="I21" s="41">
        <v>0.89865189099999998</v>
      </c>
      <c r="J21" s="13">
        <f t="shared" si="3"/>
        <v>0.45788752273703692</v>
      </c>
      <c r="K21" s="23">
        <f t="shared" si="4"/>
        <v>-0.7933921141403214</v>
      </c>
      <c r="L21" s="34">
        <f t="shared" si="5"/>
        <v>1.4765301392828652E-3</v>
      </c>
      <c r="M21" s="18">
        <f>IF(OR(H21="",H22=""),0,IF(AND(H21&gt;=Parametri!$B$11,I21&gt;=Parametri!$B$10,I22&lt;Parametri!$B$10),ROW(),0))</f>
        <v>0</v>
      </c>
      <c r="O21" s="41">
        <v>0.222813557</v>
      </c>
      <c r="P21" s="41">
        <v>1.6160900309999999</v>
      </c>
      <c r="Q21" s="13">
        <f t="shared" si="6"/>
        <v>0.48709015593113431</v>
      </c>
      <c r="R21" s="23">
        <f t="shared" si="7"/>
        <v>-0.67741407905440154</v>
      </c>
      <c r="S21" s="34">
        <f t="shared" si="8"/>
        <v>1.440347072957401E-3</v>
      </c>
      <c r="T21" s="18">
        <f>IF(OR(O21="",O22=""),0,IF(AND(O21&gt;=Parametri!$B$11,P21&gt;=Parametri!$B$10,P22&lt;Parametri!$B$10),ROW(),0))</f>
        <v>0</v>
      </c>
      <c r="V21" s="41"/>
      <c r="W21" s="41"/>
      <c r="X21" s="13" t="str">
        <f t="shared" si="9"/>
        <v/>
      </c>
      <c r="Y21" s="23" t="str">
        <f t="shared" si="10"/>
        <v/>
      </c>
      <c r="Z21" s="34" t="str">
        <f t="shared" si="11"/>
        <v/>
      </c>
      <c r="AA21" s="18">
        <f>IF(OR(V21="",V22=""),0,IF(AND(V21&gt;=Parametri!$B$11,W21&gt;=Parametri!$B$10,W22&lt;Parametri!$B$10),ROW(),0))</f>
        <v>0</v>
      </c>
      <c r="AC21" s="41"/>
      <c r="AD21" s="41"/>
      <c r="AE21" s="13" t="str">
        <f t="shared" si="12"/>
        <v/>
      </c>
      <c r="AF21" s="23" t="str">
        <f t="shared" si="13"/>
        <v/>
      </c>
      <c r="AG21" s="34" t="str">
        <f t="shared" si="14"/>
        <v/>
      </c>
      <c r="AH21" s="18">
        <f>IF(OR(AC21="",AC22=""),0,IF(AND(AC21&gt;=Parametri!$B$11,AD21&gt;=Parametri!$B$10,AD22&lt;Parametri!$B$10),ROW(),0))</f>
        <v>0</v>
      </c>
    </row>
    <row r="22" spans="1:34" x14ac:dyDescent="0.25">
      <c r="A22" s="41">
        <v>0.25827950900000002</v>
      </c>
      <c r="B22" s="41">
        <v>0.44865084399999999</v>
      </c>
      <c r="C22" s="13">
        <f t="shared" si="0"/>
        <v>0.43669576679853345</v>
      </c>
      <c r="D22" s="23">
        <f t="shared" si="1"/>
        <v>-1.2601117920348002</v>
      </c>
      <c r="E22" s="34">
        <f t="shared" si="2"/>
        <v>1.448466496259445E-3</v>
      </c>
      <c r="F22" s="18">
        <f>IF(OR(A22="",A23=""),0,IF(AND(A22&gt;=Parametri!$B$11,B22&gt;=Parametri!$B$10,B23&lt;Parametri!$B$10),ROW(),0))</f>
        <v>0</v>
      </c>
      <c r="H22" s="41">
        <v>0.25827950900000002</v>
      </c>
      <c r="I22" s="41">
        <v>0.86585995299999996</v>
      </c>
      <c r="J22" s="13">
        <f t="shared" si="3"/>
        <v>0.44117914054039109</v>
      </c>
      <c r="K22" s="23">
        <f t="shared" si="4"/>
        <v>-1.279303986602873</v>
      </c>
      <c r="L22" s="34">
        <f t="shared" si="5"/>
        <v>1.4908925568240207E-3</v>
      </c>
      <c r="M22" s="18">
        <f>IF(OR(H22="",H23=""),0,IF(AND(H22&gt;=Parametri!$B$11,I22&gt;=Parametri!$B$10,I23&lt;Parametri!$B$10),ROW(),0))</f>
        <v>0</v>
      </c>
      <c r="O22" s="41">
        <v>0.24645752500000001</v>
      </c>
      <c r="P22" s="41">
        <v>1.5093657659999999</v>
      </c>
      <c r="Q22" s="13">
        <f t="shared" si="6"/>
        <v>0.45492342147741149</v>
      </c>
      <c r="R22" s="23">
        <f t="shared" si="7"/>
        <v>-0.82944816458194759</v>
      </c>
      <c r="S22" s="34">
        <f t="shared" si="8"/>
        <v>1.4879782040323566E-3</v>
      </c>
      <c r="T22" s="18">
        <f>IF(OR(O22="",O23=""),0,IF(AND(O22&gt;=Parametri!$B$11,P22&gt;=Parametri!$B$10,P23&lt;Parametri!$B$10),ROW(),0))</f>
        <v>0</v>
      </c>
      <c r="V22" s="41"/>
      <c r="W22" s="41"/>
      <c r="X22" s="13" t="str">
        <f t="shared" si="9"/>
        <v/>
      </c>
      <c r="Y22" s="23" t="str">
        <f t="shared" si="10"/>
        <v/>
      </c>
      <c r="Z22" s="34" t="str">
        <f t="shared" si="11"/>
        <v/>
      </c>
      <c r="AA22" s="18">
        <f>IF(OR(V22="",V23=""),0,IF(AND(V22&gt;=Parametri!$B$11,W22&gt;=Parametri!$B$10,W23&lt;Parametri!$B$10),ROW(),0))</f>
        <v>0</v>
      </c>
      <c r="AC22" s="41"/>
      <c r="AD22" s="41"/>
      <c r="AE22" s="13" t="str">
        <f t="shared" si="12"/>
        <v/>
      </c>
      <c r="AF22" s="23" t="str">
        <f t="shared" si="13"/>
        <v/>
      </c>
      <c r="AG22" s="34" t="str">
        <f t="shared" si="14"/>
        <v/>
      </c>
      <c r="AH22" s="18">
        <f>IF(OR(AC22="",AC23=""),0,IF(AND(AC22&gt;=Parametri!$B$11,AD22&gt;=Parametri!$B$10,AD23&lt;Parametri!$B$10),ROW(),0))</f>
        <v>0</v>
      </c>
    </row>
    <row r="23" spans="1:34" x14ac:dyDescent="0.25">
      <c r="A23" s="41">
        <v>0.29965645299999999</v>
      </c>
      <c r="B23" s="41">
        <v>0.37203931400000001</v>
      </c>
      <c r="C23" s="13">
        <f t="shared" si="0"/>
        <v>0.36212568343330781</v>
      </c>
      <c r="D23" s="23">
        <f t="shared" si="1"/>
        <v>-1.2650262643583843</v>
      </c>
      <c r="E23" s="34">
        <f t="shared" si="2"/>
        <v>1.3935497651224155E-3</v>
      </c>
      <c r="F23" s="18">
        <f>IF(OR(A23="",A24=""),0,IF(AND(A23&gt;=Parametri!$B$11,B23&gt;=Parametri!$B$10,B24&lt;Parametri!$B$10),ROW(),0))</f>
        <v>0</v>
      </c>
      <c r="H23" s="41">
        <v>0.29965645299999999</v>
      </c>
      <c r="I23" s="41">
        <v>0.71596114899999996</v>
      </c>
      <c r="J23" s="13">
        <f t="shared" si="3"/>
        <v>0.36480163250618763</v>
      </c>
      <c r="K23" s="23">
        <f t="shared" si="4"/>
        <v>-1.2868840904661767</v>
      </c>
      <c r="L23" s="34">
        <f t="shared" si="5"/>
        <v>1.4302825226342965E-3</v>
      </c>
      <c r="M23" s="18">
        <f>IF(OR(H23="",H24=""),0,IF(AND(H23&gt;=Parametri!$B$11,I23&gt;=Parametri!$B$10,I24&lt;Parametri!$B$10),ROW(),0))</f>
        <v>0</v>
      </c>
      <c r="O23" s="41">
        <v>0.25827950900000002</v>
      </c>
      <c r="P23" s="41">
        <v>1.4518340999999999</v>
      </c>
      <c r="Q23" s="13">
        <f t="shared" si="6"/>
        <v>0.43758335525252556</v>
      </c>
      <c r="R23" s="23">
        <f t="shared" si="7"/>
        <v>-1.3514930673752337</v>
      </c>
      <c r="S23" s="34">
        <f t="shared" si="8"/>
        <v>1.4999159939898276E-3</v>
      </c>
      <c r="T23" s="18">
        <f>IF(OR(O23="",O24=""),0,IF(AND(O23&gt;=Parametri!$B$11,P23&gt;=Parametri!$B$10,P24&lt;Parametri!$B$10),ROW(),0))</f>
        <v>0</v>
      </c>
      <c r="V23" s="41"/>
      <c r="W23" s="41"/>
      <c r="X23" s="13" t="str">
        <f t="shared" si="9"/>
        <v/>
      </c>
      <c r="Y23" s="23" t="str">
        <f t="shared" si="10"/>
        <v/>
      </c>
      <c r="Z23" s="34" t="str">
        <f t="shared" si="11"/>
        <v/>
      </c>
      <c r="AA23" s="18">
        <f>IF(OR(V23="",V24=""),0,IF(AND(V23&gt;=Parametri!$B$11,W23&gt;=Parametri!$B$10,W24&lt;Parametri!$B$10),ROW(),0))</f>
        <v>0</v>
      </c>
      <c r="AC23" s="41"/>
      <c r="AD23" s="41"/>
      <c r="AE23" s="13" t="str">
        <f t="shared" si="12"/>
        <v/>
      </c>
      <c r="AF23" s="23" t="str">
        <f t="shared" si="13"/>
        <v/>
      </c>
      <c r="AG23" s="34" t="str">
        <f t="shared" si="14"/>
        <v/>
      </c>
      <c r="AH23" s="18">
        <f>IF(OR(AC23="",AC24=""),0,IF(AND(AC23&gt;=Parametri!$B$11,AD23&gt;=Parametri!$B$10,AD24&lt;Parametri!$B$10),ROW(),0))</f>
        <v>0</v>
      </c>
    </row>
    <row r="24" spans="1:34" x14ac:dyDescent="0.25">
      <c r="A24" s="41">
        <v>0.38241034000000002</v>
      </c>
      <c r="B24" s="41">
        <v>0.27328448300000002</v>
      </c>
      <c r="C24" s="13">
        <f t="shared" si="0"/>
        <v>0.26600234559644736</v>
      </c>
      <c r="D24" s="23">
        <f t="shared" si="1"/>
        <v>-0.62608036444905468</v>
      </c>
      <c r="E24" s="34">
        <f t="shared" si="2"/>
        <v>1.306335150759428E-3</v>
      </c>
      <c r="F24" s="18">
        <f>IF(OR(A24="",A25=""),0,IF(AND(A24&gt;=Parametri!$B$11,B24&gt;=Parametri!$B$10,B25&lt;Parametri!$B$10),ROW(),0))</f>
        <v>24</v>
      </c>
      <c r="H24" s="41">
        <v>0.38241034000000002</v>
      </c>
      <c r="I24" s="41">
        <v>0.52311927199999997</v>
      </c>
      <c r="J24" s="13">
        <f t="shared" si="3"/>
        <v>0.2665434635490932</v>
      </c>
      <c r="K24" s="23">
        <f t="shared" si="4"/>
        <v>-0.74267961285430739</v>
      </c>
      <c r="L24" s="34">
        <f t="shared" si="5"/>
        <v>1.3336414577738165E-3</v>
      </c>
      <c r="M24" s="18">
        <f>IF(OR(H24="",H25=""),0,IF(AND(H24&gt;=Parametri!$B$11,I24&gt;=Parametri!$B$10,I25&lt;Parametri!$B$10),ROW(),0))</f>
        <v>0</v>
      </c>
      <c r="O24" s="41">
        <v>0.29965645299999999</v>
      </c>
      <c r="P24" s="41">
        <v>1.1876819830000001</v>
      </c>
      <c r="Q24" s="13">
        <f t="shared" si="6"/>
        <v>0.35796780575281506</v>
      </c>
      <c r="R24" s="23">
        <f t="shared" si="7"/>
        <v>-1.310100706199244</v>
      </c>
      <c r="S24" s="34">
        <f t="shared" si="8"/>
        <v>1.4235862812711454E-3</v>
      </c>
      <c r="T24" s="18">
        <f>IF(OR(O24="",O25=""),0,IF(AND(O24&gt;=Parametri!$B$11,P24&gt;=Parametri!$B$10,P25&lt;Parametri!$B$10),ROW(),0))</f>
        <v>0</v>
      </c>
      <c r="V24" s="41"/>
      <c r="W24" s="41"/>
      <c r="X24" s="13" t="str">
        <f t="shared" si="9"/>
        <v/>
      </c>
      <c r="Y24" s="23" t="str">
        <f t="shared" si="10"/>
        <v/>
      </c>
      <c r="Z24" s="34" t="str">
        <f t="shared" si="11"/>
        <v/>
      </c>
      <c r="AA24" s="18">
        <f>IF(OR(V24="",V25=""),0,IF(AND(V24&gt;=Parametri!$B$11,W24&gt;=Parametri!$B$10,W25&lt;Parametri!$B$10),ROW(),0))</f>
        <v>0</v>
      </c>
      <c r="AC24" s="41"/>
      <c r="AD24" s="41"/>
      <c r="AE24" s="13" t="str">
        <f t="shared" si="12"/>
        <v/>
      </c>
      <c r="AF24" s="23" t="str">
        <f t="shared" si="13"/>
        <v/>
      </c>
      <c r="AG24" s="34" t="str">
        <f t="shared" si="14"/>
        <v/>
      </c>
      <c r="AH24" s="18">
        <f>IF(OR(AC24="",AC25=""),0,IF(AND(AC24&gt;=Parametri!$B$11,AD24&gt;=Parametri!$B$10,AD25&lt;Parametri!$B$10),ROW(),0))</f>
        <v>0</v>
      </c>
    </row>
    <row r="25" spans="1:34" x14ac:dyDescent="0.25">
      <c r="A25" s="41">
        <v>0.54791811400000001</v>
      </c>
      <c r="B25" s="41">
        <v>0.21818755000000001</v>
      </c>
      <c r="C25" s="13">
        <f t="shared" si="0"/>
        <v>0.21237356560760948</v>
      </c>
      <c r="D25" s="23">
        <f t="shared" si="1"/>
        <v>0.11659314439250582</v>
      </c>
      <c r="E25" s="34">
        <f t="shared" si="2"/>
        <v>1.4943613861785089E-3</v>
      </c>
      <c r="F25" s="18">
        <f>IF(OR(A25="",A26=""),0,IF(AND(A25&gt;=Parametri!$B$11,B25&gt;=Parametri!$B$10,B26&lt;Parametri!$B$10),ROW(),0))</f>
        <v>0</v>
      </c>
      <c r="H25" s="41">
        <v>0.54791811400000001</v>
      </c>
      <c r="I25" s="41">
        <v>0.40050186100000001</v>
      </c>
      <c r="J25" s="13">
        <f t="shared" si="3"/>
        <v>0.20406656550936153</v>
      </c>
      <c r="K25" s="23">
        <f t="shared" si="4"/>
        <v>0.14746996915238186</v>
      </c>
      <c r="L25" s="34">
        <f t="shared" si="5"/>
        <v>1.4629481622174011E-3</v>
      </c>
      <c r="M25" s="18">
        <f>IF(OR(H25="",H26=""),0,IF(AND(H25&gt;=Parametri!$B$11,I25&gt;=Parametri!$B$10,I26&lt;Parametri!$B$10),ROW(),0))</f>
        <v>0</v>
      </c>
      <c r="O25" s="41">
        <v>0.38241034000000002</v>
      </c>
      <c r="P25" s="41">
        <v>0.86288447099999999</v>
      </c>
      <c r="Q25" s="13">
        <f t="shared" si="6"/>
        <v>0.26007371091192899</v>
      </c>
      <c r="R25" s="23">
        <f t="shared" si="7"/>
        <v>-0.70114055501988237</v>
      </c>
      <c r="S25" s="34">
        <f t="shared" si="8"/>
        <v>1.3199037757433206E-3</v>
      </c>
      <c r="T25" s="18">
        <f>IF(OR(O25="",O26=""),0,IF(AND(O25&gt;=Parametri!$B$11,P25&gt;=Parametri!$B$10,P26&lt;Parametri!$B$10),ROW(),0))</f>
        <v>0</v>
      </c>
      <c r="V25" s="41"/>
      <c r="W25" s="41"/>
      <c r="X25" s="13" t="str">
        <f t="shared" si="9"/>
        <v/>
      </c>
      <c r="Y25" s="23" t="str">
        <f t="shared" si="10"/>
        <v/>
      </c>
      <c r="Z25" s="34" t="str">
        <f t="shared" si="11"/>
        <v/>
      </c>
      <c r="AA25" s="18">
        <f>IF(OR(V25="",V26=""),0,IF(AND(V25&gt;=Parametri!$B$11,W25&gt;=Parametri!$B$10,W26&lt;Parametri!$B$10),ROW(),0))</f>
        <v>0</v>
      </c>
      <c r="AC25" s="41"/>
      <c r="AD25" s="41"/>
      <c r="AE25" s="13" t="str">
        <f t="shared" si="12"/>
        <v/>
      </c>
      <c r="AF25" s="23" t="str">
        <f t="shared" si="13"/>
        <v/>
      </c>
      <c r="AG25" s="34" t="str">
        <f t="shared" si="14"/>
        <v/>
      </c>
      <c r="AH25" s="18">
        <f>IF(OR(AC25="",AC26=""),0,IF(AND(AC25&gt;=Parametri!$B$11,AD25&gt;=Parametri!$B$10,AD26&lt;Parametri!$B$10),ROW(),0))</f>
        <v>0</v>
      </c>
    </row>
    <row r="26" spans="1:34" x14ac:dyDescent="0.25">
      <c r="A26" s="41">
        <v>0.71342588799999995</v>
      </c>
      <c r="B26" s="41">
        <v>0.22500667999999999</v>
      </c>
      <c r="C26" s="13">
        <f t="shared" si="0"/>
        <v>0.21901098810234765</v>
      </c>
      <c r="D26" s="23">
        <f t="shared" si="1"/>
        <v>-2.2276609901330523E-2</v>
      </c>
      <c r="E26" s="34">
        <f t="shared" si="2"/>
        <v>2.0065698810616478E-3</v>
      </c>
      <c r="F26" s="18">
        <f>IF(OR(A26="",A27=""),0,IF(AND(A26&gt;=Parametri!$B$11,B26&gt;=Parametri!$B$10,B27&lt;Parametri!$B$10),ROW(),0))</f>
        <v>0</v>
      </c>
      <c r="H26" s="41">
        <v>0.73706985599999997</v>
      </c>
      <c r="I26" s="41">
        <v>0.418405743</v>
      </c>
      <c r="J26" s="13">
        <f t="shared" si="3"/>
        <v>0.21318907919731883</v>
      </c>
      <c r="K26" s="23">
        <f t="shared" si="4"/>
        <v>3.110086955442757E-2</v>
      </c>
      <c r="L26" s="34">
        <f t="shared" si="5"/>
        <v>2.0559617382838865E-3</v>
      </c>
      <c r="M26" s="18">
        <f>IF(OR(H26="",H27=""),0,IF(AND(H26&gt;=Parametri!$B$11,I26&gt;=Parametri!$B$10,I27&lt;Parametri!$B$10),ROW(),0))</f>
        <v>0</v>
      </c>
      <c r="O26" s="41">
        <v>0.54791811400000001</v>
      </c>
      <c r="P26" s="41">
        <v>0.67057026600000003</v>
      </c>
      <c r="Q26" s="13">
        <f t="shared" si="6"/>
        <v>0.20211013567518396</v>
      </c>
      <c r="R26" s="23">
        <f t="shared" si="7"/>
        <v>0.15208914742662741</v>
      </c>
      <c r="S26" s="34">
        <f t="shared" si="8"/>
        <v>1.4696703818047935E-3</v>
      </c>
      <c r="T26" s="18">
        <f>IF(OR(O26="",O27=""),0,IF(AND(O26&gt;=Parametri!$B$11,P26&gt;=Parametri!$B$10,P27&lt;Parametri!$B$10),ROW(),0))</f>
        <v>0</v>
      </c>
      <c r="V26" s="41"/>
      <c r="W26" s="41"/>
      <c r="X26" s="13" t="str">
        <f t="shared" si="9"/>
        <v/>
      </c>
      <c r="Y26" s="23" t="str">
        <f t="shared" si="10"/>
        <v/>
      </c>
      <c r="Z26" s="34" t="str">
        <f t="shared" si="11"/>
        <v/>
      </c>
      <c r="AA26" s="18">
        <f>IF(OR(V26="",V27=""),0,IF(AND(V26&gt;=Parametri!$B$11,W26&gt;=Parametri!$B$10,W27&lt;Parametri!$B$10),ROW(),0))</f>
        <v>0</v>
      </c>
      <c r="AC26" s="41"/>
      <c r="AD26" s="41"/>
      <c r="AE26" s="13" t="str">
        <f t="shared" si="12"/>
        <v/>
      </c>
      <c r="AF26" s="23" t="str">
        <f t="shared" si="13"/>
        <v/>
      </c>
      <c r="AG26" s="34" t="str">
        <f t="shared" si="14"/>
        <v/>
      </c>
      <c r="AH26" s="18">
        <f>IF(OR(AC26="",AC27=""),0,IF(AND(AC26&gt;=Parametri!$B$11,AD26&gt;=Parametri!$B$10,AD27&lt;Parametri!$B$10),ROW(),0))</f>
        <v>0</v>
      </c>
    </row>
    <row r="27" spans="1:34" x14ac:dyDescent="0.25">
      <c r="A27" s="41">
        <v>1.8956242750000001</v>
      </c>
      <c r="B27" s="41">
        <v>0.22016138199999999</v>
      </c>
      <c r="C27" s="13">
        <f t="shared" si="0"/>
        <v>0.21429480144233237</v>
      </c>
      <c r="D27" s="23">
        <f t="shared" si="1"/>
        <v>-0.15055263917279108</v>
      </c>
      <c r="E27" s="34">
        <f t="shared" si="2"/>
        <v>5.2167907517093508E-3</v>
      </c>
      <c r="F27" s="18">
        <f>IF(OR(A27="",A28=""),0,IF(AND(A27&gt;=Parametri!$B$11,B27&gt;=Parametri!$B$10,B28&lt;Parametri!$B$10),ROW(),0))</f>
        <v>0</v>
      </c>
      <c r="H27" s="41">
        <v>1.257237146</v>
      </c>
      <c r="I27" s="41">
        <v>0.42541244900000003</v>
      </c>
      <c r="J27" s="13">
        <f t="shared" si="3"/>
        <v>0.21675918602624525</v>
      </c>
      <c r="K27" s="23">
        <f t="shared" si="4"/>
        <v>4.2322838641167723E-4</v>
      </c>
      <c r="L27" s="34">
        <f t="shared" si="5"/>
        <v>3.5656288883575372E-3</v>
      </c>
      <c r="M27" s="18">
        <f>IF(OR(H27="",H28=""),0,IF(AND(H27&gt;=Parametri!$B$11,I27&gt;=Parametri!$B$10,I28&lt;Parametri!$B$10),ROW(),0))</f>
        <v>0</v>
      </c>
      <c r="O27" s="41">
        <v>0.73706985599999997</v>
      </c>
      <c r="P27" s="41">
        <v>0.70150748399999996</v>
      </c>
      <c r="Q27" s="13">
        <f t="shared" si="6"/>
        <v>0.21143462506045105</v>
      </c>
      <c r="R27" s="23">
        <f t="shared" si="7"/>
        <v>4.9495800164957776E-2</v>
      </c>
      <c r="S27" s="34">
        <f t="shared" si="8"/>
        <v>2.0682400808592089E-3</v>
      </c>
      <c r="T27" s="18">
        <f>IF(OR(O27="",O28=""),0,IF(AND(O27&gt;=Parametri!$B$11,P27&gt;=Parametri!$B$10,P28&lt;Parametri!$B$10),ROW(),0))</f>
        <v>0</v>
      </c>
      <c r="V27" s="41"/>
      <c r="W27" s="41"/>
      <c r="X27" s="13" t="str">
        <f t="shared" si="9"/>
        <v/>
      </c>
      <c r="Y27" s="23" t="str">
        <f t="shared" si="10"/>
        <v/>
      </c>
      <c r="Z27" s="34" t="str">
        <f t="shared" si="11"/>
        <v/>
      </c>
      <c r="AA27" s="18">
        <f>IF(OR(V27="",V28=""),0,IF(AND(V27&gt;=Parametri!$B$11,W27&gt;=Parametri!$B$10,W28&lt;Parametri!$B$10),ROW(),0))</f>
        <v>0</v>
      </c>
      <c r="AC27" s="41"/>
      <c r="AD27" s="41"/>
      <c r="AE27" s="13" t="str">
        <f t="shared" si="12"/>
        <v/>
      </c>
      <c r="AF27" s="23" t="str">
        <f t="shared" si="13"/>
        <v/>
      </c>
      <c r="AG27" s="34" t="str">
        <f t="shared" si="14"/>
        <v/>
      </c>
      <c r="AH27" s="18">
        <f>IF(OR(AC27="",AC28=""),0,IF(AND(AC27&gt;=Parametri!$B$11,AD27&gt;=Parametri!$B$10,AD28&lt;Parametri!$B$10),ROW(),0))</f>
        <v>0</v>
      </c>
    </row>
    <row r="28" spans="1:34" x14ac:dyDescent="0.25">
      <c r="A28" s="41">
        <v>2.6285872750000001</v>
      </c>
      <c r="B28" s="41">
        <v>0.209588362</v>
      </c>
      <c r="C28" s="13">
        <f t="shared" si="0"/>
        <v>0.20400351783499288</v>
      </c>
      <c r="D28" s="23">
        <f t="shared" si="1"/>
        <v>-0.38318660247799086</v>
      </c>
      <c r="E28" s="34">
        <f t="shared" si="2"/>
        <v>6.8865162667661696E-3</v>
      </c>
      <c r="F28" s="18">
        <f>IF(OR(A28="",A29=""),0,IF(AND(A28&gt;=Parametri!$B$11,B28&gt;=Parametri!$B$10,B29&lt;Parametri!$B$10),ROW(),0))</f>
        <v>0</v>
      </c>
      <c r="H28" s="41">
        <v>1.375456985</v>
      </c>
      <c r="I28" s="41">
        <v>0.42542862999999997</v>
      </c>
      <c r="J28" s="13">
        <f t="shared" si="3"/>
        <v>0.21676743068480503</v>
      </c>
      <c r="K28" s="23">
        <f t="shared" si="4"/>
        <v>-5.0313033687830695E-2</v>
      </c>
      <c r="L28" s="34">
        <f t="shared" si="5"/>
        <v>3.9010585383498701E-3</v>
      </c>
      <c r="M28" s="18">
        <f>IF(OR(H28="",H29=""),0,IF(AND(H28&gt;=Parametri!$B$11,I28&gt;=Parametri!$B$10,I29&lt;Parametri!$B$10),ROW(),0))</f>
        <v>0</v>
      </c>
      <c r="O28" s="41">
        <v>1.280881114</v>
      </c>
      <c r="P28" s="41">
        <v>0.72096023099999995</v>
      </c>
      <c r="Q28" s="13">
        <f t="shared" si="6"/>
        <v>0.21729769047621619</v>
      </c>
      <c r="R28" s="23">
        <f t="shared" si="7"/>
        <v>1.0013284856048041E-2</v>
      </c>
      <c r="S28" s="34">
        <f t="shared" si="8"/>
        <v>3.6938573753319093E-3</v>
      </c>
      <c r="T28" s="18">
        <f>IF(OR(O28="",O29=""),0,IF(AND(O28&gt;=Parametri!$B$11,P28&gt;=Parametri!$B$10,P29&lt;Parametri!$B$10),ROW(),0))</f>
        <v>0</v>
      </c>
      <c r="V28" s="41"/>
      <c r="W28" s="41"/>
      <c r="X28" s="13" t="str">
        <f t="shared" si="9"/>
        <v/>
      </c>
      <c r="Y28" s="23" t="str">
        <f t="shared" si="10"/>
        <v/>
      </c>
      <c r="Z28" s="34" t="str">
        <f t="shared" si="11"/>
        <v/>
      </c>
      <c r="AA28" s="18">
        <f>IF(OR(V28="",V29=""),0,IF(AND(V28&gt;=Parametri!$B$11,W28&gt;=Parametri!$B$10,W29&lt;Parametri!$B$10),ROW(),0))</f>
        <v>0</v>
      </c>
      <c r="AC28" s="41"/>
      <c r="AD28" s="41"/>
      <c r="AE28" s="13" t="str">
        <f t="shared" si="12"/>
        <v/>
      </c>
      <c r="AF28" s="23" t="str">
        <f t="shared" si="13"/>
        <v/>
      </c>
      <c r="AG28" s="34" t="str">
        <f t="shared" si="14"/>
        <v/>
      </c>
      <c r="AH28" s="18">
        <f>IF(OR(AC28="",AC29=""),0,IF(AND(AC28&gt;=Parametri!$B$11,AD28&gt;=Parametri!$B$10,AD29&lt;Parametri!$B$10),ROW(),0))</f>
        <v>0</v>
      </c>
    </row>
    <row r="29" spans="1:34" x14ac:dyDescent="0.25">
      <c r="A29" s="41">
        <v>3.6689218559999999</v>
      </c>
      <c r="B29" s="41">
        <v>0.184448696</v>
      </c>
      <c r="C29" s="13">
        <f t="shared" si="0"/>
        <v>0.17953374168780029</v>
      </c>
      <c r="D29" s="23">
        <f t="shared" si="1"/>
        <v>-0.70709661330258611</v>
      </c>
      <c r="E29" s="34">
        <f t="shared" si="2"/>
        <v>8.4590981508137469E-3</v>
      </c>
      <c r="F29" s="18">
        <f>IF(OR(A29="",A30=""),0,IF(AND(A29&gt;=Parametri!$B$11,B29&gt;=Parametri!$B$10,B30&lt;Parametri!$B$10),ROW(),0))</f>
        <v>0</v>
      </c>
      <c r="H29" s="41">
        <v>2.1793518879999998</v>
      </c>
      <c r="I29" s="41">
        <v>0.415690526</v>
      </c>
      <c r="J29" s="13">
        <f t="shared" si="3"/>
        <v>0.21180560246035898</v>
      </c>
      <c r="K29" s="23">
        <f t="shared" si="4"/>
        <v>-0.21763563037335623</v>
      </c>
      <c r="L29" s="34">
        <f t="shared" si="5"/>
        <v>6.039572884412087E-3</v>
      </c>
      <c r="M29" s="18">
        <f>IF(OR(H29="",H30=""),0,IF(AND(H29&gt;=Parametri!$B$11,I29&gt;=Parametri!$B$10,I30&lt;Parametri!$B$10),ROW(),0))</f>
        <v>0</v>
      </c>
      <c r="O29" s="41">
        <v>1.540964759</v>
      </c>
      <c r="P29" s="41">
        <v>0.72229600800000004</v>
      </c>
      <c r="Q29" s="13">
        <f t="shared" si="6"/>
        <v>0.21770029417696216</v>
      </c>
      <c r="R29" s="23">
        <f t="shared" si="7"/>
        <v>-6.0422770021104362E-2</v>
      </c>
      <c r="S29" s="34">
        <f t="shared" si="8"/>
        <v>4.4521307755775287E-3</v>
      </c>
      <c r="T29" s="18">
        <f>IF(OR(O29="",O30=""),0,IF(AND(O29&gt;=Parametri!$B$11,P29&gt;=Parametri!$B$10,P30&lt;Parametri!$B$10),ROW(),0))</f>
        <v>0</v>
      </c>
      <c r="V29" s="41"/>
      <c r="W29" s="41"/>
      <c r="X29" s="13" t="str">
        <f t="shared" si="9"/>
        <v/>
      </c>
      <c r="Y29" s="23" t="str">
        <f t="shared" si="10"/>
        <v/>
      </c>
      <c r="Z29" s="34" t="str">
        <f t="shared" si="11"/>
        <v/>
      </c>
      <c r="AA29" s="18">
        <f>IF(OR(V29="",V30=""),0,IF(AND(V29&gt;=Parametri!$B$11,W29&gt;=Parametri!$B$10,W30&lt;Parametri!$B$10),ROW(),0))</f>
        <v>0</v>
      </c>
      <c r="AC29" s="41"/>
      <c r="AD29" s="41"/>
      <c r="AE29" s="13" t="str">
        <f t="shared" si="12"/>
        <v/>
      </c>
      <c r="AF29" s="23" t="str">
        <f t="shared" si="13"/>
        <v/>
      </c>
      <c r="AG29" s="34" t="str">
        <f t="shared" si="14"/>
        <v/>
      </c>
      <c r="AH29" s="18">
        <f>IF(OR(AC29="",AC30=""),0,IF(AND(AC29&gt;=Parametri!$B$11,AD29&gt;=Parametri!$B$10,AD30&lt;Parametri!$B$10),ROW(),0))</f>
        <v>0</v>
      </c>
    </row>
    <row r="30" spans="1:34" x14ac:dyDescent="0.25">
      <c r="A30" s="41">
        <v>4.9858326100000001</v>
      </c>
      <c r="B30" s="41">
        <v>0.14848783099999999</v>
      </c>
      <c r="C30" s="13">
        <f t="shared" si="0"/>
        <v>0.14453111609168406</v>
      </c>
      <c r="D30" s="23">
        <f t="shared" si="1"/>
        <v>-0.91030477160820533</v>
      </c>
      <c r="E30" s="34">
        <f t="shared" si="2"/>
        <v>9.2541933748496105E-3</v>
      </c>
      <c r="F30" s="18">
        <f>IF(OR(A30="",A31=""),0,IF(AND(A30&gt;=Parametri!$B$11,B30&gt;=Parametri!$B$10,B31&lt;Parametri!$B$10),ROW(),0))</f>
        <v>0</v>
      </c>
      <c r="H30" s="41">
        <v>3.030534727</v>
      </c>
      <c r="I30" s="41">
        <v>0.386906892</v>
      </c>
      <c r="J30" s="13">
        <f t="shared" si="3"/>
        <v>0.19713955991415846</v>
      </c>
      <c r="K30" s="23">
        <f t="shared" si="4"/>
        <v>-0.52220396534308844</v>
      </c>
      <c r="L30" s="34">
        <f t="shared" si="5"/>
        <v>7.8168984821442578E-3</v>
      </c>
      <c r="M30" s="18">
        <f>IF(OR(H30="",H31=""),0,IF(AND(H30&gt;=Parametri!$B$11,I30&gt;=Parametri!$B$10,I31&lt;Parametri!$B$10),ROW(),0))</f>
        <v>0</v>
      </c>
      <c r="O30" s="41">
        <v>2.2502837910000002</v>
      </c>
      <c r="P30" s="41">
        <v>0.70595824900000004</v>
      </c>
      <c r="Q30" s="13">
        <f t="shared" si="6"/>
        <v>0.21277608734057007</v>
      </c>
      <c r="R30" s="23">
        <f t="shared" si="7"/>
        <v>-0.22009585534025278</v>
      </c>
      <c r="S30" s="34">
        <f t="shared" si="8"/>
        <v>6.354425619389769E-3</v>
      </c>
      <c r="T30" s="18">
        <f>IF(OR(O30="",O31=""),0,IF(AND(O30&gt;=Parametri!$B$11,P30&gt;=Parametri!$B$10,P31&lt;Parametri!$B$10),ROW(),0))</f>
        <v>0</v>
      </c>
      <c r="V30" s="41"/>
      <c r="W30" s="41"/>
      <c r="X30" s="13" t="str">
        <f t="shared" si="9"/>
        <v/>
      </c>
      <c r="Y30" s="23" t="str">
        <f t="shared" si="10"/>
        <v/>
      </c>
      <c r="Z30" s="34" t="str">
        <f t="shared" si="11"/>
        <v/>
      </c>
      <c r="AA30" s="18">
        <f>IF(OR(V30="",V31=""),0,IF(AND(V30&gt;=Parametri!$B$11,W30&gt;=Parametri!$B$10,W31&lt;Parametri!$B$10),ROW(),0))</f>
        <v>0</v>
      </c>
      <c r="AC30" s="41"/>
      <c r="AD30" s="41"/>
      <c r="AE30" s="13" t="str">
        <f t="shared" si="12"/>
        <v/>
      </c>
      <c r="AF30" s="23" t="str">
        <f t="shared" si="13"/>
        <v/>
      </c>
      <c r="AG30" s="34" t="str">
        <f t="shared" si="14"/>
        <v/>
      </c>
      <c r="AH30" s="18">
        <f>IF(OR(AC30="",AC31=""),0,IF(AND(AC30&gt;=Parametri!$B$11,AD30&gt;=Parametri!$B$10,AD31&lt;Parametri!$B$10),ROW(),0))</f>
        <v>0</v>
      </c>
    </row>
    <row r="31" spans="1:34" x14ac:dyDescent="0.25">
      <c r="A31" s="41">
        <v>6.1278945010000001</v>
      </c>
      <c r="B31" s="41">
        <v>0.12306983000000001</v>
      </c>
      <c r="C31" s="13">
        <f t="shared" si="0"/>
        <v>0.11979042166165001</v>
      </c>
      <c r="D31" s="23">
        <f t="shared" si="1"/>
        <v>-0.92813215966241747</v>
      </c>
      <c r="E31" s="34">
        <f t="shared" si="2"/>
        <v>9.4269866812000617E-3</v>
      </c>
      <c r="F31" s="18">
        <f>IF(OR(A31="",A32=""),0,IF(AND(A31&gt;=Parametri!$B$11,B31&gt;=Parametri!$B$10,B32&lt;Parametri!$B$10),ROW(),0))</f>
        <v>0</v>
      </c>
      <c r="H31" s="41">
        <v>4.5201046949999997</v>
      </c>
      <c r="I31" s="41">
        <v>0.31400502200000002</v>
      </c>
      <c r="J31" s="13">
        <f t="shared" si="3"/>
        <v>0.15999407900936446</v>
      </c>
      <c r="K31" s="23">
        <f t="shared" si="4"/>
        <v>-0.80582148851731628</v>
      </c>
      <c r="L31" s="34">
        <f t="shared" si="5"/>
        <v>9.462237161305188E-3</v>
      </c>
      <c r="M31" s="18">
        <f>IF(OR(H31="",H32=""),0,IF(AND(H31&gt;=Parametri!$B$11,I31&gt;=Parametri!$B$10,I32&lt;Parametri!$B$10),ROW(),0))</f>
        <v>0</v>
      </c>
      <c r="O31" s="41">
        <v>3.0541786950000001</v>
      </c>
      <c r="P31" s="41">
        <v>0.660057436</v>
      </c>
      <c r="Q31" s="13">
        <f t="shared" si="6"/>
        <v>0.19894156467619761</v>
      </c>
      <c r="R31" s="23">
        <f t="shared" si="7"/>
        <v>-0.5337621635918407</v>
      </c>
      <c r="S31" s="34">
        <f t="shared" si="8"/>
        <v>8.0637334340301035E-3</v>
      </c>
      <c r="T31" s="18">
        <f>IF(OR(O31="",O32=""),0,IF(AND(O31&gt;=Parametri!$B$11,P31&gt;=Parametri!$B$10,P32&lt;Parametri!$B$10),ROW(),0))</f>
        <v>0</v>
      </c>
      <c r="V31" s="41"/>
      <c r="W31" s="41"/>
      <c r="X31" s="13" t="str">
        <f t="shared" si="9"/>
        <v/>
      </c>
      <c r="Y31" s="23" t="str">
        <f t="shared" si="10"/>
        <v/>
      </c>
      <c r="Z31" s="34" t="str">
        <f t="shared" si="11"/>
        <v/>
      </c>
      <c r="AA31" s="18">
        <f>IF(OR(V31="",V32=""),0,IF(AND(V31&gt;=Parametri!$B$11,W31&gt;=Parametri!$B$10,W32&lt;Parametri!$B$10),ROW(),0))</f>
        <v>0</v>
      </c>
      <c r="AC31" s="41"/>
      <c r="AD31" s="41"/>
      <c r="AE31" s="13" t="str">
        <f t="shared" si="12"/>
        <v/>
      </c>
      <c r="AF31" s="23" t="str">
        <f t="shared" si="13"/>
        <v/>
      </c>
      <c r="AG31" s="34" t="str">
        <f t="shared" si="14"/>
        <v/>
      </c>
      <c r="AH31" s="18">
        <f>IF(OR(AC31="",AC32=""),0,IF(AND(AC31&gt;=Parametri!$B$11,AD31&gt;=Parametri!$B$10,AD32&lt;Parametri!$B$10),ROW(),0))</f>
        <v>0</v>
      </c>
    </row>
    <row r="32" spans="1:34" x14ac:dyDescent="0.25">
      <c r="A32" s="41">
        <v>7.4519566949999998</v>
      </c>
      <c r="B32" s="41">
        <v>0.102635684</v>
      </c>
      <c r="C32" s="13">
        <f t="shared" si="0"/>
        <v>9.9900778800879678E-2</v>
      </c>
      <c r="D32" s="23">
        <f t="shared" si="1"/>
        <v>-1.1614476004099841</v>
      </c>
      <c r="E32" s="34">
        <f t="shared" si="2"/>
        <v>9.5604584066213052E-3</v>
      </c>
      <c r="F32" s="18">
        <f>IF(OR(A32="",A33=""),0,IF(AND(A32&gt;=Parametri!$B$11,B32&gt;=Parametri!$B$10,B33&lt;Parametri!$B$10),ROW(),0))</f>
        <v>0</v>
      </c>
      <c r="H32" s="41">
        <v>4.9858326100000001</v>
      </c>
      <c r="I32" s="41">
        <v>0.29014647700000001</v>
      </c>
      <c r="J32" s="13">
        <f t="shared" si="3"/>
        <v>0.14783750294741066</v>
      </c>
      <c r="K32" s="23">
        <f t="shared" si="4"/>
        <v>-0.95118554259385169</v>
      </c>
      <c r="L32" s="34">
        <f t="shared" si="5"/>
        <v>9.6441451113547672E-3</v>
      </c>
      <c r="M32" s="18">
        <f>IF(OR(H32="",H33=""),0,IF(AND(H32&gt;=Parametri!$B$11,I32&gt;=Parametri!$B$10,I33&lt;Parametri!$B$10),ROW(),0))</f>
        <v>32</v>
      </c>
      <c r="O32" s="41">
        <v>4.6383245329999996</v>
      </c>
      <c r="P32" s="41">
        <v>0.52810669799999999</v>
      </c>
      <c r="Q32" s="13">
        <f t="shared" si="6"/>
        <v>0.15917156157316614</v>
      </c>
      <c r="R32" s="23">
        <f t="shared" si="7"/>
        <v>-0.80890363848418778</v>
      </c>
      <c r="S32" s="34">
        <f t="shared" si="8"/>
        <v>9.7981210135000864E-3</v>
      </c>
      <c r="T32" s="18">
        <f>IF(OR(O32="",O33=""),0,IF(AND(O32&gt;=Parametri!$B$11,P32&gt;=Parametri!$B$10,P33&lt;Parametri!$B$10),ROW(),0))</f>
        <v>0</v>
      </c>
      <c r="V32" s="41"/>
      <c r="W32" s="41"/>
      <c r="X32" s="13" t="str">
        <f t="shared" si="9"/>
        <v/>
      </c>
      <c r="Y32" s="23" t="str">
        <f t="shared" si="10"/>
        <v/>
      </c>
      <c r="Z32" s="34" t="str">
        <f t="shared" si="11"/>
        <v/>
      </c>
      <c r="AA32" s="18">
        <f>IF(OR(V32="",V33=""),0,IF(AND(V32&gt;=Parametri!$B$11,W32&gt;=Parametri!$B$10,W33&lt;Parametri!$B$10),ROW(),0))</f>
        <v>0</v>
      </c>
      <c r="AC32" s="41"/>
      <c r="AD32" s="41"/>
      <c r="AE32" s="13" t="str">
        <f t="shared" si="12"/>
        <v/>
      </c>
      <c r="AF32" s="23" t="str">
        <f t="shared" si="13"/>
        <v/>
      </c>
      <c r="AG32" s="34" t="str">
        <f t="shared" si="14"/>
        <v/>
      </c>
      <c r="AH32" s="18">
        <f>IF(OR(AC32="",AC33=""),0,IF(AND(AC32&gt;=Parametri!$B$11,AD32&gt;=Parametri!$B$10,AD33&lt;Parametri!$B$10),ROW(),0))</f>
        <v>0</v>
      </c>
    </row>
    <row r="33" spans="1:34" x14ac:dyDescent="0.25">
      <c r="A33" s="41">
        <v>8.6341550819999995</v>
      </c>
      <c r="B33" s="41">
        <v>8.6501644000000003E-2</v>
      </c>
      <c r="C33" s="13">
        <f t="shared" si="0"/>
        <v>8.4196658183292666E-2</v>
      </c>
      <c r="D33" s="23">
        <f t="shared" si="1"/>
        <v>-3.0632022375232753</v>
      </c>
      <c r="E33" s="34">
        <f t="shared" si="2"/>
        <v>9.3358576142994355E-3</v>
      </c>
      <c r="F33" s="18">
        <f>IF(OR(A33="",A34=""),0,IF(AND(A33&gt;=Parametri!$B$11,B33&gt;=Parametri!$B$10,B34&lt;Parametri!$B$10),ROW(),0))</f>
        <v>0</v>
      </c>
      <c r="H33" s="41">
        <v>6.2224703720000001</v>
      </c>
      <c r="I33" s="41">
        <v>0.23501162</v>
      </c>
      <c r="J33" s="13">
        <f t="shared" si="3"/>
        <v>0.11974479726123215</v>
      </c>
      <c r="K33" s="23">
        <f t="shared" si="4"/>
        <v>-1.013029389112295</v>
      </c>
      <c r="L33" s="34">
        <f t="shared" si="5"/>
        <v>9.7490189501714848E-3</v>
      </c>
      <c r="M33" s="18">
        <f>IF(OR(H33="",H34=""),0,IF(AND(H33&gt;=Parametri!$B$11,I33&gt;=Parametri!$B$10,I34&lt;Parametri!$B$10),ROW(),0))</f>
        <v>0</v>
      </c>
      <c r="O33" s="41">
        <v>4.9858326100000001</v>
      </c>
      <c r="P33" s="41">
        <v>0.49812812200000001</v>
      </c>
      <c r="Q33" s="13">
        <f t="shared" si="6"/>
        <v>0.15013600725482298</v>
      </c>
      <c r="R33" s="23">
        <f t="shared" si="7"/>
        <v>-0.95686966797802242</v>
      </c>
      <c r="S33" s="34">
        <f t="shared" si="8"/>
        <v>9.9343337385026341E-3</v>
      </c>
      <c r="T33" s="18">
        <f>IF(OR(O33="",O34=""),0,IF(AND(O33&gt;=Parametri!$B$11,P33&gt;=Parametri!$B$10,P34&lt;Parametri!$B$10),ROW(),0))</f>
        <v>0</v>
      </c>
      <c r="V33" s="41"/>
      <c r="W33" s="41"/>
      <c r="X33" s="13" t="str">
        <f t="shared" si="9"/>
        <v/>
      </c>
      <c r="Y33" s="23" t="str">
        <f t="shared" si="10"/>
        <v/>
      </c>
      <c r="Z33" s="34" t="str">
        <f t="shared" si="11"/>
        <v/>
      </c>
      <c r="AA33" s="18">
        <f>IF(OR(V33="",V34=""),0,IF(AND(V33&gt;=Parametri!$B$11,W33&gt;=Parametri!$B$10,W34&lt;Parametri!$B$10),ROW(),0))</f>
        <v>0</v>
      </c>
      <c r="AC33" s="41"/>
      <c r="AD33" s="41"/>
      <c r="AE33" s="13" t="str">
        <f t="shared" si="12"/>
        <v/>
      </c>
      <c r="AF33" s="23" t="str">
        <f t="shared" si="13"/>
        <v/>
      </c>
      <c r="AG33" s="34" t="str">
        <f t="shared" si="14"/>
        <v/>
      </c>
      <c r="AH33" s="18">
        <f>IF(OR(AC33="",AC34=""),0,IF(AND(AC33&gt;=Parametri!$B$11,AD33&gt;=Parametri!$B$10,AD34&lt;Parametri!$B$10),ROW(),0))</f>
        <v>0</v>
      </c>
    </row>
    <row r="34" spans="1:34" x14ac:dyDescent="0.25">
      <c r="A34" s="41">
        <v>9.0361025329999993</v>
      </c>
      <c r="B34" s="41">
        <v>7.5247397999999993E-2</v>
      </c>
      <c r="C34" s="13">
        <f t="shared" si="0"/>
        <v>7.3242301020176898E-2</v>
      </c>
      <c r="D34" s="23">
        <f t="shared" si="1"/>
        <v>-6.5950792286788191</v>
      </c>
      <c r="E34" s="34">
        <f t="shared" si="2"/>
        <v>8.4992900458682377E-3</v>
      </c>
      <c r="F34" s="18">
        <f>IF(OR(A34="",A35=""),0,IF(AND(A34&gt;=Parametri!$B$11,B34&gt;=Parametri!$B$10,B35&lt;Parametri!$B$10),ROW(),0))</f>
        <v>0</v>
      </c>
      <c r="H34" s="41">
        <v>7.5228885979999998</v>
      </c>
      <c r="I34" s="41">
        <v>0.19390706699999999</v>
      </c>
      <c r="J34" s="13">
        <f t="shared" si="3"/>
        <v>9.88009121652587E-2</v>
      </c>
      <c r="K34" s="23">
        <f t="shared" si="4"/>
        <v>-1.3388562426545834</v>
      </c>
      <c r="L34" s="34">
        <f t="shared" si="5"/>
        <v>9.7249417560394801E-3</v>
      </c>
      <c r="M34" s="18">
        <f>IF(OR(H34="",H35=""),0,IF(AND(H34&gt;=Parametri!$B$11,I34&gt;=Parametri!$B$10,I35&lt;Parametri!$B$10),ROW(),0))</f>
        <v>0</v>
      </c>
      <c r="O34" s="41">
        <v>6.269758307</v>
      </c>
      <c r="P34" s="41">
        <v>0.40005526299999999</v>
      </c>
      <c r="Q34" s="13">
        <f t="shared" si="6"/>
        <v>0.1205768098916891</v>
      </c>
      <c r="R34" s="23">
        <f t="shared" si="7"/>
        <v>-1.0679446915417563</v>
      </c>
      <c r="S34" s="34">
        <f t="shared" si="8"/>
        <v>1.0032999233813279E-2</v>
      </c>
      <c r="T34" s="18">
        <f>IF(OR(O34="",O35=""),0,IF(AND(O34&gt;=Parametri!$B$11,P34&gt;=Parametri!$B$10,P35&lt;Parametri!$B$10),ROW(),0))</f>
        <v>0</v>
      </c>
      <c r="V34" s="41"/>
      <c r="W34" s="41"/>
      <c r="X34" s="13" t="str">
        <f t="shared" si="9"/>
        <v/>
      </c>
      <c r="Y34" s="23" t="str">
        <f t="shared" si="10"/>
        <v/>
      </c>
      <c r="Z34" s="34" t="str">
        <f t="shared" si="11"/>
        <v/>
      </c>
      <c r="AA34" s="18">
        <f>IF(OR(V34="",V35=""),0,IF(AND(V34&gt;=Parametri!$B$11,W34&gt;=Parametri!$B$10,W35&lt;Parametri!$B$10),ROW(),0))</f>
        <v>0</v>
      </c>
      <c r="AC34" s="41"/>
      <c r="AD34" s="41"/>
      <c r="AE34" s="13" t="str">
        <f t="shared" si="12"/>
        <v/>
      </c>
      <c r="AF34" s="23" t="str">
        <f t="shared" si="13"/>
        <v/>
      </c>
      <c r="AG34" s="34" t="str">
        <f t="shared" si="14"/>
        <v/>
      </c>
      <c r="AH34" s="18">
        <f>IF(OR(AC34="",AC35=""),0,IF(AND(AC34&gt;=Parametri!$B$11,AD34&gt;=Parametri!$B$10,AD35&lt;Parametri!$B$10),ROW(),0))</f>
        <v>0</v>
      </c>
    </row>
    <row r="35" spans="1:34" x14ac:dyDescent="0.25">
      <c r="A35" s="41">
        <v>9.3434741139999993</v>
      </c>
      <c r="B35" s="41">
        <v>6.0350824999999997E-2</v>
      </c>
      <c r="C35" s="13">
        <f t="shared" si="0"/>
        <v>5.8742672955495658E-2</v>
      </c>
      <c r="D35" s="23">
        <f t="shared" si="1"/>
        <v>-14.081188898038857</v>
      </c>
      <c r="E35" s="34">
        <f t="shared" si="2"/>
        <v>7.0485796393255501E-3</v>
      </c>
      <c r="F35" s="18">
        <f>IF(OR(A35="",A36=""),0,IF(AND(A35&gt;=Parametri!$B$11,B35&gt;=Parametri!$B$10,B36&lt;Parametri!$B$10),ROW(),0))</f>
        <v>0</v>
      </c>
      <c r="H35" s="41">
        <v>8.6341550819999995</v>
      </c>
      <c r="I35" s="41">
        <v>0.16124374899999999</v>
      </c>
      <c r="J35" s="13">
        <f t="shared" si="3"/>
        <v>8.2158065348624049E-2</v>
      </c>
      <c r="K35" s="23">
        <f t="shared" si="4"/>
        <v>-3.3194107112272282</v>
      </c>
      <c r="L35" s="34">
        <f t="shared" si="5"/>
        <v>9.2813568991272147E-3</v>
      </c>
      <c r="M35" s="18">
        <f>IF(OR(H35="",H36=""),0,IF(AND(H35&gt;=Parametri!$B$11,I35&gt;=Parametri!$B$10,I36&lt;Parametri!$B$10),ROW(),0))</f>
        <v>0</v>
      </c>
      <c r="O35" s="41">
        <v>7.6647524039999997</v>
      </c>
      <c r="P35" s="41">
        <v>0.32280827899999998</v>
      </c>
      <c r="Q35" s="13">
        <f t="shared" si="6"/>
        <v>9.7294539250809289E-2</v>
      </c>
      <c r="R35" s="23">
        <f t="shared" si="7"/>
        <v>-1.5145964960321627</v>
      </c>
      <c r="S35" s="34">
        <f t="shared" si="8"/>
        <v>9.8969821299854099E-3</v>
      </c>
      <c r="T35" s="18">
        <f>IF(OR(O35="",O36=""),0,IF(AND(O35&gt;=Parametri!$B$11,P35&gt;=Parametri!$B$10,P36&lt;Parametri!$B$10),ROW(),0))</f>
        <v>0</v>
      </c>
      <c r="V35" s="41"/>
      <c r="W35" s="41"/>
      <c r="X35" s="13" t="str">
        <f t="shared" si="9"/>
        <v/>
      </c>
      <c r="Y35" s="23" t="str">
        <f t="shared" si="10"/>
        <v/>
      </c>
      <c r="Z35" s="34" t="str">
        <f t="shared" si="11"/>
        <v/>
      </c>
      <c r="AA35" s="18">
        <f>IF(OR(V35="",V36=""),0,IF(AND(V35&gt;=Parametri!$B$11,W35&gt;=Parametri!$B$10,W36&lt;Parametri!$B$10),ROW(),0))</f>
        <v>0</v>
      </c>
      <c r="AC35" s="41"/>
      <c r="AD35" s="41"/>
      <c r="AE35" s="13" t="str">
        <f t="shared" si="12"/>
        <v/>
      </c>
      <c r="AF35" s="23" t="str">
        <f t="shared" si="13"/>
        <v/>
      </c>
      <c r="AG35" s="34" t="str">
        <f t="shared" si="14"/>
        <v/>
      </c>
      <c r="AH35" s="18">
        <f>IF(OR(AC35="",AC36=""),0,IF(AND(AC35&gt;=Parametri!$B$11,AD35&gt;=Parametri!$B$10,AD36&lt;Parametri!$B$10),ROW(),0))</f>
        <v>0</v>
      </c>
    </row>
    <row r="36" spans="1:34" x14ac:dyDescent="0.25">
      <c r="A36" s="41">
        <v>9.6508456949999992</v>
      </c>
      <c r="B36" s="41">
        <v>3.8259927999999999E-2</v>
      </c>
      <c r="C36" s="13">
        <f t="shared" si="0"/>
        <v>3.7240426088704023E-2</v>
      </c>
      <c r="D36" s="23">
        <f t="shared" si="1"/>
        <v>-20.349526411466822</v>
      </c>
      <c r="E36" s="34">
        <f t="shared" si="2"/>
        <v>4.6155082678726242E-3</v>
      </c>
      <c r="F36" s="18">
        <f>IF(OR(A36="",A37=""),0,IF(AND(A36&gt;=Parametri!$B$11,B36&gt;=Parametri!$B$10,B37&lt;Parametri!$B$10),ROW(),0))</f>
        <v>0</v>
      </c>
      <c r="H36" s="41">
        <v>9.0597465009999993</v>
      </c>
      <c r="I36" s="41">
        <v>0.13744211000000001</v>
      </c>
      <c r="J36" s="13">
        <f t="shared" si="3"/>
        <v>7.0030484437773613E-2</v>
      </c>
      <c r="K36" s="23">
        <f t="shared" si="4"/>
        <v>-7.2381791974936309</v>
      </c>
      <c r="L36" s="34">
        <f t="shared" si="5"/>
        <v>8.3012711677503803E-3</v>
      </c>
      <c r="M36" s="18">
        <f>IF(OR(H36="",H37=""),0,IF(AND(H36&gt;=Parametri!$B$11,I36&gt;=Parametri!$B$10,I37&lt;Parametri!$B$10),ROW(),0))</f>
        <v>0</v>
      </c>
      <c r="O36" s="41">
        <v>8.6814430169999994</v>
      </c>
      <c r="P36" s="41">
        <v>0.267309505</v>
      </c>
      <c r="Q36" s="13">
        <f t="shared" si="6"/>
        <v>8.0567187455365438E-2</v>
      </c>
      <c r="R36" s="23">
        <f t="shared" si="7"/>
        <v>-3.6890778200004029</v>
      </c>
      <c r="S36" s="34">
        <f t="shared" si="8"/>
        <v>9.2825289422399059E-3</v>
      </c>
      <c r="T36" s="18">
        <f>IF(OR(O36="",O37=""),0,IF(AND(O36&gt;=Parametri!$B$11,P36&gt;=Parametri!$B$10,P37&lt;Parametri!$B$10),ROW(),0))</f>
        <v>36</v>
      </c>
      <c r="V36" s="41"/>
      <c r="W36" s="41"/>
      <c r="X36" s="13" t="str">
        <f t="shared" si="9"/>
        <v/>
      </c>
      <c r="Y36" s="23" t="str">
        <f t="shared" si="10"/>
        <v/>
      </c>
      <c r="Z36" s="34" t="str">
        <f t="shared" si="11"/>
        <v/>
      </c>
      <c r="AA36" s="18">
        <f>IF(OR(V36="",V37=""),0,IF(AND(V36&gt;=Parametri!$B$11,W36&gt;=Parametri!$B$10,W37&lt;Parametri!$B$10),ROW(),0))</f>
        <v>0</v>
      </c>
      <c r="AC36" s="41"/>
      <c r="AD36" s="41"/>
      <c r="AE36" s="13" t="str">
        <f t="shared" si="12"/>
        <v/>
      </c>
      <c r="AF36" s="23" t="str">
        <f t="shared" si="13"/>
        <v/>
      </c>
      <c r="AG36" s="34" t="str">
        <f t="shared" si="14"/>
        <v/>
      </c>
      <c r="AH36" s="18">
        <f>IF(OR(AC36="",AC37=""),0,IF(AND(AC36&gt;=Parametri!$B$11,AD36&gt;=Parametri!$B$10,AD37&lt;Parametri!$B$10),ROW(),0))</f>
        <v>0</v>
      </c>
    </row>
    <row r="37" spans="1:34" x14ac:dyDescent="0.25">
      <c r="A37" s="41">
        <v>9.8163534569999999</v>
      </c>
      <c r="B37" s="41">
        <v>2.7068653000000002E-2</v>
      </c>
      <c r="C37" s="13">
        <f t="shared" si="0"/>
        <v>2.6347361954452097E-2</v>
      </c>
      <c r="D37" s="23">
        <f t="shared" si="1"/>
        <v>-5.8602378239362727</v>
      </c>
      <c r="E37" s="34">
        <f t="shared" si="2"/>
        <v>3.321443318161043E-3</v>
      </c>
      <c r="F37" s="18">
        <f>IF(OR(A37="",A38=""),0,IF(AND(A37&gt;=Parametri!$B$11,B37&gt;=Parametri!$B$10,B38&lt;Parametri!$B$10),ROW(),0))</f>
        <v>0</v>
      </c>
      <c r="H37" s="41">
        <v>9.3907620489999992</v>
      </c>
      <c r="I37" s="41">
        <v>0.10600206099999999</v>
      </c>
      <c r="J37" s="13">
        <f t="shared" si="3"/>
        <v>5.4010926369163201E-2</v>
      </c>
      <c r="K37" s="23">
        <f t="shared" si="4"/>
        <v>-17.032650343880793</v>
      </c>
      <c r="L37" s="34">
        <f t="shared" si="5"/>
        <v>6.6362675436972196E-3</v>
      </c>
      <c r="M37" s="18">
        <f>IF(OR(H37="",H38=""),0,IF(AND(H37&gt;=Parametri!$B$11,I37&gt;=Parametri!$B$10,I38&lt;Parametri!$B$10),ROW(),0))</f>
        <v>0</v>
      </c>
      <c r="O37" s="41">
        <v>9.1306784039999993</v>
      </c>
      <c r="P37" s="41">
        <v>0.221912899</v>
      </c>
      <c r="Q37" s="13">
        <f t="shared" si="6"/>
        <v>6.6884632974411357E-2</v>
      </c>
      <c r="R37" s="23">
        <f t="shared" si="7"/>
        <v>-8.0815845394675634</v>
      </c>
      <c r="S37" s="34">
        <f t="shared" si="8"/>
        <v>8.1048612578733317E-3</v>
      </c>
      <c r="T37" s="18">
        <f>IF(OR(O37="",O38=""),0,IF(AND(O37&gt;=Parametri!$B$11,P37&gt;=Parametri!$B$10,P38&lt;Parametri!$B$10),ROW(),0))</f>
        <v>0</v>
      </c>
      <c r="V37" s="41"/>
      <c r="W37" s="41"/>
      <c r="X37" s="13" t="str">
        <f t="shared" si="9"/>
        <v/>
      </c>
      <c r="Y37" s="23" t="str">
        <f t="shared" si="10"/>
        <v/>
      </c>
      <c r="Z37" s="34" t="str">
        <f t="shared" si="11"/>
        <v/>
      </c>
      <c r="AA37" s="18">
        <f>IF(OR(V37="",V38=""),0,IF(AND(V37&gt;=Parametri!$B$11,W37&gt;=Parametri!$B$10,W38&lt;Parametri!$B$10),ROW(),0))</f>
        <v>0</v>
      </c>
      <c r="AC37" s="41"/>
      <c r="AD37" s="41"/>
      <c r="AE37" s="13" t="str">
        <f t="shared" si="12"/>
        <v/>
      </c>
      <c r="AF37" s="23" t="str">
        <f t="shared" si="13"/>
        <v/>
      </c>
      <c r="AG37" s="34" t="str">
        <f t="shared" si="14"/>
        <v/>
      </c>
      <c r="AH37" s="18">
        <f>IF(OR(AC37="",AC38=""),0,IF(AND(AC37&gt;=Parametri!$B$11,AD37&gt;=Parametri!$B$10,AD38&lt;Parametri!$B$10),ROW(),0))</f>
        <v>0</v>
      </c>
    </row>
    <row r="38" spans="1:34" x14ac:dyDescent="0.25">
      <c r="A38" s="41">
        <v>9.894009338</v>
      </c>
      <c r="B38" s="41">
        <v>2.5847120000000001E-2</v>
      </c>
      <c r="C38" s="13">
        <f t="shared" si="0"/>
        <v>2.5158378812575488E-2</v>
      </c>
      <c r="D38" s="23" t="str">
        <f t="shared" si="1"/>
        <v/>
      </c>
      <c r="E38" s="34">
        <f t="shared" si="2"/>
        <v>3.1966455830050823E-3</v>
      </c>
      <c r="F38" s="18">
        <f>IF(OR(A38="",A39=""),0,IF(AND(A38&gt;=Parametri!$B$11,B38&gt;=Parametri!$B$10,B39&lt;Parametri!$B$10),ROW(),0))</f>
        <v>0</v>
      </c>
      <c r="H38" s="41">
        <v>9.8163534569999999</v>
      </c>
      <c r="I38" s="41">
        <v>4.9824946000000002E-2</v>
      </c>
      <c r="J38" s="13">
        <f t="shared" si="3"/>
        <v>2.5387161951063695E-2</v>
      </c>
      <c r="K38" s="23">
        <f t="shared" si="4"/>
        <v>-7.0128415949126888</v>
      </c>
      <c r="L38" s="34">
        <f t="shared" si="5"/>
        <v>3.2606618727462557E-3</v>
      </c>
      <c r="M38" s="18">
        <f>IF(OR(H38="",H39=""),0,IF(AND(H38&gt;=Parametri!$B$11,I38&gt;=Parametri!$B$10,I39&lt;Parametri!$B$10),ROW(),0))</f>
        <v>0</v>
      </c>
      <c r="O38" s="41">
        <v>9.4380499849999993</v>
      </c>
      <c r="P38" s="41">
        <v>0.169814829</v>
      </c>
      <c r="Q38" s="13">
        <f t="shared" si="6"/>
        <v>5.1182254670457103E-2</v>
      </c>
      <c r="R38" s="23">
        <f t="shared" si="7"/>
        <v>-17.551567668528818</v>
      </c>
      <c r="S38" s="34">
        <f t="shared" si="8"/>
        <v>6.4108833771849101E-3</v>
      </c>
      <c r="T38" s="18">
        <f>IF(OR(O38="",O39=""),0,IF(AND(O38&gt;=Parametri!$B$11,P38&gt;=Parametri!$B$10,P39&lt;Parametri!$B$10),ROW(),0))</f>
        <v>0</v>
      </c>
      <c r="V38" s="41"/>
      <c r="W38" s="41"/>
      <c r="X38" s="13" t="str">
        <f t="shared" si="9"/>
        <v/>
      </c>
      <c r="Y38" s="23" t="str">
        <f t="shared" si="10"/>
        <v/>
      </c>
      <c r="Z38" s="34" t="str">
        <f t="shared" si="11"/>
        <v/>
      </c>
      <c r="AA38" s="18">
        <f>IF(OR(V38="",V39=""),0,IF(AND(V38&gt;=Parametri!$B$11,W38&gt;=Parametri!$B$10,W39&lt;Parametri!$B$10),ROW(),0))</f>
        <v>0</v>
      </c>
      <c r="AC38" s="41"/>
      <c r="AD38" s="41"/>
      <c r="AE38" s="13" t="str">
        <f t="shared" si="12"/>
        <v/>
      </c>
      <c r="AF38" s="23" t="str">
        <f t="shared" si="13"/>
        <v/>
      </c>
      <c r="AG38" s="34" t="str">
        <f t="shared" si="14"/>
        <v/>
      </c>
      <c r="AH38" s="18">
        <f>IF(OR(AC38="",AC39=""),0,IF(AND(AC38&gt;=Parametri!$B$11,AD38&gt;=Parametri!$B$10,AD39&lt;Parametri!$B$10),ROW(),0))</f>
        <v>0</v>
      </c>
    </row>
    <row r="39" spans="1:34" x14ac:dyDescent="0.25">
      <c r="A39" s="41"/>
      <c r="B39" s="41"/>
      <c r="C39" s="13" t="str">
        <f t="shared" si="0"/>
        <v/>
      </c>
      <c r="D39" s="23" t="str">
        <f t="shared" si="1"/>
        <v/>
      </c>
      <c r="E39" s="34" t="str">
        <f t="shared" si="2"/>
        <v/>
      </c>
      <c r="F39" s="18">
        <f>IF(OR(A39="",A40=""),0,IF(AND(A39&gt;=Parametri!$B$11,B39&gt;=Parametri!$B$10,B40&lt;Parametri!$B$10),ROW(),0))</f>
        <v>0</v>
      </c>
      <c r="H39" s="41">
        <v>9.894009338</v>
      </c>
      <c r="I39" s="41">
        <v>4.7146341000000001E-2</v>
      </c>
      <c r="J39" s="13">
        <f t="shared" si="3"/>
        <v>2.4022340021544113E-2</v>
      </c>
      <c r="K39" s="23" t="str">
        <f t="shared" si="4"/>
        <v/>
      </c>
      <c r="L39" s="34">
        <f t="shared" si="5"/>
        <v>3.1097755873768819E-3</v>
      </c>
      <c r="M39" s="18">
        <f>IF(OR(H39="",H40=""),0,IF(AND(H39&gt;=Parametri!$B$11,I39&gt;=Parametri!$B$10,I40&lt;Parametri!$B$10),ROW(),0))</f>
        <v>0</v>
      </c>
      <c r="O39" s="41">
        <v>9.8163534569999999</v>
      </c>
      <c r="P39" s="41">
        <v>8.5193596999999996E-2</v>
      </c>
      <c r="Q39" s="13">
        <f t="shared" si="6"/>
        <v>2.5677382850624254E-2</v>
      </c>
      <c r="R39" s="23">
        <f t="shared" si="7"/>
        <v>-7.8777579000042337</v>
      </c>
      <c r="S39" s="34">
        <f t="shared" si="8"/>
        <v>3.3451618417008593E-3</v>
      </c>
      <c r="T39" s="18">
        <f>IF(OR(O39="",O40=""),0,IF(AND(O39&gt;=Parametri!$B$11,P39&gt;=Parametri!$B$10,P40&lt;Parametri!$B$10),ROW(),0))</f>
        <v>0</v>
      </c>
      <c r="V39" s="41"/>
      <c r="W39" s="41"/>
      <c r="X39" s="13" t="str">
        <f t="shared" si="9"/>
        <v/>
      </c>
      <c r="Y39" s="23" t="str">
        <f t="shared" si="10"/>
        <v/>
      </c>
      <c r="Z39" s="34" t="str">
        <f t="shared" si="11"/>
        <v/>
      </c>
      <c r="AA39" s="18">
        <f>IF(OR(V39="",V40=""),0,IF(AND(V39&gt;=Parametri!$B$11,W39&gt;=Parametri!$B$10,W40&lt;Parametri!$B$10),ROW(),0))</f>
        <v>0</v>
      </c>
      <c r="AC39" s="41"/>
      <c r="AD39" s="41"/>
      <c r="AE39" s="13" t="str">
        <f t="shared" si="12"/>
        <v/>
      </c>
      <c r="AF39" s="23" t="str">
        <f t="shared" si="13"/>
        <v/>
      </c>
      <c r="AG39" s="34" t="str">
        <f t="shared" si="14"/>
        <v/>
      </c>
      <c r="AH39" s="18">
        <f>IF(OR(AC39="",AC40=""),0,IF(AND(AC39&gt;=Parametri!$B$11,AD39&gt;=Parametri!$B$10,AD40&lt;Parametri!$B$10),ROW(),0))</f>
        <v>0</v>
      </c>
    </row>
    <row r="40" spans="1:34" x14ac:dyDescent="0.25">
      <c r="A40" s="41"/>
      <c r="B40" s="41"/>
      <c r="C40" s="13" t="str">
        <f t="shared" si="0"/>
        <v/>
      </c>
      <c r="D40" s="23" t="str">
        <f t="shared" si="1"/>
        <v/>
      </c>
      <c r="E40" s="34" t="str">
        <f t="shared" si="2"/>
        <v/>
      </c>
      <c r="F40" s="18">
        <f>IF(OR(A40="",A41=""),0,IF(AND(A40&gt;=Parametri!$B$11,B40&gt;=Parametri!$B$10,B41&lt;Parametri!$B$10),ROW(),0))</f>
        <v>0</v>
      </c>
      <c r="H40" s="41"/>
      <c r="I40" s="41"/>
      <c r="J40" s="13" t="str">
        <f t="shared" si="3"/>
        <v/>
      </c>
      <c r="K40" s="23" t="str">
        <f t="shared" si="4"/>
        <v/>
      </c>
      <c r="L40" s="34" t="str">
        <f t="shared" si="5"/>
        <v/>
      </c>
      <c r="M40" s="18">
        <f>IF(OR(H40="",H41=""),0,IF(AND(H40&gt;=Parametri!$B$11,I40&gt;=Parametri!$B$10,I41&lt;Parametri!$B$10),ROW(),0))</f>
        <v>0</v>
      </c>
      <c r="O40" s="41">
        <v>9.894009338</v>
      </c>
      <c r="P40" s="41">
        <v>8.0066023E-2</v>
      </c>
      <c r="Q40" s="13">
        <f t="shared" si="6"/>
        <v>2.4131930078006767E-2</v>
      </c>
      <c r="R40" s="23" t="str">
        <f t="shared" si="7"/>
        <v/>
      </c>
      <c r="S40" s="34">
        <f t="shared" si="8"/>
        <v>3.168695916874091E-3</v>
      </c>
      <c r="T40" s="18">
        <f>IF(OR(O40="",O41=""),0,IF(AND(O40&gt;=Parametri!$B$11,P40&gt;=Parametri!$B$10,P41&lt;Parametri!$B$10),ROW(),0))</f>
        <v>0</v>
      </c>
      <c r="V40" s="41"/>
      <c r="W40" s="41"/>
      <c r="X40" s="13" t="str">
        <f t="shared" si="9"/>
        <v/>
      </c>
      <c r="Y40" s="23" t="str">
        <f t="shared" si="10"/>
        <v/>
      </c>
      <c r="Z40" s="34" t="str">
        <f t="shared" si="11"/>
        <v/>
      </c>
      <c r="AA40" s="18">
        <f>IF(OR(V40="",V41=""),0,IF(AND(V40&gt;=Parametri!$B$11,W40&gt;=Parametri!$B$10,W41&lt;Parametri!$B$10),ROW(),0))</f>
        <v>0</v>
      </c>
      <c r="AC40" s="41"/>
      <c r="AD40" s="41"/>
      <c r="AE40" s="13" t="str">
        <f t="shared" si="12"/>
        <v/>
      </c>
      <c r="AF40" s="23" t="str">
        <f t="shared" si="13"/>
        <v/>
      </c>
      <c r="AG40" s="34" t="str">
        <f t="shared" si="14"/>
        <v/>
      </c>
      <c r="AH40" s="18">
        <f>IF(OR(AC40="",AC41=""),0,IF(AND(AC40&gt;=Parametri!$B$11,AD40&gt;=Parametri!$B$10,AD41&lt;Parametri!$B$10),ROW(),0))</f>
        <v>0</v>
      </c>
    </row>
    <row r="41" spans="1:34" x14ac:dyDescent="0.25">
      <c r="A41" s="41"/>
      <c r="B41" s="41"/>
      <c r="C41" s="13" t="str">
        <f t="shared" ref="C41:C72" si="15">IF(OR(A41="",B$4=""),"",B41/B$4)</f>
        <v/>
      </c>
      <c r="D41" s="23" t="str">
        <f t="shared" ref="D41:D72" si="16">IF(OR(A41="",A42="",A41&lt;=0),"",IFERROR(LN(B42/B41)/LN(A42/A41),""))</f>
        <v/>
      </c>
      <c r="E41" s="34" t="str">
        <f t="shared" ref="E41:E72" si="17">IF(OR(A41="",B$3="",A41&lt;=0),"",B41*A41/B$3)</f>
        <v/>
      </c>
      <c r="F41" s="18">
        <f>IF(OR(A41="",A42=""),0,IF(AND(A41&gt;=Parametri!$B$11,B41&gt;=Parametri!$B$10,B42&lt;Parametri!$B$10),ROW(),0))</f>
        <v>0</v>
      </c>
      <c r="H41" s="41"/>
      <c r="I41" s="41"/>
      <c r="J41" s="13" t="str">
        <f t="shared" ref="J41:J72" si="18">IF(OR(H41="",I$4=""),"",I41/I$4)</f>
        <v/>
      </c>
      <c r="K41" s="23" t="str">
        <f t="shared" ref="K41:K72" si="19">IF(OR(H41="",H42="",H41&lt;=0),"",IFERROR(LN(I42/I41)/LN(H42/H41),""))</f>
        <v/>
      </c>
      <c r="L41" s="34" t="str">
        <f t="shared" ref="L41:L72" si="20">IF(OR(H41="",I$3="",H41&lt;=0),"",I41*H41/I$3)</f>
        <v/>
      </c>
      <c r="M41" s="18">
        <f>IF(OR(H41="",H42=""),0,IF(AND(H41&gt;=Parametri!$B$11,I41&gt;=Parametri!$B$10,I42&lt;Parametri!$B$10),ROW(),0))</f>
        <v>0</v>
      </c>
      <c r="O41" s="41"/>
      <c r="P41" s="41"/>
      <c r="Q41" s="13" t="str">
        <f t="shared" ref="Q41:Q72" si="21">IF(OR(O41="",P$4=""),"",P41/P$4)</f>
        <v/>
      </c>
      <c r="R41" s="23" t="str">
        <f t="shared" ref="R41:R72" si="22">IF(OR(O41="",O42="",O41&lt;=0),"",IFERROR(LN(P42/P41)/LN(O42/O41),""))</f>
        <v/>
      </c>
      <c r="S41" s="34" t="str">
        <f t="shared" ref="S41:S72" si="23">IF(OR(O41="",P$3="",O41&lt;=0),"",P41*O41/P$3)</f>
        <v/>
      </c>
      <c r="T41" s="18">
        <f>IF(OR(O41="",O42=""),0,IF(AND(O41&gt;=Parametri!$B$11,P41&gt;=Parametri!$B$10,P42&lt;Parametri!$B$10),ROW(),0))</f>
        <v>0</v>
      </c>
      <c r="V41" s="41"/>
      <c r="W41" s="41"/>
      <c r="X41" s="13" t="str">
        <f t="shared" ref="X41:X72" si="24">IF(OR(V41="",W$4=""),"",W41/W$4)</f>
        <v/>
      </c>
      <c r="Y41" s="23" t="str">
        <f t="shared" ref="Y41:Y72" si="25">IF(OR(V41="",V42="",V41&lt;=0),"",IFERROR(LN(W42/W41)/LN(V42/V41),""))</f>
        <v/>
      </c>
      <c r="Z41" s="34" t="str">
        <f t="shared" ref="Z41:Z72" si="26">IF(OR(V41="",W$3="",V41&lt;=0),"",W41*V41/W$3)</f>
        <v/>
      </c>
      <c r="AA41" s="18">
        <f>IF(OR(V41="",V42=""),0,IF(AND(V41&gt;=Parametri!$B$11,W41&gt;=Parametri!$B$10,W42&lt;Parametri!$B$10),ROW(),0))</f>
        <v>0</v>
      </c>
      <c r="AC41" s="41"/>
      <c r="AD41" s="41"/>
      <c r="AE41" s="13" t="str">
        <f t="shared" ref="AE41:AE72" si="27">IF(OR(AC41="",AD$4=""),"",AD41/AD$4)</f>
        <v/>
      </c>
      <c r="AF41" s="23" t="str">
        <f t="shared" ref="AF41:AF72" si="28">IF(OR(AC41="",AC42="",AC41&lt;=0),"",IFERROR(LN(AD42/AD41)/LN(AC42/AC41),""))</f>
        <v/>
      </c>
      <c r="AG41" s="34" t="str">
        <f t="shared" ref="AG41:AG72" si="29">IF(OR(AC41="",AD$3="",AC41&lt;=0),"",AD41*AC41/AD$3)</f>
        <v/>
      </c>
      <c r="AH41" s="18">
        <f>IF(OR(AC41="",AC42=""),0,IF(AND(AC41&gt;=Parametri!$B$11,AD41&gt;=Parametri!$B$10,AD42&lt;Parametri!$B$10),ROW(),0))</f>
        <v>0</v>
      </c>
    </row>
    <row r="42" spans="1:34" x14ac:dyDescent="0.25">
      <c r="A42" s="41"/>
      <c r="B42" s="41"/>
      <c r="C42" s="13" t="str">
        <f t="shared" si="15"/>
        <v/>
      </c>
      <c r="D42" s="23" t="str">
        <f t="shared" si="16"/>
        <v/>
      </c>
      <c r="E42" s="34" t="str">
        <f t="shared" si="17"/>
        <v/>
      </c>
      <c r="F42" s="18">
        <f>IF(OR(A42="",A43=""),0,IF(AND(A42&gt;=Parametri!$B$11,B42&gt;=Parametri!$B$10,B43&lt;Parametri!$B$10),ROW(),0))</f>
        <v>0</v>
      </c>
      <c r="H42" s="41"/>
      <c r="I42" s="41"/>
      <c r="J42" s="13" t="str">
        <f t="shared" si="18"/>
        <v/>
      </c>
      <c r="K42" s="23" t="str">
        <f t="shared" si="19"/>
        <v/>
      </c>
      <c r="L42" s="34" t="str">
        <f t="shared" si="20"/>
        <v/>
      </c>
      <c r="M42" s="18">
        <f>IF(OR(H42="",H43=""),0,IF(AND(H42&gt;=Parametri!$B$11,I42&gt;=Parametri!$B$10,I43&lt;Parametri!$B$10),ROW(),0))</f>
        <v>0</v>
      </c>
      <c r="O42" s="41"/>
      <c r="P42" s="41"/>
      <c r="Q42" s="13" t="str">
        <f t="shared" si="21"/>
        <v/>
      </c>
      <c r="R42" s="23" t="str">
        <f t="shared" si="22"/>
        <v/>
      </c>
      <c r="S42" s="34" t="str">
        <f t="shared" si="23"/>
        <v/>
      </c>
      <c r="T42" s="18">
        <f>IF(OR(O42="",O43=""),0,IF(AND(O42&gt;=Parametri!$B$11,P42&gt;=Parametri!$B$10,P43&lt;Parametri!$B$10),ROW(),0))</f>
        <v>0</v>
      </c>
      <c r="V42" s="41"/>
      <c r="W42" s="41"/>
      <c r="X42" s="13" t="str">
        <f t="shared" si="24"/>
        <v/>
      </c>
      <c r="Y42" s="23" t="str">
        <f t="shared" si="25"/>
        <v/>
      </c>
      <c r="Z42" s="34" t="str">
        <f t="shared" si="26"/>
        <v/>
      </c>
      <c r="AA42" s="18">
        <f>IF(OR(V42="",V43=""),0,IF(AND(V42&gt;=Parametri!$B$11,W42&gt;=Parametri!$B$10,W43&lt;Parametri!$B$10),ROW(),0))</f>
        <v>0</v>
      </c>
      <c r="AC42" s="41"/>
      <c r="AD42" s="41"/>
      <c r="AE42" s="13" t="str">
        <f t="shared" si="27"/>
        <v/>
      </c>
      <c r="AF42" s="23" t="str">
        <f t="shared" si="28"/>
        <v/>
      </c>
      <c r="AG42" s="34" t="str">
        <f t="shared" si="29"/>
        <v/>
      </c>
      <c r="AH42" s="18">
        <f>IF(OR(AC42="",AC43=""),0,IF(AND(AC42&gt;=Parametri!$B$11,AD42&gt;=Parametri!$B$10,AD43&lt;Parametri!$B$10),ROW(),0))</f>
        <v>0</v>
      </c>
    </row>
    <row r="43" spans="1:34" x14ac:dyDescent="0.25">
      <c r="A43" s="41"/>
      <c r="B43" s="41"/>
      <c r="C43" s="13" t="str">
        <f t="shared" si="15"/>
        <v/>
      </c>
      <c r="D43" s="23" t="str">
        <f t="shared" si="16"/>
        <v/>
      </c>
      <c r="E43" s="34" t="str">
        <f t="shared" si="17"/>
        <v/>
      </c>
      <c r="F43" s="18">
        <f>IF(OR(A43="",A44=""),0,IF(AND(A43&gt;=Parametri!$B$11,B43&gt;=Parametri!$B$10,B44&lt;Parametri!$B$10),ROW(),0))</f>
        <v>0</v>
      </c>
      <c r="H43" s="41"/>
      <c r="I43" s="41"/>
      <c r="J43" s="13" t="str">
        <f t="shared" si="18"/>
        <v/>
      </c>
      <c r="K43" s="23" t="str">
        <f t="shared" si="19"/>
        <v/>
      </c>
      <c r="L43" s="34" t="str">
        <f t="shared" si="20"/>
        <v/>
      </c>
      <c r="M43" s="18">
        <f>IF(OR(H43="",H44=""),0,IF(AND(H43&gt;=Parametri!$B$11,I43&gt;=Parametri!$B$10,I44&lt;Parametri!$B$10),ROW(),0))</f>
        <v>0</v>
      </c>
      <c r="O43" s="41"/>
      <c r="P43" s="41"/>
      <c r="Q43" s="13" t="str">
        <f t="shared" si="21"/>
        <v/>
      </c>
      <c r="R43" s="23" t="str">
        <f t="shared" si="22"/>
        <v/>
      </c>
      <c r="S43" s="34" t="str">
        <f t="shared" si="23"/>
        <v/>
      </c>
      <c r="T43" s="18">
        <f>IF(OR(O43="",O44=""),0,IF(AND(O43&gt;=Parametri!$B$11,P43&gt;=Parametri!$B$10,P44&lt;Parametri!$B$10),ROW(),0))</f>
        <v>0</v>
      </c>
      <c r="V43" s="41"/>
      <c r="W43" s="41"/>
      <c r="X43" s="13" t="str">
        <f t="shared" si="24"/>
        <v/>
      </c>
      <c r="Y43" s="23" t="str">
        <f t="shared" si="25"/>
        <v/>
      </c>
      <c r="Z43" s="34" t="str">
        <f t="shared" si="26"/>
        <v/>
      </c>
      <c r="AA43" s="18">
        <f>IF(OR(V43="",V44=""),0,IF(AND(V43&gt;=Parametri!$B$11,W43&gt;=Parametri!$B$10,W44&lt;Parametri!$B$10),ROW(),0))</f>
        <v>0</v>
      </c>
      <c r="AC43" s="41"/>
      <c r="AD43" s="41"/>
      <c r="AE43" s="13" t="str">
        <f t="shared" si="27"/>
        <v/>
      </c>
      <c r="AF43" s="23" t="str">
        <f t="shared" si="28"/>
        <v/>
      </c>
      <c r="AG43" s="34" t="str">
        <f t="shared" si="29"/>
        <v/>
      </c>
      <c r="AH43" s="18">
        <f>IF(OR(AC43="",AC44=""),0,IF(AND(AC43&gt;=Parametri!$B$11,AD43&gt;=Parametri!$B$10,AD44&lt;Parametri!$B$10),ROW(),0))</f>
        <v>0</v>
      </c>
    </row>
    <row r="44" spans="1:34" x14ac:dyDescent="0.25">
      <c r="A44" s="41"/>
      <c r="B44" s="41"/>
      <c r="C44" s="13" t="str">
        <f t="shared" si="15"/>
        <v/>
      </c>
      <c r="D44" s="23" t="str">
        <f t="shared" si="16"/>
        <v/>
      </c>
      <c r="E44" s="34" t="str">
        <f t="shared" si="17"/>
        <v/>
      </c>
      <c r="F44" s="18">
        <f>IF(OR(A44="",A45=""),0,IF(AND(A44&gt;=Parametri!$B$11,B44&gt;=Parametri!$B$10,B45&lt;Parametri!$B$10),ROW(),0))</f>
        <v>0</v>
      </c>
      <c r="H44" s="41"/>
      <c r="I44" s="41"/>
      <c r="J44" s="13" t="str">
        <f t="shared" si="18"/>
        <v/>
      </c>
      <c r="K44" s="23" t="str">
        <f t="shared" si="19"/>
        <v/>
      </c>
      <c r="L44" s="34" t="str">
        <f t="shared" si="20"/>
        <v/>
      </c>
      <c r="M44" s="18">
        <f>IF(OR(H44="",H45=""),0,IF(AND(H44&gt;=Parametri!$B$11,I44&gt;=Parametri!$B$10,I45&lt;Parametri!$B$10),ROW(),0))</f>
        <v>0</v>
      </c>
      <c r="O44" s="41"/>
      <c r="P44" s="41"/>
      <c r="Q44" s="13" t="str">
        <f t="shared" si="21"/>
        <v/>
      </c>
      <c r="R44" s="23" t="str">
        <f t="shared" si="22"/>
        <v/>
      </c>
      <c r="S44" s="34" t="str">
        <f t="shared" si="23"/>
        <v/>
      </c>
      <c r="T44" s="18">
        <f>IF(OR(O44="",O45=""),0,IF(AND(O44&gt;=Parametri!$B$11,P44&gt;=Parametri!$B$10,P45&lt;Parametri!$B$10),ROW(),0))</f>
        <v>0</v>
      </c>
      <c r="V44" s="41"/>
      <c r="W44" s="41"/>
      <c r="X44" s="13" t="str">
        <f t="shared" si="24"/>
        <v/>
      </c>
      <c r="Y44" s="23" t="str">
        <f t="shared" si="25"/>
        <v/>
      </c>
      <c r="Z44" s="34" t="str">
        <f t="shared" si="26"/>
        <v/>
      </c>
      <c r="AA44" s="18">
        <f>IF(OR(V44="",V45=""),0,IF(AND(V44&gt;=Parametri!$B$11,W44&gt;=Parametri!$B$10,W45&lt;Parametri!$B$10),ROW(),0))</f>
        <v>0</v>
      </c>
      <c r="AC44" s="41"/>
      <c r="AD44" s="41"/>
      <c r="AE44" s="13" t="str">
        <f t="shared" si="27"/>
        <v/>
      </c>
      <c r="AF44" s="23" t="str">
        <f t="shared" si="28"/>
        <v/>
      </c>
      <c r="AG44" s="34" t="str">
        <f t="shared" si="29"/>
        <v/>
      </c>
      <c r="AH44" s="18">
        <f>IF(OR(AC44="",AC45=""),0,IF(AND(AC44&gt;=Parametri!$B$11,AD44&gt;=Parametri!$B$10,AD45&lt;Parametri!$B$10),ROW(),0))</f>
        <v>0</v>
      </c>
    </row>
    <row r="45" spans="1:34" x14ac:dyDescent="0.25">
      <c r="A45" s="41"/>
      <c r="B45" s="41"/>
      <c r="C45" s="13" t="str">
        <f t="shared" si="15"/>
        <v/>
      </c>
      <c r="D45" s="23" t="str">
        <f t="shared" si="16"/>
        <v/>
      </c>
      <c r="E45" s="34" t="str">
        <f t="shared" si="17"/>
        <v/>
      </c>
      <c r="F45" s="18">
        <f>IF(OR(A45="",A46=""),0,IF(AND(A45&gt;=Parametri!$B$11,B45&gt;=Parametri!$B$10,B46&lt;Parametri!$B$10),ROW(),0))</f>
        <v>0</v>
      </c>
      <c r="H45" s="41"/>
      <c r="I45" s="41"/>
      <c r="J45" s="13" t="str">
        <f t="shared" si="18"/>
        <v/>
      </c>
      <c r="K45" s="23" t="str">
        <f t="shared" si="19"/>
        <v/>
      </c>
      <c r="L45" s="34" t="str">
        <f t="shared" si="20"/>
        <v/>
      </c>
      <c r="M45" s="18">
        <f>IF(OR(H45="",H46=""),0,IF(AND(H45&gt;=Parametri!$B$11,I45&gt;=Parametri!$B$10,I46&lt;Parametri!$B$10),ROW(),0))</f>
        <v>0</v>
      </c>
      <c r="O45" s="41"/>
      <c r="P45" s="41"/>
      <c r="Q45" s="13" t="str">
        <f t="shared" si="21"/>
        <v/>
      </c>
      <c r="R45" s="23" t="str">
        <f t="shared" si="22"/>
        <v/>
      </c>
      <c r="S45" s="34" t="str">
        <f t="shared" si="23"/>
        <v/>
      </c>
      <c r="T45" s="18">
        <f>IF(OR(O45="",O46=""),0,IF(AND(O45&gt;=Parametri!$B$11,P45&gt;=Parametri!$B$10,P46&lt;Parametri!$B$10),ROW(),0))</f>
        <v>0</v>
      </c>
      <c r="V45" s="41"/>
      <c r="W45" s="41"/>
      <c r="X45" s="13" t="str">
        <f t="shared" si="24"/>
        <v/>
      </c>
      <c r="Y45" s="23" t="str">
        <f t="shared" si="25"/>
        <v/>
      </c>
      <c r="Z45" s="34" t="str">
        <f t="shared" si="26"/>
        <v/>
      </c>
      <c r="AA45" s="18">
        <f>IF(OR(V45="",V46=""),0,IF(AND(V45&gt;=Parametri!$B$11,W45&gt;=Parametri!$B$10,W46&lt;Parametri!$B$10),ROW(),0))</f>
        <v>0</v>
      </c>
      <c r="AC45" s="41"/>
      <c r="AD45" s="41"/>
      <c r="AE45" s="13" t="str">
        <f t="shared" si="27"/>
        <v/>
      </c>
      <c r="AF45" s="23" t="str">
        <f t="shared" si="28"/>
        <v/>
      </c>
      <c r="AG45" s="34" t="str">
        <f t="shared" si="29"/>
        <v/>
      </c>
      <c r="AH45" s="18">
        <f>IF(OR(AC45="",AC46=""),0,IF(AND(AC45&gt;=Parametri!$B$11,AD45&gt;=Parametri!$B$10,AD46&lt;Parametri!$B$10),ROW(),0))</f>
        <v>0</v>
      </c>
    </row>
    <row r="46" spans="1:34" x14ac:dyDescent="0.25">
      <c r="A46" s="41"/>
      <c r="B46" s="41"/>
      <c r="C46" s="13" t="str">
        <f t="shared" si="15"/>
        <v/>
      </c>
      <c r="D46" s="23" t="str">
        <f t="shared" si="16"/>
        <v/>
      </c>
      <c r="E46" s="34" t="str">
        <f t="shared" si="17"/>
        <v/>
      </c>
      <c r="F46" s="18">
        <f>IF(OR(A46="",A47=""),0,IF(AND(A46&gt;=Parametri!$B$11,B46&gt;=Parametri!$B$10,B47&lt;Parametri!$B$10),ROW(),0))</f>
        <v>0</v>
      </c>
      <c r="H46" s="41"/>
      <c r="I46" s="41"/>
      <c r="J46" s="13" t="str">
        <f t="shared" si="18"/>
        <v/>
      </c>
      <c r="K46" s="23" t="str">
        <f t="shared" si="19"/>
        <v/>
      </c>
      <c r="L46" s="34" t="str">
        <f t="shared" si="20"/>
        <v/>
      </c>
      <c r="M46" s="18">
        <f>IF(OR(H46="",H47=""),0,IF(AND(H46&gt;=Parametri!$B$11,I46&gt;=Parametri!$B$10,I47&lt;Parametri!$B$10),ROW(),0))</f>
        <v>0</v>
      </c>
      <c r="O46" s="41"/>
      <c r="P46" s="41"/>
      <c r="Q46" s="13" t="str">
        <f t="shared" si="21"/>
        <v/>
      </c>
      <c r="R46" s="23" t="str">
        <f t="shared" si="22"/>
        <v/>
      </c>
      <c r="S46" s="34" t="str">
        <f t="shared" si="23"/>
        <v/>
      </c>
      <c r="T46" s="18">
        <f>IF(OR(O46="",O47=""),0,IF(AND(O46&gt;=Parametri!$B$11,P46&gt;=Parametri!$B$10,P47&lt;Parametri!$B$10),ROW(),0))</f>
        <v>0</v>
      </c>
      <c r="V46" s="41"/>
      <c r="W46" s="41"/>
      <c r="X46" s="13" t="str">
        <f t="shared" si="24"/>
        <v/>
      </c>
      <c r="Y46" s="23" t="str">
        <f t="shared" si="25"/>
        <v/>
      </c>
      <c r="Z46" s="34" t="str">
        <f t="shared" si="26"/>
        <v/>
      </c>
      <c r="AA46" s="18">
        <f>IF(OR(V46="",V47=""),0,IF(AND(V46&gt;=Parametri!$B$11,W46&gt;=Parametri!$B$10,W47&lt;Parametri!$B$10),ROW(),0))</f>
        <v>0</v>
      </c>
      <c r="AC46" s="41"/>
      <c r="AD46" s="41"/>
      <c r="AE46" s="13" t="str">
        <f t="shared" si="27"/>
        <v/>
      </c>
      <c r="AF46" s="23" t="str">
        <f t="shared" si="28"/>
        <v/>
      </c>
      <c r="AG46" s="34" t="str">
        <f t="shared" si="29"/>
        <v/>
      </c>
      <c r="AH46" s="18">
        <f>IF(OR(AC46="",AC47=""),0,IF(AND(AC46&gt;=Parametri!$B$11,AD46&gt;=Parametri!$B$10,AD47&lt;Parametri!$B$10),ROW(),0))</f>
        <v>0</v>
      </c>
    </row>
    <row r="47" spans="1:34" x14ac:dyDescent="0.25">
      <c r="A47" s="41"/>
      <c r="B47" s="41"/>
      <c r="C47" s="13" t="str">
        <f t="shared" si="15"/>
        <v/>
      </c>
      <c r="D47" s="23" t="str">
        <f t="shared" si="16"/>
        <v/>
      </c>
      <c r="E47" s="34" t="str">
        <f t="shared" si="17"/>
        <v/>
      </c>
      <c r="F47" s="18">
        <f>IF(OR(A47="",A48=""),0,IF(AND(A47&gt;=Parametri!$B$11,B47&gt;=Parametri!$B$10,B48&lt;Parametri!$B$10),ROW(),0))</f>
        <v>0</v>
      </c>
      <c r="H47" s="41"/>
      <c r="I47" s="41"/>
      <c r="J47" s="13" t="str">
        <f t="shared" si="18"/>
        <v/>
      </c>
      <c r="K47" s="23" t="str">
        <f t="shared" si="19"/>
        <v/>
      </c>
      <c r="L47" s="34" t="str">
        <f t="shared" si="20"/>
        <v/>
      </c>
      <c r="M47" s="18">
        <f>IF(OR(H47="",H48=""),0,IF(AND(H47&gt;=Parametri!$B$11,I47&gt;=Parametri!$B$10,I48&lt;Parametri!$B$10),ROW(),0))</f>
        <v>0</v>
      </c>
      <c r="O47" s="41"/>
      <c r="P47" s="41"/>
      <c r="Q47" s="13" t="str">
        <f t="shared" si="21"/>
        <v/>
      </c>
      <c r="R47" s="23" t="str">
        <f t="shared" si="22"/>
        <v/>
      </c>
      <c r="S47" s="34" t="str">
        <f t="shared" si="23"/>
        <v/>
      </c>
      <c r="T47" s="18">
        <f>IF(OR(O47="",O48=""),0,IF(AND(O47&gt;=Parametri!$B$11,P47&gt;=Parametri!$B$10,P48&lt;Parametri!$B$10),ROW(),0))</f>
        <v>0</v>
      </c>
      <c r="V47" s="41"/>
      <c r="W47" s="41"/>
      <c r="X47" s="13" t="str">
        <f t="shared" si="24"/>
        <v/>
      </c>
      <c r="Y47" s="23" t="str">
        <f t="shared" si="25"/>
        <v/>
      </c>
      <c r="Z47" s="34" t="str">
        <f t="shared" si="26"/>
        <v/>
      </c>
      <c r="AA47" s="18">
        <f>IF(OR(V47="",V48=""),0,IF(AND(V47&gt;=Parametri!$B$11,W47&gt;=Parametri!$B$10,W48&lt;Parametri!$B$10),ROW(),0))</f>
        <v>0</v>
      </c>
      <c r="AC47" s="41"/>
      <c r="AD47" s="41"/>
      <c r="AE47" s="13" t="str">
        <f t="shared" si="27"/>
        <v/>
      </c>
      <c r="AF47" s="23" t="str">
        <f t="shared" si="28"/>
        <v/>
      </c>
      <c r="AG47" s="34" t="str">
        <f t="shared" si="29"/>
        <v/>
      </c>
      <c r="AH47" s="18">
        <f>IF(OR(AC47="",AC48=""),0,IF(AND(AC47&gt;=Parametri!$B$11,AD47&gt;=Parametri!$B$10,AD48&lt;Parametri!$B$10),ROW(),0))</f>
        <v>0</v>
      </c>
    </row>
    <row r="48" spans="1:34" x14ac:dyDescent="0.25">
      <c r="A48" s="41"/>
      <c r="B48" s="41"/>
      <c r="C48" s="13" t="str">
        <f t="shared" si="15"/>
        <v/>
      </c>
      <c r="D48" s="23" t="str">
        <f t="shared" si="16"/>
        <v/>
      </c>
      <c r="E48" s="34" t="str">
        <f t="shared" si="17"/>
        <v/>
      </c>
      <c r="F48" s="18">
        <f>IF(OR(A48="",A49=""),0,IF(AND(A48&gt;=Parametri!$B$11,B48&gt;=Parametri!$B$10,B49&lt;Parametri!$B$10),ROW(),0))</f>
        <v>0</v>
      </c>
      <c r="H48" s="41"/>
      <c r="I48" s="41"/>
      <c r="J48" s="13" t="str">
        <f t="shared" si="18"/>
        <v/>
      </c>
      <c r="K48" s="23" t="str">
        <f t="shared" si="19"/>
        <v/>
      </c>
      <c r="L48" s="34" t="str">
        <f t="shared" si="20"/>
        <v/>
      </c>
      <c r="M48" s="18">
        <f>IF(OR(H48="",H49=""),0,IF(AND(H48&gt;=Parametri!$B$11,I48&gt;=Parametri!$B$10,I49&lt;Parametri!$B$10),ROW(),0))</f>
        <v>0</v>
      </c>
      <c r="O48" s="41"/>
      <c r="P48" s="41"/>
      <c r="Q48" s="13" t="str">
        <f t="shared" si="21"/>
        <v/>
      </c>
      <c r="R48" s="23" t="str">
        <f t="shared" si="22"/>
        <v/>
      </c>
      <c r="S48" s="34" t="str">
        <f t="shared" si="23"/>
        <v/>
      </c>
      <c r="T48" s="18">
        <f>IF(OR(O48="",O49=""),0,IF(AND(O48&gt;=Parametri!$B$11,P48&gt;=Parametri!$B$10,P49&lt;Parametri!$B$10),ROW(),0))</f>
        <v>0</v>
      </c>
      <c r="V48" s="41"/>
      <c r="W48" s="41"/>
      <c r="X48" s="13" t="str">
        <f t="shared" si="24"/>
        <v/>
      </c>
      <c r="Y48" s="23" t="str">
        <f t="shared" si="25"/>
        <v/>
      </c>
      <c r="Z48" s="34" t="str">
        <f t="shared" si="26"/>
        <v/>
      </c>
      <c r="AA48" s="18">
        <f>IF(OR(V48="",V49=""),0,IF(AND(V48&gt;=Parametri!$B$11,W48&gt;=Parametri!$B$10,W49&lt;Parametri!$B$10),ROW(),0))</f>
        <v>0</v>
      </c>
      <c r="AC48" s="41"/>
      <c r="AD48" s="41"/>
      <c r="AE48" s="13" t="str">
        <f t="shared" si="27"/>
        <v/>
      </c>
      <c r="AF48" s="23" t="str">
        <f t="shared" si="28"/>
        <v/>
      </c>
      <c r="AG48" s="34" t="str">
        <f t="shared" si="29"/>
        <v/>
      </c>
      <c r="AH48" s="18">
        <f>IF(OR(AC48="",AC49=""),0,IF(AND(AC48&gt;=Parametri!$B$11,AD48&gt;=Parametri!$B$10,AD49&lt;Parametri!$B$10),ROW(),0))</f>
        <v>0</v>
      </c>
    </row>
    <row r="49" spans="1:34" x14ac:dyDescent="0.25">
      <c r="A49" s="41"/>
      <c r="B49" s="41"/>
      <c r="C49" s="13" t="str">
        <f t="shared" si="15"/>
        <v/>
      </c>
      <c r="D49" s="23" t="str">
        <f t="shared" si="16"/>
        <v/>
      </c>
      <c r="E49" s="34" t="str">
        <f t="shared" si="17"/>
        <v/>
      </c>
      <c r="F49" s="18">
        <f>IF(OR(A49="",A50=""),0,IF(AND(A49&gt;=Parametri!$B$11,B49&gt;=Parametri!$B$10,B50&lt;Parametri!$B$10),ROW(),0))</f>
        <v>0</v>
      </c>
      <c r="H49" s="41"/>
      <c r="I49" s="41"/>
      <c r="J49" s="13" t="str">
        <f t="shared" si="18"/>
        <v/>
      </c>
      <c r="K49" s="23" t="str">
        <f t="shared" si="19"/>
        <v/>
      </c>
      <c r="L49" s="34" t="str">
        <f t="shared" si="20"/>
        <v/>
      </c>
      <c r="M49" s="18">
        <f>IF(OR(H49="",H50=""),0,IF(AND(H49&gt;=Parametri!$B$11,I49&gt;=Parametri!$B$10,I50&lt;Parametri!$B$10),ROW(),0))</f>
        <v>0</v>
      </c>
      <c r="O49" s="41"/>
      <c r="P49" s="41"/>
      <c r="Q49" s="13" t="str">
        <f t="shared" si="21"/>
        <v/>
      </c>
      <c r="R49" s="23" t="str">
        <f t="shared" si="22"/>
        <v/>
      </c>
      <c r="S49" s="34" t="str">
        <f t="shared" si="23"/>
        <v/>
      </c>
      <c r="T49" s="18">
        <f>IF(OR(O49="",O50=""),0,IF(AND(O49&gt;=Parametri!$B$11,P49&gt;=Parametri!$B$10,P50&lt;Parametri!$B$10),ROW(),0))</f>
        <v>0</v>
      </c>
      <c r="V49" s="41"/>
      <c r="W49" s="41"/>
      <c r="X49" s="13" t="str">
        <f t="shared" si="24"/>
        <v/>
      </c>
      <c r="Y49" s="23" t="str">
        <f t="shared" si="25"/>
        <v/>
      </c>
      <c r="Z49" s="34" t="str">
        <f t="shared" si="26"/>
        <v/>
      </c>
      <c r="AA49" s="18">
        <f>IF(OR(V49="",V50=""),0,IF(AND(V49&gt;=Parametri!$B$11,W49&gt;=Parametri!$B$10,W50&lt;Parametri!$B$10),ROW(),0))</f>
        <v>0</v>
      </c>
      <c r="AC49" s="41"/>
      <c r="AD49" s="41"/>
      <c r="AE49" s="13" t="str">
        <f t="shared" si="27"/>
        <v/>
      </c>
      <c r="AF49" s="23" t="str">
        <f t="shared" si="28"/>
        <v/>
      </c>
      <c r="AG49" s="34" t="str">
        <f t="shared" si="29"/>
        <v/>
      </c>
      <c r="AH49" s="18">
        <f>IF(OR(AC49="",AC50=""),0,IF(AND(AC49&gt;=Parametri!$B$11,AD49&gt;=Parametri!$B$10,AD50&lt;Parametri!$B$10),ROW(),0))</f>
        <v>0</v>
      </c>
    </row>
    <row r="50" spans="1:34" x14ac:dyDescent="0.25">
      <c r="A50" s="41"/>
      <c r="B50" s="41"/>
      <c r="C50" s="13" t="str">
        <f t="shared" si="15"/>
        <v/>
      </c>
      <c r="D50" s="23" t="str">
        <f t="shared" si="16"/>
        <v/>
      </c>
      <c r="E50" s="34" t="str">
        <f t="shared" si="17"/>
        <v/>
      </c>
      <c r="F50" s="18">
        <f>IF(OR(A50="",A51=""),0,IF(AND(A50&gt;=Parametri!$B$11,B50&gt;=Parametri!$B$10,B51&lt;Parametri!$B$10),ROW(),0))</f>
        <v>0</v>
      </c>
      <c r="H50" s="41"/>
      <c r="I50" s="41"/>
      <c r="J50" s="13" t="str">
        <f t="shared" si="18"/>
        <v/>
      </c>
      <c r="K50" s="23" t="str">
        <f t="shared" si="19"/>
        <v/>
      </c>
      <c r="L50" s="34" t="str">
        <f t="shared" si="20"/>
        <v/>
      </c>
      <c r="M50" s="18">
        <f>IF(OR(H50="",H51=""),0,IF(AND(H50&gt;=Parametri!$B$11,I50&gt;=Parametri!$B$10,I51&lt;Parametri!$B$10),ROW(),0))</f>
        <v>0</v>
      </c>
      <c r="O50" s="41"/>
      <c r="P50" s="41"/>
      <c r="Q50" s="13" t="str">
        <f t="shared" si="21"/>
        <v/>
      </c>
      <c r="R50" s="23" t="str">
        <f t="shared" si="22"/>
        <v/>
      </c>
      <c r="S50" s="34" t="str">
        <f t="shared" si="23"/>
        <v/>
      </c>
      <c r="T50" s="18">
        <f>IF(OR(O50="",O51=""),0,IF(AND(O50&gt;=Parametri!$B$11,P50&gt;=Parametri!$B$10,P51&lt;Parametri!$B$10),ROW(),0))</f>
        <v>0</v>
      </c>
      <c r="V50" s="41"/>
      <c r="W50" s="41"/>
      <c r="X50" s="13" t="str">
        <f t="shared" si="24"/>
        <v/>
      </c>
      <c r="Y50" s="23" t="str">
        <f t="shared" si="25"/>
        <v/>
      </c>
      <c r="Z50" s="34" t="str">
        <f t="shared" si="26"/>
        <v/>
      </c>
      <c r="AA50" s="18">
        <f>IF(OR(V50="",V51=""),0,IF(AND(V50&gt;=Parametri!$B$11,W50&gt;=Parametri!$B$10,W51&lt;Parametri!$B$10),ROW(),0))</f>
        <v>0</v>
      </c>
      <c r="AC50" s="41"/>
      <c r="AD50" s="41"/>
      <c r="AE50" s="13" t="str">
        <f t="shared" si="27"/>
        <v/>
      </c>
      <c r="AF50" s="23" t="str">
        <f t="shared" si="28"/>
        <v/>
      </c>
      <c r="AG50" s="34" t="str">
        <f t="shared" si="29"/>
        <v/>
      </c>
      <c r="AH50" s="18">
        <f>IF(OR(AC50="",AC51=""),0,IF(AND(AC50&gt;=Parametri!$B$11,AD50&gt;=Parametri!$B$10,AD51&lt;Parametri!$B$10),ROW(),0))</f>
        <v>0</v>
      </c>
    </row>
    <row r="51" spans="1:34" x14ac:dyDescent="0.25">
      <c r="A51" s="41"/>
      <c r="B51" s="41"/>
      <c r="C51" s="13" t="str">
        <f t="shared" si="15"/>
        <v/>
      </c>
      <c r="D51" s="23" t="str">
        <f t="shared" si="16"/>
        <v/>
      </c>
      <c r="E51" s="34" t="str">
        <f t="shared" si="17"/>
        <v/>
      </c>
      <c r="F51" s="18">
        <f>IF(OR(A51="",A52=""),0,IF(AND(A51&gt;=Parametri!$B$11,B51&gt;=Parametri!$B$10,B52&lt;Parametri!$B$10),ROW(),0))</f>
        <v>0</v>
      </c>
      <c r="H51" s="41"/>
      <c r="I51" s="41"/>
      <c r="J51" s="13" t="str">
        <f t="shared" si="18"/>
        <v/>
      </c>
      <c r="K51" s="23" t="str">
        <f t="shared" si="19"/>
        <v/>
      </c>
      <c r="L51" s="34" t="str">
        <f t="shared" si="20"/>
        <v/>
      </c>
      <c r="M51" s="18">
        <f>IF(OR(H51="",H52=""),0,IF(AND(H51&gt;=Parametri!$B$11,I51&gt;=Parametri!$B$10,I52&lt;Parametri!$B$10),ROW(),0))</f>
        <v>0</v>
      </c>
      <c r="O51" s="41"/>
      <c r="P51" s="41"/>
      <c r="Q51" s="13" t="str">
        <f t="shared" si="21"/>
        <v/>
      </c>
      <c r="R51" s="23" t="str">
        <f t="shared" si="22"/>
        <v/>
      </c>
      <c r="S51" s="34" t="str">
        <f t="shared" si="23"/>
        <v/>
      </c>
      <c r="T51" s="18">
        <f>IF(OR(O51="",O52=""),0,IF(AND(O51&gt;=Parametri!$B$11,P51&gt;=Parametri!$B$10,P52&lt;Parametri!$B$10),ROW(),0))</f>
        <v>0</v>
      </c>
      <c r="V51" s="41"/>
      <c r="W51" s="41"/>
      <c r="X51" s="13" t="str">
        <f t="shared" si="24"/>
        <v/>
      </c>
      <c r="Y51" s="23" t="str">
        <f t="shared" si="25"/>
        <v/>
      </c>
      <c r="Z51" s="34" t="str">
        <f t="shared" si="26"/>
        <v/>
      </c>
      <c r="AA51" s="18">
        <f>IF(OR(V51="",V52=""),0,IF(AND(V51&gt;=Parametri!$B$11,W51&gt;=Parametri!$B$10,W52&lt;Parametri!$B$10),ROW(),0))</f>
        <v>0</v>
      </c>
      <c r="AC51" s="41"/>
      <c r="AD51" s="41"/>
      <c r="AE51" s="13" t="str">
        <f t="shared" si="27"/>
        <v/>
      </c>
      <c r="AF51" s="23" t="str">
        <f t="shared" si="28"/>
        <v/>
      </c>
      <c r="AG51" s="34" t="str">
        <f t="shared" si="29"/>
        <v/>
      </c>
      <c r="AH51" s="18">
        <f>IF(OR(AC51="",AC52=""),0,IF(AND(AC51&gt;=Parametri!$B$11,AD51&gt;=Parametri!$B$10,AD52&lt;Parametri!$B$10),ROW(),0))</f>
        <v>0</v>
      </c>
    </row>
    <row r="52" spans="1:34" x14ac:dyDescent="0.25">
      <c r="A52" s="41"/>
      <c r="B52" s="41"/>
      <c r="C52" s="13" t="str">
        <f t="shared" si="15"/>
        <v/>
      </c>
      <c r="D52" s="23" t="str">
        <f t="shared" si="16"/>
        <v/>
      </c>
      <c r="E52" s="34" t="str">
        <f t="shared" si="17"/>
        <v/>
      </c>
      <c r="F52" s="18">
        <f>IF(OR(A52="",A53=""),0,IF(AND(A52&gt;=Parametri!$B$11,B52&gt;=Parametri!$B$10,B53&lt;Parametri!$B$10),ROW(),0))</f>
        <v>0</v>
      </c>
      <c r="H52" s="41"/>
      <c r="I52" s="41"/>
      <c r="J52" s="13" t="str">
        <f t="shared" si="18"/>
        <v/>
      </c>
      <c r="K52" s="23" t="str">
        <f t="shared" si="19"/>
        <v/>
      </c>
      <c r="L52" s="34" t="str">
        <f t="shared" si="20"/>
        <v/>
      </c>
      <c r="M52" s="18">
        <f>IF(OR(H52="",H53=""),0,IF(AND(H52&gt;=Parametri!$B$11,I52&gt;=Parametri!$B$10,I53&lt;Parametri!$B$10),ROW(),0))</f>
        <v>0</v>
      </c>
      <c r="O52" s="41"/>
      <c r="P52" s="41"/>
      <c r="Q52" s="13" t="str">
        <f t="shared" si="21"/>
        <v/>
      </c>
      <c r="R52" s="23" t="str">
        <f t="shared" si="22"/>
        <v/>
      </c>
      <c r="S52" s="34" t="str">
        <f t="shared" si="23"/>
        <v/>
      </c>
      <c r="T52" s="18">
        <f>IF(OR(O52="",O53=""),0,IF(AND(O52&gt;=Parametri!$B$11,P52&gt;=Parametri!$B$10,P53&lt;Parametri!$B$10),ROW(),0))</f>
        <v>0</v>
      </c>
      <c r="V52" s="41"/>
      <c r="W52" s="41"/>
      <c r="X52" s="13" t="str">
        <f t="shared" si="24"/>
        <v/>
      </c>
      <c r="Y52" s="23" t="str">
        <f t="shared" si="25"/>
        <v/>
      </c>
      <c r="Z52" s="34" t="str">
        <f t="shared" si="26"/>
        <v/>
      </c>
      <c r="AA52" s="18">
        <f>IF(OR(V52="",V53=""),0,IF(AND(V52&gt;=Parametri!$B$11,W52&gt;=Parametri!$B$10,W53&lt;Parametri!$B$10),ROW(),0))</f>
        <v>0</v>
      </c>
      <c r="AC52" s="41"/>
      <c r="AD52" s="41"/>
      <c r="AE52" s="13" t="str">
        <f t="shared" si="27"/>
        <v/>
      </c>
      <c r="AF52" s="23" t="str">
        <f t="shared" si="28"/>
        <v/>
      </c>
      <c r="AG52" s="34" t="str">
        <f t="shared" si="29"/>
        <v/>
      </c>
      <c r="AH52" s="18">
        <f>IF(OR(AC52="",AC53=""),0,IF(AND(AC52&gt;=Parametri!$B$11,AD52&gt;=Parametri!$B$10,AD53&lt;Parametri!$B$10),ROW(),0))</f>
        <v>0</v>
      </c>
    </row>
    <row r="53" spans="1:34" x14ac:dyDescent="0.25">
      <c r="A53" s="41"/>
      <c r="B53" s="41"/>
      <c r="C53" s="13" t="str">
        <f t="shared" si="15"/>
        <v/>
      </c>
      <c r="D53" s="23" t="str">
        <f t="shared" si="16"/>
        <v/>
      </c>
      <c r="E53" s="34" t="str">
        <f t="shared" si="17"/>
        <v/>
      </c>
      <c r="F53" s="18">
        <f>IF(OR(A53="",A54=""),0,IF(AND(A53&gt;=Parametri!$B$11,B53&gt;=Parametri!$B$10,B54&lt;Parametri!$B$10),ROW(),0))</f>
        <v>0</v>
      </c>
      <c r="H53" s="41"/>
      <c r="I53" s="41"/>
      <c r="J53" s="13" t="str">
        <f t="shared" si="18"/>
        <v/>
      </c>
      <c r="K53" s="23" t="str">
        <f t="shared" si="19"/>
        <v/>
      </c>
      <c r="L53" s="34" t="str">
        <f t="shared" si="20"/>
        <v/>
      </c>
      <c r="M53" s="18">
        <f>IF(OR(H53="",H54=""),0,IF(AND(H53&gt;=Parametri!$B$11,I53&gt;=Parametri!$B$10,I54&lt;Parametri!$B$10),ROW(),0))</f>
        <v>0</v>
      </c>
      <c r="O53" s="41"/>
      <c r="P53" s="41"/>
      <c r="Q53" s="13" t="str">
        <f t="shared" si="21"/>
        <v/>
      </c>
      <c r="R53" s="23" t="str">
        <f t="shared" si="22"/>
        <v/>
      </c>
      <c r="S53" s="34" t="str">
        <f t="shared" si="23"/>
        <v/>
      </c>
      <c r="T53" s="18">
        <f>IF(OR(O53="",O54=""),0,IF(AND(O53&gt;=Parametri!$B$11,P53&gt;=Parametri!$B$10,P54&lt;Parametri!$B$10),ROW(),0))</f>
        <v>0</v>
      </c>
      <c r="V53" s="41"/>
      <c r="W53" s="41"/>
      <c r="X53" s="13" t="str">
        <f t="shared" si="24"/>
        <v/>
      </c>
      <c r="Y53" s="23" t="str">
        <f t="shared" si="25"/>
        <v/>
      </c>
      <c r="Z53" s="34" t="str">
        <f t="shared" si="26"/>
        <v/>
      </c>
      <c r="AA53" s="18">
        <f>IF(OR(V53="",V54=""),0,IF(AND(V53&gt;=Parametri!$B$11,W53&gt;=Parametri!$B$10,W54&lt;Parametri!$B$10),ROW(),0))</f>
        <v>0</v>
      </c>
      <c r="AC53" s="41"/>
      <c r="AD53" s="41"/>
      <c r="AE53" s="13" t="str">
        <f t="shared" si="27"/>
        <v/>
      </c>
      <c r="AF53" s="23" t="str">
        <f t="shared" si="28"/>
        <v/>
      </c>
      <c r="AG53" s="34" t="str">
        <f t="shared" si="29"/>
        <v/>
      </c>
      <c r="AH53" s="18">
        <f>IF(OR(AC53="",AC54=""),0,IF(AND(AC53&gt;=Parametri!$B$11,AD53&gt;=Parametri!$B$10,AD54&lt;Parametri!$B$10),ROW(),0))</f>
        <v>0</v>
      </c>
    </row>
    <row r="54" spans="1:34" x14ac:dyDescent="0.25">
      <c r="A54" s="41"/>
      <c r="B54" s="41"/>
      <c r="C54" s="13" t="str">
        <f t="shared" si="15"/>
        <v/>
      </c>
      <c r="D54" s="23" t="str">
        <f t="shared" si="16"/>
        <v/>
      </c>
      <c r="E54" s="34" t="str">
        <f t="shared" si="17"/>
        <v/>
      </c>
      <c r="F54" s="18">
        <f>IF(OR(A54="",A55=""),0,IF(AND(A54&gt;=Parametri!$B$11,B54&gt;=Parametri!$B$10,B55&lt;Parametri!$B$10),ROW(),0))</f>
        <v>0</v>
      </c>
      <c r="H54" s="41"/>
      <c r="I54" s="41"/>
      <c r="J54" s="13" t="str">
        <f t="shared" si="18"/>
        <v/>
      </c>
      <c r="K54" s="23" t="str">
        <f t="shared" si="19"/>
        <v/>
      </c>
      <c r="L54" s="34" t="str">
        <f t="shared" si="20"/>
        <v/>
      </c>
      <c r="M54" s="18">
        <f>IF(OR(H54="",H55=""),0,IF(AND(H54&gt;=Parametri!$B$11,I54&gt;=Parametri!$B$10,I55&lt;Parametri!$B$10),ROW(),0))</f>
        <v>0</v>
      </c>
      <c r="O54" s="41"/>
      <c r="P54" s="41"/>
      <c r="Q54" s="13" t="str">
        <f t="shared" si="21"/>
        <v/>
      </c>
      <c r="R54" s="23" t="str">
        <f t="shared" si="22"/>
        <v/>
      </c>
      <c r="S54" s="34" t="str">
        <f t="shared" si="23"/>
        <v/>
      </c>
      <c r="T54" s="18">
        <f>IF(OR(O54="",O55=""),0,IF(AND(O54&gt;=Parametri!$B$11,P54&gt;=Parametri!$B$10,P55&lt;Parametri!$B$10),ROW(),0))</f>
        <v>0</v>
      </c>
      <c r="V54" s="41"/>
      <c r="W54" s="41"/>
      <c r="X54" s="13" t="str">
        <f t="shared" si="24"/>
        <v/>
      </c>
      <c r="Y54" s="23" t="str">
        <f t="shared" si="25"/>
        <v/>
      </c>
      <c r="Z54" s="34" t="str">
        <f t="shared" si="26"/>
        <v/>
      </c>
      <c r="AA54" s="18">
        <f>IF(OR(V54="",V55=""),0,IF(AND(V54&gt;=Parametri!$B$11,W54&gt;=Parametri!$B$10,W55&lt;Parametri!$B$10),ROW(),0))</f>
        <v>0</v>
      </c>
      <c r="AC54" s="41"/>
      <c r="AD54" s="41"/>
      <c r="AE54" s="13" t="str">
        <f t="shared" si="27"/>
        <v/>
      </c>
      <c r="AF54" s="23" t="str">
        <f t="shared" si="28"/>
        <v/>
      </c>
      <c r="AG54" s="34" t="str">
        <f t="shared" si="29"/>
        <v/>
      </c>
      <c r="AH54" s="18">
        <f>IF(OR(AC54="",AC55=""),0,IF(AND(AC54&gt;=Parametri!$B$11,AD54&gt;=Parametri!$B$10,AD55&lt;Parametri!$B$10),ROW(),0))</f>
        <v>0</v>
      </c>
    </row>
    <row r="55" spans="1:34" x14ac:dyDescent="0.25">
      <c r="A55" s="41"/>
      <c r="B55" s="41"/>
      <c r="C55" s="13" t="str">
        <f t="shared" si="15"/>
        <v/>
      </c>
      <c r="D55" s="23" t="str">
        <f t="shared" si="16"/>
        <v/>
      </c>
      <c r="E55" s="34" t="str">
        <f t="shared" si="17"/>
        <v/>
      </c>
      <c r="F55" s="18">
        <f>IF(OR(A55="",A56=""),0,IF(AND(A55&gt;=Parametri!$B$11,B55&gt;=Parametri!$B$10,B56&lt;Parametri!$B$10),ROW(),0))</f>
        <v>0</v>
      </c>
      <c r="H55" s="41"/>
      <c r="I55" s="41"/>
      <c r="J55" s="13" t="str">
        <f t="shared" si="18"/>
        <v/>
      </c>
      <c r="K55" s="23" t="str">
        <f t="shared" si="19"/>
        <v/>
      </c>
      <c r="L55" s="34" t="str">
        <f t="shared" si="20"/>
        <v/>
      </c>
      <c r="M55" s="18">
        <f>IF(OR(H55="",H56=""),0,IF(AND(H55&gt;=Parametri!$B$11,I55&gt;=Parametri!$B$10,I56&lt;Parametri!$B$10),ROW(),0))</f>
        <v>0</v>
      </c>
      <c r="O55" s="41"/>
      <c r="P55" s="41"/>
      <c r="Q55" s="13" t="str">
        <f t="shared" si="21"/>
        <v/>
      </c>
      <c r="R55" s="23" t="str">
        <f t="shared" si="22"/>
        <v/>
      </c>
      <c r="S55" s="34" t="str">
        <f t="shared" si="23"/>
        <v/>
      </c>
      <c r="T55" s="18">
        <f>IF(OR(O55="",O56=""),0,IF(AND(O55&gt;=Parametri!$B$11,P55&gt;=Parametri!$B$10,P56&lt;Parametri!$B$10),ROW(),0))</f>
        <v>0</v>
      </c>
      <c r="V55" s="41"/>
      <c r="W55" s="41"/>
      <c r="X55" s="13" t="str">
        <f t="shared" si="24"/>
        <v/>
      </c>
      <c r="Y55" s="23" t="str">
        <f t="shared" si="25"/>
        <v/>
      </c>
      <c r="Z55" s="34" t="str">
        <f t="shared" si="26"/>
        <v/>
      </c>
      <c r="AA55" s="18">
        <f>IF(OR(V55="",V56=""),0,IF(AND(V55&gt;=Parametri!$B$11,W55&gt;=Parametri!$B$10,W56&lt;Parametri!$B$10),ROW(),0))</f>
        <v>0</v>
      </c>
      <c r="AC55" s="41"/>
      <c r="AD55" s="41"/>
      <c r="AE55" s="13" t="str">
        <f t="shared" si="27"/>
        <v/>
      </c>
      <c r="AF55" s="23" t="str">
        <f t="shared" si="28"/>
        <v/>
      </c>
      <c r="AG55" s="34" t="str">
        <f t="shared" si="29"/>
        <v/>
      </c>
      <c r="AH55" s="18">
        <f>IF(OR(AC55="",AC56=""),0,IF(AND(AC55&gt;=Parametri!$B$11,AD55&gt;=Parametri!$B$10,AD56&lt;Parametri!$B$10),ROW(),0))</f>
        <v>0</v>
      </c>
    </row>
    <row r="56" spans="1:34" x14ac:dyDescent="0.25">
      <c r="A56" s="41"/>
      <c r="B56" s="41"/>
      <c r="C56" s="13" t="str">
        <f t="shared" si="15"/>
        <v/>
      </c>
      <c r="D56" s="23" t="str">
        <f t="shared" si="16"/>
        <v/>
      </c>
      <c r="E56" s="34" t="str">
        <f t="shared" si="17"/>
        <v/>
      </c>
      <c r="F56" s="18">
        <f>IF(OR(A56="",A57=""),0,IF(AND(A56&gt;=Parametri!$B$11,B56&gt;=Parametri!$B$10,B57&lt;Parametri!$B$10),ROW(),0))</f>
        <v>0</v>
      </c>
      <c r="H56" s="41"/>
      <c r="I56" s="41"/>
      <c r="J56" s="13" t="str">
        <f t="shared" si="18"/>
        <v/>
      </c>
      <c r="K56" s="23" t="str">
        <f t="shared" si="19"/>
        <v/>
      </c>
      <c r="L56" s="34" t="str">
        <f t="shared" si="20"/>
        <v/>
      </c>
      <c r="M56" s="18">
        <f>IF(OR(H56="",H57=""),0,IF(AND(H56&gt;=Parametri!$B$11,I56&gt;=Parametri!$B$10,I57&lt;Parametri!$B$10),ROW(),0))</f>
        <v>0</v>
      </c>
      <c r="O56" s="41"/>
      <c r="P56" s="41"/>
      <c r="Q56" s="13" t="str">
        <f t="shared" si="21"/>
        <v/>
      </c>
      <c r="R56" s="23" t="str">
        <f t="shared" si="22"/>
        <v/>
      </c>
      <c r="S56" s="34" t="str">
        <f t="shared" si="23"/>
        <v/>
      </c>
      <c r="T56" s="18">
        <f>IF(OR(O56="",O57=""),0,IF(AND(O56&gt;=Parametri!$B$11,P56&gt;=Parametri!$B$10,P57&lt;Parametri!$B$10),ROW(),0))</f>
        <v>0</v>
      </c>
      <c r="V56" s="41"/>
      <c r="W56" s="41"/>
      <c r="X56" s="13" t="str">
        <f t="shared" si="24"/>
        <v/>
      </c>
      <c r="Y56" s="23" t="str">
        <f t="shared" si="25"/>
        <v/>
      </c>
      <c r="Z56" s="34" t="str">
        <f t="shared" si="26"/>
        <v/>
      </c>
      <c r="AA56" s="18">
        <f>IF(OR(V56="",V57=""),0,IF(AND(V56&gt;=Parametri!$B$11,W56&gt;=Parametri!$B$10,W57&lt;Parametri!$B$10),ROW(),0))</f>
        <v>0</v>
      </c>
      <c r="AC56" s="41"/>
      <c r="AD56" s="41"/>
      <c r="AE56" s="13" t="str">
        <f t="shared" si="27"/>
        <v/>
      </c>
      <c r="AF56" s="23" t="str">
        <f t="shared" si="28"/>
        <v/>
      </c>
      <c r="AG56" s="34" t="str">
        <f t="shared" si="29"/>
        <v/>
      </c>
      <c r="AH56" s="18">
        <f>IF(OR(AC56="",AC57=""),0,IF(AND(AC56&gt;=Parametri!$B$11,AD56&gt;=Parametri!$B$10,AD57&lt;Parametri!$B$10),ROW(),0))</f>
        <v>0</v>
      </c>
    </row>
    <row r="57" spans="1:34" x14ac:dyDescent="0.25">
      <c r="A57" s="41"/>
      <c r="B57" s="41"/>
      <c r="C57" s="13" t="str">
        <f t="shared" si="15"/>
        <v/>
      </c>
      <c r="D57" s="23" t="str">
        <f t="shared" si="16"/>
        <v/>
      </c>
      <c r="E57" s="34" t="str">
        <f t="shared" si="17"/>
        <v/>
      </c>
      <c r="F57" s="18">
        <f>IF(OR(A57="",A58=""),0,IF(AND(A57&gt;=Parametri!$B$11,B57&gt;=Parametri!$B$10,B58&lt;Parametri!$B$10),ROW(),0))</f>
        <v>0</v>
      </c>
      <c r="H57" s="41"/>
      <c r="I57" s="41"/>
      <c r="J57" s="13" t="str">
        <f t="shared" si="18"/>
        <v/>
      </c>
      <c r="K57" s="23" t="str">
        <f t="shared" si="19"/>
        <v/>
      </c>
      <c r="L57" s="34" t="str">
        <f t="shared" si="20"/>
        <v/>
      </c>
      <c r="M57" s="18">
        <f>IF(OR(H57="",H58=""),0,IF(AND(H57&gt;=Parametri!$B$11,I57&gt;=Parametri!$B$10,I58&lt;Parametri!$B$10),ROW(),0))</f>
        <v>0</v>
      </c>
      <c r="O57" s="41"/>
      <c r="P57" s="41"/>
      <c r="Q57" s="13" t="str">
        <f t="shared" si="21"/>
        <v/>
      </c>
      <c r="R57" s="23" t="str">
        <f t="shared" si="22"/>
        <v/>
      </c>
      <c r="S57" s="34" t="str">
        <f t="shared" si="23"/>
        <v/>
      </c>
      <c r="T57" s="18">
        <f>IF(OR(O57="",O58=""),0,IF(AND(O57&gt;=Parametri!$B$11,P57&gt;=Parametri!$B$10,P58&lt;Parametri!$B$10),ROW(),0))</f>
        <v>0</v>
      </c>
      <c r="V57" s="41"/>
      <c r="W57" s="41"/>
      <c r="X57" s="13" t="str">
        <f t="shared" si="24"/>
        <v/>
      </c>
      <c r="Y57" s="23" t="str">
        <f t="shared" si="25"/>
        <v/>
      </c>
      <c r="Z57" s="34" t="str">
        <f t="shared" si="26"/>
        <v/>
      </c>
      <c r="AA57" s="18">
        <f>IF(OR(V57="",V58=""),0,IF(AND(V57&gt;=Parametri!$B$11,W57&gt;=Parametri!$B$10,W58&lt;Parametri!$B$10),ROW(),0))</f>
        <v>0</v>
      </c>
      <c r="AC57" s="41"/>
      <c r="AD57" s="41"/>
      <c r="AE57" s="13" t="str">
        <f t="shared" si="27"/>
        <v/>
      </c>
      <c r="AF57" s="23" t="str">
        <f t="shared" si="28"/>
        <v/>
      </c>
      <c r="AG57" s="34" t="str">
        <f t="shared" si="29"/>
        <v/>
      </c>
      <c r="AH57" s="18">
        <f>IF(OR(AC57="",AC58=""),0,IF(AND(AC57&gt;=Parametri!$B$11,AD57&gt;=Parametri!$B$10,AD58&lt;Parametri!$B$10),ROW(),0))</f>
        <v>0</v>
      </c>
    </row>
    <row r="58" spans="1:34" x14ac:dyDescent="0.25">
      <c r="A58" s="41"/>
      <c r="B58" s="41"/>
      <c r="C58" s="13" t="str">
        <f t="shared" si="15"/>
        <v/>
      </c>
      <c r="D58" s="23" t="str">
        <f t="shared" si="16"/>
        <v/>
      </c>
      <c r="E58" s="34" t="str">
        <f t="shared" si="17"/>
        <v/>
      </c>
      <c r="F58" s="18">
        <f>IF(OR(A58="",A59=""),0,IF(AND(A58&gt;=Parametri!$B$11,B58&gt;=Parametri!$B$10,B59&lt;Parametri!$B$10),ROW(),0))</f>
        <v>0</v>
      </c>
      <c r="H58" s="41"/>
      <c r="I58" s="41"/>
      <c r="J58" s="13" t="str">
        <f t="shared" si="18"/>
        <v/>
      </c>
      <c r="K58" s="23" t="str">
        <f t="shared" si="19"/>
        <v/>
      </c>
      <c r="L58" s="34" t="str">
        <f t="shared" si="20"/>
        <v/>
      </c>
      <c r="M58" s="18">
        <f>IF(OR(H58="",H59=""),0,IF(AND(H58&gt;=Parametri!$B$11,I58&gt;=Parametri!$B$10,I59&lt;Parametri!$B$10),ROW(),0))</f>
        <v>0</v>
      </c>
      <c r="O58" s="41"/>
      <c r="P58" s="41"/>
      <c r="Q58" s="13" t="str">
        <f t="shared" si="21"/>
        <v/>
      </c>
      <c r="R58" s="23" t="str">
        <f t="shared" si="22"/>
        <v/>
      </c>
      <c r="S58" s="34" t="str">
        <f t="shared" si="23"/>
        <v/>
      </c>
      <c r="T58" s="18">
        <f>IF(OR(O58="",O59=""),0,IF(AND(O58&gt;=Parametri!$B$11,P58&gt;=Parametri!$B$10,P59&lt;Parametri!$B$10),ROW(),0))</f>
        <v>0</v>
      </c>
      <c r="V58" s="41"/>
      <c r="W58" s="41"/>
      <c r="X58" s="13" t="str">
        <f t="shared" si="24"/>
        <v/>
      </c>
      <c r="Y58" s="23" t="str">
        <f t="shared" si="25"/>
        <v/>
      </c>
      <c r="Z58" s="34" t="str">
        <f t="shared" si="26"/>
        <v/>
      </c>
      <c r="AA58" s="18">
        <f>IF(OR(V58="",V59=""),0,IF(AND(V58&gt;=Parametri!$B$11,W58&gt;=Parametri!$B$10,W59&lt;Parametri!$B$10),ROW(),0))</f>
        <v>0</v>
      </c>
      <c r="AC58" s="41"/>
      <c r="AD58" s="41"/>
      <c r="AE58" s="13" t="str">
        <f t="shared" si="27"/>
        <v/>
      </c>
      <c r="AF58" s="23" t="str">
        <f t="shared" si="28"/>
        <v/>
      </c>
      <c r="AG58" s="34" t="str">
        <f t="shared" si="29"/>
        <v/>
      </c>
      <c r="AH58" s="18">
        <f>IF(OR(AC58="",AC59=""),0,IF(AND(AC58&gt;=Parametri!$B$11,AD58&gt;=Parametri!$B$10,AD59&lt;Parametri!$B$10),ROW(),0))</f>
        <v>0</v>
      </c>
    </row>
    <row r="59" spans="1:34" x14ac:dyDescent="0.25">
      <c r="A59" s="41"/>
      <c r="B59" s="41"/>
      <c r="C59" s="13" t="str">
        <f t="shared" si="15"/>
        <v/>
      </c>
      <c r="D59" s="23" t="str">
        <f t="shared" si="16"/>
        <v/>
      </c>
      <c r="E59" s="34" t="str">
        <f t="shared" si="17"/>
        <v/>
      </c>
      <c r="F59" s="18">
        <f>IF(OR(A59="",A60=""),0,IF(AND(A59&gt;=Parametri!$B$11,B59&gt;=Parametri!$B$10,B60&lt;Parametri!$B$10),ROW(),0))</f>
        <v>0</v>
      </c>
      <c r="H59" s="41"/>
      <c r="I59" s="41"/>
      <c r="J59" s="13" t="str">
        <f t="shared" si="18"/>
        <v/>
      </c>
      <c r="K59" s="23" t="str">
        <f t="shared" si="19"/>
        <v/>
      </c>
      <c r="L59" s="34" t="str">
        <f t="shared" si="20"/>
        <v/>
      </c>
      <c r="M59" s="18">
        <f>IF(OR(H59="",H60=""),0,IF(AND(H59&gt;=Parametri!$B$11,I59&gt;=Parametri!$B$10,I60&lt;Parametri!$B$10),ROW(),0))</f>
        <v>0</v>
      </c>
      <c r="O59" s="41"/>
      <c r="P59" s="41"/>
      <c r="Q59" s="13" t="str">
        <f t="shared" si="21"/>
        <v/>
      </c>
      <c r="R59" s="23" t="str">
        <f t="shared" si="22"/>
        <v/>
      </c>
      <c r="S59" s="34" t="str">
        <f t="shared" si="23"/>
        <v/>
      </c>
      <c r="T59" s="18">
        <f>IF(OR(O59="",O60=""),0,IF(AND(O59&gt;=Parametri!$B$11,P59&gt;=Parametri!$B$10,P60&lt;Parametri!$B$10),ROW(),0))</f>
        <v>0</v>
      </c>
      <c r="V59" s="41"/>
      <c r="W59" s="41"/>
      <c r="X59" s="13" t="str">
        <f t="shared" si="24"/>
        <v/>
      </c>
      <c r="Y59" s="23" t="str">
        <f t="shared" si="25"/>
        <v/>
      </c>
      <c r="Z59" s="34" t="str">
        <f t="shared" si="26"/>
        <v/>
      </c>
      <c r="AA59" s="18">
        <f>IF(OR(V59="",V60=""),0,IF(AND(V59&gt;=Parametri!$B$11,W59&gt;=Parametri!$B$10,W60&lt;Parametri!$B$10),ROW(),0))</f>
        <v>0</v>
      </c>
      <c r="AC59" s="41"/>
      <c r="AD59" s="41"/>
      <c r="AE59" s="13" t="str">
        <f t="shared" si="27"/>
        <v/>
      </c>
      <c r="AF59" s="23" t="str">
        <f t="shared" si="28"/>
        <v/>
      </c>
      <c r="AG59" s="34" t="str">
        <f t="shared" si="29"/>
        <v/>
      </c>
      <c r="AH59" s="18">
        <f>IF(OR(AC59="",AC60=""),0,IF(AND(AC59&gt;=Parametri!$B$11,AD59&gt;=Parametri!$B$10,AD60&lt;Parametri!$B$10),ROW(),0))</f>
        <v>0</v>
      </c>
    </row>
    <row r="60" spans="1:34" x14ac:dyDescent="0.25">
      <c r="A60" s="41"/>
      <c r="B60" s="41"/>
      <c r="C60" s="13" t="str">
        <f t="shared" si="15"/>
        <v/>
      </c>
      <c r="D60" s="23" t="str">
        <f t="shared" si="16"/>
        <v/>
      </c>
      <c r="E60" s="34" t="str">
        <f t="shared" si="17"/>
        <v/>
      </c>
      <c r="F60" s="18">
        <f>IF(OR(A60="",A61=""),0,IF(AND(A60&gt;=Parametri!$B$11,B60&gt;=Parametri!$B$10,B61&lt;Parametri!$B$10),ROW(),0))</f>
        <v>0</v>
      </c>
      <c r="H60" s="41"/>
      <c r="I60" s="41"/>
      <c r="J60" s="13" t="str">
        <f t="shared" si="18"/>
        <v/>
      </c>
      <c r="K60" s="23" t="str">
        <f t="shared" si="19"/>
        <v/>
      </c>
      <c r="L60" s="34" t="str">
        <f t="shared" si="20"/>
        <v/>
      </c>
      <c r="M60" s="18">
        <f>IF(OR(H60="",H61=""),0,IF(AND(H60&gt;=Parametri!$B$11,I60&gt;=Parametri!$B$10,I61&lt;Parametri!$B$10),ROW(),0))</f>
        <v>0</v>
      </c>
      <c r="O60" s="41"/>
      <c r="P60" s="41"/>
      <c r="Q60" s="13" t="str">
        <f t="shared" si="21"/>
        <v/>
      </c>
      <c r="R60" s="23" t="str">
        <f t="shared" si="22"/>
        <v/>
      </c>
      <c r="S60" s="34" t="str">
        <f t="shared" si="23"/>
        <v/>
      </c>
      <c r="T60" s="18">
        <f>IF(OR(O60="",O61=""),0,IF(AND(O60&gt;=Parametri!$B$11,P60&gt;=Parametri!$B$10,P61&lt;Parametri!$B$10),ROW(),0))</f>
        <v>0</v>
      </c>
      <c r="V60" s="41"/>
      <c r="W60" s="41"/>
      <c r="X60" s="13" t="str">
        <f t="shared" si="24"/>
        <v/>
      </c>
      <c r="Y60" s="23" t="str">
        <f t="shared" si="25"/>
        <v/>
      </c>
      <c r="Z60" s="34" t="str">
        <f t="shared" si="26"/>
        <v/>
      </c>
      <c r="AA60" s="18">
        <f>IF(OR(V60="",V61=""),0,IF(AND(V60&gt;=Parametri!$B$11,W60&gt;=Parametri!$B$10,W61&lt;Parametri!$B$10),ROW(),0))</f>
        <v>0</v>
      </c>
      <c r="AC60" s="41"/>
      <c r="AD60" s="41"/>
      <c r="AE60" s="13" t="str">
        <f t="shared" si="27"/>
        <v/>
      </c>
      <c r="AF60" s="23" t="str">
        <f t="shared" si="28"/>
        <v/>
      </c>
      <c r="AG60" s="34" t="str">
        <f t="shared" si="29"/>
        <v/>
      </c>
      <c r="AH60" s="18">
        <f>IF(OR(AC60="",AC61=""),0,IF(AND(AC60&gt;=Parametri!$B$11,AD60&gt;=Parametri!$B$10,AD61&lt;Parametri!$B$10),ROW(),0))</f>
        <v>0</v>
      </c>
    </row>
    <row r="61" spans="1:34" x14ac:dyDescent="0.25">
      <c r="A61" s="41"/>
      <c r="B61" s="41"/>
      <c r="C61" s="13" t="str">
        <f t="shared" si="15"/>
        <v/>
      </c>
      <c r="D61" s="23" t="str">
        <f t="shared" si="16"/>
        <v/>
      </c>
      <c r="E61" s="34" t="str">
        <f t="shared" si="17"/>
        <v/>
      </c>
      <c r="F61" s="18">
        <f>IF(OR(A61="",A62=""),0,IF(AND(A61&gt;=Parametri!$B$11,B61&gt;=Parametri!$B$10,B62&lt;Parametri!$B$10),ROW(),0))</f>
        <v>0</v>
      </c>
      <c r="H61" s="41"/>
      <c r="I61" s="41"/>
      <c r="J61" s="13" t="str">
        <f t="shared" si="18"/>
        <v/>
      </c>
      <c r="K61" s="23" t="str">
        <f t="shared" si="19"/>
        <v/>
      </c>
      <c r="L61" s="34" t="str">
        <f t="shared" si="20"/>
        <v/>
      </c>
      <c r="M61" s="18">
        <f>IF(OR(H61="",H62=""),0,IF(AND(H61&gt;=Parametri!$B$11,I61&gt;=Parametri!$B$10,I62&lt;Parametri!$B$10),ROW(),0))</f>
        <v>0</v>
      </c>
      <c r="O61" s="41"/>
      <c r="P61" s="41"/>
      <c r="Q61" s="13" t="str">
        <f t="shared" si="21"/>
        <v/>
      </c>
      <c r="R61" s="23" t="str">
        <f t="shared" si="22"/>
        <v/>
      </c>
      <c r="S61" s="34" t="str">
        <f t="shared" si="23"/>
        <v/>
      </c>
      <c r="T61" s="18">
        <f>IF(OR(O61="",O62=""),0,IF(AND(O61&gt;=Parametri!$B$11,P61&gt;=Parametri!$B$10,P62&lt;Parametri!$B$10),ROW(),0))</f>
        <v>0</v>
      </c>
      <c r="V61" s="41"/>
      <c r="W61" s="41"/>
      <c r="X61" s="13" t="str">
        <f t="shared" si="24"/>
        <v/>
      </c>
      <c r="Y61" s="23" t="str">
        <f t="shared" si="25"/>
        <v/>
      </c>
      <c r="Z61" s="34" t="str">
        <f t="shared" si="26"/>
        <v/>
      </c>
      <c r="AA61" s="18">
        <f>IF(OR(V61="",V62=""),0,IF(AND(V61&gt;=Parametri!$B$11,W61&gt;=Parametri!$B$10,W62&lt;Parametri!$B$10),ROW(),0))</f>
        <v>0</v>
      </c>
      <c r="AC61" s="41"/>
      <c r="AD61" s="41"/>
      <c r="AE61" s="13" t="str">
        <f t="shared" si="27"/>
        <v/>
      </c>
      <c r="AF61" s="23" t="str">
        <f t="shared" si="28"/>
        <v/>
      </c>
      <c r="AG61" s="34" t="str">
        <f t="shared" si="29"/>
        <v/>
      </c>
      <c r="AH61" s="18">
        <f>IF(OR(AC61="",AC62=""),0,IF(AND(AC61&gt;=Parametri!$B$11,AD61&gt;=Parametri!$B$10,AD62&lt;Parametri!$B$10),ROW(),0))</f>
        <v>0</v>
      </c>
    </row>
    <row r="62" spans="1:34" x14ac:dyDescent="0.25">
      <c r="A62" s="41"/>
      <c r="B62" s="41"/>
      <c r="C62" s="13" t="str">
        <f t="shared" si="15"/>
        <v/>
      </c>
      <c r="D62" s="23" t="str">
        <f t="shared" si="16"/>
        <v/>
      </c>
      <c r="E62" s="34" t="str">
        <f t="shared" si="17"/>
        <v/>
      </c>
      <c r="F62" s="18">
        <f>IF(OR(A62="",A63=""),0,IF(AND(A62&gt;=Parametri!$B$11,B62&gt;=Parametri!$B$10,B63&lt;Parametri!$B$10),ROW(),0))</f>
        <v>0</v>
      </c>
      <c r="H62" s="41"/>
      <c r="I62" s="41"/>
      <c r="J62" s="13" t="str">
        <f t="shared" si="18"/>
        <v/>
      </c>
      <c r="K62" s="23" t="str">
        <f t="shared" si="19"/>
        <v/>
      </c>
      <c r="L62" s="34" t="str">
        <f t="shared" si="20"/>
        <v/>
      </c>
      <c r="M62" s="18">
        <f>IF(OR(H62="",H63=""),0,IF(AND(H62&gt;=Parametri!$B$11,I62&gt;=Parametri!$B$10,I63&lt;Parametri!$B$10),ROW(),0))</f>
        <v>0</v>
      </c>
      <c r="O62" s="41"/>
      <c r="P62" s="41"/>
      <c r="Q62" s="13" t="str">
        <f t="shared" si="21"/>
        <v/>
      </c>
      <c r="R62" s="23" t="str">
        <f t="shared" si="22"/>
        <v/>
      </c>
      <c r="S62" s="34" t="str">
        <f t="shared" si="23"/>
        <v/>
      </c>
      <c r="T62" s="18">
        <f>IF(OR(O62="",O63=""),0,IF(AND(O62&gt;=Parametri!$B$11,P62&gt;=Parametri!$B$10,P63&lt;Parametri!$B$10),ROW(),0))</f>
        <v>0</v>
      </c>
      <c r="V62" s="41"/>
      <c r="W62" s="41"/>
      <c r="X62" s="13" t="str">
        <f t="shared" si="24"/>
        <v/>
      </c>
      <c r="Y62" s="23" t="str">
        <f t="shared" si="25"/>
        <v/>
      </c>
      <c r="Z62" s="34" t="str">
        <f t="shared" si="26"/>
        <v/>
      </c>
      <c r="AA62" s="18">
        <f>IF(OR(V62="",V63=""),0,IF(AND(V62&gt;=Parametri!$B$11,W62&gt;=Parametri!$B$10,W63&lt;Parametri!$B$10),ROW(),0))</f>
        <v>0</v>
      </c>
      <c r="AC62" s="41"/>
      <c r="AD62" s="41"/>
      <c r="AE62" s="13" t="str">
        <f t="shared" si="27"/>
        <v/>
      </c>
      <c r="AF62" s="23" t="str">
        <f t="shared" si="28"/>
        <v/>
      </c>
      <c r="AG62" s="34" t="str">
        <f t="shared" si="29"/>
        <v/>
      </c>
      <c r="AH62" s="18">
        <f>IF(OR(AC62="",AC63=""),0,IF(AND(AC62&gt;=Parametri!$B$11,AD62&gt;=Parametri!$B$10,AD63&lt;Parametri!$B$10),ROW(),0))</f>
        <v>0</v>
      </c>
    </row>
    <row r="63" spans="1:34" x14ac:dyDescent="0.25">
      <c r="A63" s="41"/>
      <c r="B63" s="41"/>
      <c r="C63" s="13" t="str">
        <f t="shared" si="15"/>
        <v/>
      </c>
      <c r="D63" s="23" t="str">
        <f t="shared" si="16"/>
        <v/>
      </c>
      <c r="E63" s="34" t="str">
        <f t="shared" si="17"/>
        <v/>
      </c>
      <c r="F63" s="18">
        <f>IF(OR(A63="",A64=""),0,IF(AND(A63&gt;=Parametri!$B$11,B63&gt;=Parametri!$B$10,B64&lt;Parametri!$B$10),ROW(),0))</f>
        <v>0</v>
      </c>
      <c r="H63" s="41"/>
      <c r="I63" s="41"/>
      <c r="J63" s="13" t="str">
        <f t="shared" si="18"/>
        <v/>
      </c>
      <c r="K63" s="23" t="str">
        <f t="shared" si="19"/>
        <v/>
      </c>
      <c r="L63" s="34" t="str">
        <f t="shared" si="20"/>
        <v/>
      </c>
      <c r="M63" s="18">
        <f>IF(OR(H63="",H64=""),0,IF(AND(H63&gt;=Parametri!$B$11,I63&gt;=Parametri!$B$10,I64&lt;Parametri!$B$10),ROW(),0))</f>
        <v>0</v>
      </c>
      <c r="O63" s="41"/>
      <c r="P63" s="41"/>
      <c r="Q63" s="13" t="str">
        <f t="shared" si="21"/>
        <v/>
      </c>
      <c r="R63" s="23" t="str">
        <f t="shared" si="22"/>
        <v/>
      </c>
      <c r="S63" s="34" t="str">
        <f t="shared" si="23"/>
        <v/>
      </c>
      <c r="T63" s="18">
        <f>IF(OR(O63="",O64=""),0,IF(AND(O63&gt;=Parametri!$B$11,P63&gt;=Parametri!$B$10,P64&lt;Parametri!$B$10),ROW(),0))</f>
        <v>0</v>
      </c>
      <c r="V63" s="41"/>
      <c r="W63" s="41"/>
      <c r="X63" s="13" t="str">
        <f t="shared" si="24"/>
        <v/>
      </c>
      <c r="Y63" s="23" t="str">
        <f t="shared" si="25"/>
        <v/>
      </c>
      <c r="Z63" s="34" t="str">
        <f t="shared" si="26"/>
        <v/>
      </c>
      <c r="AA63" s="18">
        <f>IF(OR(V63="",V64=""),0,IF(AND(V63&gt;=Parametri!$B$11,W63&gt;=Parametri!$B$10,W64&lt;Parametri!$B$10),ROW(),0))</f>
        <v>0</v>
      </c>
      <c r="AC63" s="41"/>
      <c r="AD63" s="41"/>
      <c r="AE63" s="13" t="str">
        <f t="shared" si="27"/>
        <v/>
      </c>
      <c r="AF63" s="23" t="str">
        <f t="shared" si="28"/>
        <v/>
      </c>
      <c r="AG63" s="34" t="str">
        <f t="shared" si="29"/>
        <v/>
      </c>
      <c r="AH63" s="18">
        <f>IF(OR(AC63="",AC64=""),0,IF(AND(AC63&gt;=Parametri!$B$11,AD63&gt;=Parametri!$B$10,AD64&lt;Parametri!$B$10),ROW(),0))</f>
        <v>0</v>
      </c>
    </row>
    <row r="64" spans="1:34" x14ac:dyDescent="0.25">
      <c r="A64" s="41"/>
      <c r="B64" s="41"/>
      <c r="C64" s="13" t="str">
        <f t="shared" si="15"/>
        <v/>
      </c>
      <c r="D64" s="23" t="str">
        <f t="shared" si="16"/>
        <v/>
      </c>
      <c r="E64" s="34" t="str">
        <f t="shared" si="17"/>
        <v/>
      </c>
      <c r="F64" s="18">
        <f>IF(OR(A64="",A65=""),0,IF(AND(A64&gt;=Parametri!$B$11,B64&gt;=Parametri!$B$10,B65&lt;Parametri!$B$10),ROW(),0))</f>
        <v>0</v>
      </c>
      <c r="H64" s="41"/>
      <c r="I64" s="41"/>
      <c r="J64" s="13" t="str">
        <f t="shared" si="18"/>
        <v/>
      </c>
      <c r="K64" s="23" t="str">
        <f t="shared" si="19"/>
        <v/>
      </c>
      <c r="L64" s="34" t="str">
        <f t="shared" si="20"/>
        <v/>
      </c>
      <c r="M64" s="18">
        <f>IF(OR(H64="",H65=""),0,IF(AND(H64&gt;=Parametri!$B$11,I64&gt;=Parametri!$B$10,I65&lt;Parametri!$B$10),ROW(),0))</f>
        <v>0</v>
      </c>
      <c r="O64" s="41"/>
      <c r="P64" s="41"/>
      <c r="Q64" s="13" t="str">
        <f t="shared" si="21"/>
        <v/>
      </c>
      <c r="R64" s="23" t="str">
        <f t="shared" si="22"/>
        <v/>
      </c>
      <c r="S64" s="34" t="str">
        <f t="shared" si="23"/>
        <v/>
      </c>
      <c r="T64" s="18">
        <f>IF(OR(O64="",O65=""),0,IF(AND(O64&gt;=Parametri!$B$11,P64&gt;=Parametri!$B$10,P65&lt;Parametri!$B$10),ROW(),0))</f>
        <v>0</v>
      </c>
      <c r="V64" s="41"/>
      <c r="W64" s="41"/>
      <c r="X64" s="13" t="str">
        <f t="shared" si="24"/>
        <v/>
      </c>
      <c r="Y64" s="23" t="str">
        <f t="shared" si="25"/>
        <v/>
      </c>
      <c r="Z64" s="34" t="str">
        <f t="shared" si="26"/>
        <v/>
      </c>
      <c r="AA64" s="18">
        <f>IF(OR(V64="",V65=""),0,IF(AND(V64&gt;=Parametri!$B$11,W64&gt;=Parametri!$B$10,W65&lt;Parametri!$B$10),ROW(),0))</f>
        <v>0</v>
      </c>
      <c r="AC64" s="41"/>
      <c r="AD64" s="41"/>
      <c r="AE64" s="13" t="str">
        <f t="shared" si="27"/>
        <v/>
      </c>
      <c r="AF64" s="23" t="str">
        <f t="shared" si="28"/>
        <v/>
      </c>
      <c r="AG64" s="34" t="str">
        <f t="shared" si="29"/>
        <v/>
      </c>
      <c r="AH64" s="18">
        <f>IF(OR(AC64="",AC65=""),0,IF(AND(AC64&gt;=Parametri!$B$11,AD64&gt;=Parametri!$B$10,AD65&lt;Parametri!$B$10),ROW(),0))</f>
        <v>0</v>
      </c>
    </row>
    <row r="65" spans="1:34" x14ac:dyDescent="0.25">
      <c r="A65" s="41"/>
      <c r="B65" s="41"/>
      <c r="C65" s="13" t="str">
        <f t="shared" si="15"/>
        <v/>
      </c>
      <c r="D65" s="23" t="str">
        <f t="shared" si="16"/>
        <v/>
      </c>
      <c r="E65" s="34" t="str">
        <f t="shared" si="17"/>
        <v/>
      </c>
      <c r="F65" s="18">
        <f>IF(OR(A65="",A66=""),0,IF(AND(A65&gt;=Parametri!$B$11,B65&gt;=Parametri!$B$10,B66&lt;Parametri!$B$10),ROW(),0))</f>
        <v>0</v>
      </c>
      <c r="H65" s="41"/>
      <c r="I65" s="41"/>
      <c r="J65" s="13" t="str">
        <f t="shared" si="18"/>
        <v/>
      </c>
      <c r="K65" s="23" t="str">
        <f t="shared" si="19"/>
        <v/>
      </c>
      <c r="L65" s="34" t="str">
        <f t="shared" si="20"/>
        <v/>
      </c>
      <c r="M65" s="18">
        <f>IF(OR(H65="",H66=""),0,IF(AND(H65&gt;=Parametri!$B$11,I65&gt;=Parametri!$B$10,I66&lt;Parametri!$B$10),ROW(),0))</f>
        <v>0</v>
      </c>
      <c r="O65" s="41"/>
      <c r="P65" s="41"/>
      <c r="Q65" s="13" t="str">
        <f t="shared" si="21"/>
        <v/>
      </c>
      <c r="R65" s="23" t="str">
        <f t="shared" si="22"/>
        <v/>
      </c>
      <c r="S65" s="34" t="str">
        <f t="shared" si="23"/>
        <v/>
      </c>
      <c r="T65" s="18">
        <f>IF(OR(O65="",O66=""),0,IF(AND(O65&gt;=Parametri!$B$11,P65&gt;=Parametri!$B$10,P66&lt;Parametri!$B$10),ROW(),0))</f>
        <v>0</v>
      </c>
      <c r="V65" s="41"/>
      <c r="W65" s="41"/>
      <c r="X65" s="13" t="str">
        <f t="shared" si="24"/>
        <v/>
      </c>
      <c r="Y65" s="23" t="str">
        <f t="shared" si="25"/>
        <v/>
      </c>
      <c r="Z65" s="34" t="str">
        <f t="shared" si="26"/>
        <v/>
      </c>
      <c r="AA65" s="18">
        <f>IF(OR(V65="",V66=""),0,IF(AND(V65&gt;=Parametri!$B$11,W65&gt;=Parametri!$B$10,W66&lt;Parametri!$B$10),ROW(),0))</f>
        <v>0</v>
      </c>
      <c r="AC65" s="41"/>
      <c r="AD65" s="41"/>
      <c r="AE65" s="13" t="str">
        <f t="shared" si="27"/>
        <v/>
      </c>
      <c r="AF65" s="23" t="str">
        <f t="shared" si="28"/>
        <v/>
      </c>
      <c r="AG65" s="34" t="str">
        <f t="shared" si="29"/>
        <v/>
      </c>
      <c r="AH65" s="18">
        <f>IF(OR(AC65="",AC66=""),0,IF(AND(AC65&gt;=Parametri!$B$11,AD65&gt;=Parametri!$B$10,AD66&lt;Parametri!$B$10),ROW(),0))</f>
        <v>0</v>
      </c>
    </row>
    <row r="66" spans="1:34" x14ac:dyDescent="0.25">
      <c r="A66" s="41"/>
      <c r="B66" s="41"/>
      <c r="C66" s="13" t="str">
        <f t="shared" si="15"/>
        <v/>
      </c>
      <c r="D66" s="23" t="str">
        <f t="shared" si="16"/>
        <v/>
      </c>
      <c r="E66" s="34" t="str">
        <f t="shared" si="17"/>
        <v/>
      </c>
      <c r="F66" s="18">
        <f>IF(OR(A66="",A67=""),0,IF(AND(A66&gt;=Parametri!$B$11,B66&gt;=Parametri!$B$10,B67&lt;Parametri!$B$10),ROW(),0))</f>
        <v>0</v>
      </c>
      <c r="H66" s="41"/>
      <c r="I66" s="41"/>
      <c r="J66" s="13" t="str">
        <f t="shared" si="18"/>
        <v/>
      </c>
      <c r="K66" s="23" t="str">
        <f t="shared" si="19"/>
        <v/>
      </c>
      <c r="L66" s="34" t="str">
        <f t="shared" si="20"/>
        <v/>
      </c>
      <c r="M66" s="18">
        <f>IF(OR(H66="",H67=""),0,IF(AND(H66&gt;=Parametri!$B$11,I66&gt;=Parametri!$B$10,I67&lt;Parametri!$B$10),ROW(),0))</f>
        <v>0</v>
      </c>
      <c r="O66" s="41"/>
      <c r="P66" s="41"/>
      <c r="Q66" s="13" t="str">
        <f t="shared" si="21"/>
        <v/>
      </c>
      <c r="R66" s="23" t="str">
        <f t="shared" si="22"/>
        <v/>
      </c>
      <c r="S66" s="34" t="str">
        <f t="shared" si="23"/>
        <v/>
      </c>
      <c r="T66" s="18">
        <f>IF(OR(O66="",O67=""),0,IF(AND(O66&gt;=Parametri!$B$11,P66&gt;=Parametri!$B$10,P67&lt;Parametri!$B$10),ROW(),0))</f>
        <v>0</v>
      </c>
      <c r="V66" s="41"/>
      <c r="W66" s="41"/>
      <c r="X66" s="13" t="str">
        <f t="shared" si="24"/>
        <v/>
      </c>
      <c r="Y66" s="23" t="str">
        <f t="shared" si="25"/>
        <v/>
      </c>
      <c r="Z66" s="34" t="str">
        <f t="shared" si="26"/>
        <v/>
      </c>
      <c r="AA66" s="18">
        <f>IF(OR(V66="",V67=""),0,IF(AND(V66&gt;=Parametri!$B$11,W66&gt;=Parametri!$B$10,W67&lt;Parametri!$B$10),ROW(),0))</f>
        <v>0</v>
      </c>
      <c r="AC66" s="41"/>
      <c r="AD66" s="41"/>
      <c r="AE66" s="13" t="str">
        <f t="shared" si="27"/>
        <v/>
      </c>
      <c r="AF66" s="23" t="str">
        <f t="shared" si="28"/>
        <v/>
      </c>
      <c r="AG66" s="34" t="str">
        <f t="shared" si="29"/>
        <v/>
      </c>
      <c r="AH66" s="18">
        <f>IF(OR(AC66="",AC67=""),0,IF(AND(AC66&gt;=Parametri!$B$11,AD66&gt;=Parametri!$B$10,AD67&lt;Parametri!$B$10),ROW(),0))</f>
        <v>0</v>
      </c>
    </row>
    <row r="67" spans="1:34" x14ac:dyDescent="0.25">
      <c r="A67" s="41"/>
      <c r="B67" s="41"/>
      <c r="C67" s="13" t="str">
        <f t="shared" si="15"/>
        <v/>
      </c>
      <c r="D67" s="23" t="str">
        <f t="shared" si="16"/>
        <v/>
      </c>
      <c r="E67" s="34" t="str">
        <f t="shared" si="17"/>
        <v/>
      </c>
      <c r="F67" s="18">
        <f>IF(OR(A67="",A68=""),0,IF(AND(A67&gt;=Parametri!$B$11,B67&gt;=Parametri!$B$10,B68&lt;Parametri!$B$10),ROW(),0))</f>
        <v>0</v>
      </c>
      <c r="H67" s="41"/>
      <c r="I67" s="41"/>
      <c r="J67" s="13" t="str">
        <f t="shared" si="18"/>
        <v/>
      </c>
      <c r="K67" s="23" t="str">
        <f t="shared" si="19"/>
        <v/>
      </c>
      <c r="L67" s="34" t="str">
        <f t="shared" si="20"/>
        <v/>
      </c>
      <c r="M67" s="18">
        <f>IF(OR(H67="",H68=""),0,IF(AND(H67&gt;=Parametri!$B$11,I67&gt;=Parametri!$B$10,I68&lt;Parametri!$B$10),ROW(),0))</f>
        <v>0</v>
      </c>
      <c r="O67" s="41"/>
      <c r="P67" s="41"/>
      <c r="Q67" s="13" t="str">
        <f t="shared" si="21"/>
        <v/>
      </c>
      <c r="R67" s="23" t="str">
        <f t="shared" si="22"/>
        <v/>
      </c>
      <c r="S67" s="34" t="str">
        <f t="shared" si="23"/>
        <v/>
      </c>
      <c r="T67" s="18">
        <f>IF(OR(O67="",O68=""),0,IF(AND(O67&gt;=Parametri!$B$11,P67&gt;=Parametri!$B$10,P68&lt;Parametri!$B$10),ROW(),0))</f>
        <v>0</v>
      </c>
      <c r="V67" s="41"/>
      <c r="W67" s="41"/>
      <c r="X67" s="13" t="str">
        <f t="shared" si="24"/>
        <v/>
      </c>
      <c r="Y67" s="23" t="str">
        <f t="shared" si="25"/>
        <v/>
      </c>
      <c r="Z67" s="34" t="str">
        <f t="shared" si="26"/>
        <v/>
      </c>
      <c r="AA67" s="18">
        <f>IF(OR(V67="",V68=""),0,IF(AND(V67&gt;=Parametri!$B$11,W67&gt;=Parametri!$B$10,W68&lt;Parametri!$B$10),ROW(),0))</f>
        <v>0</v>
      </c>
      <c r="AC67" s="41"/>
      <c r="AD67" s="41"/>
      <c r="AE67" s="13" t="str">
        <f t="shared" si="27"/>
        <v/>
      </c>
      <c r="AF67" s="23" t="str">
        <f t="shared" si="28"/>
        <v/>
      </c>
      <c r="AG67" s="34" t="str">
        <f t="shared" si="29"/>
        <v/>
      </c>
      <c r="AH67" s="18">
        <f>IF(OR(AC67="",AC68=""),0,IF(AND(AC67&gt;=Parametri!$B$11,AD67&gt;=Parametri!$B$10,AD68&lt;Parametri!$B$10),ROW(),0))</f>
        <v>0</v>
      </c>
    </row>
    <row r="68" spans="1:34" x14ac:dyDescent="0.25">
      <c r="A68" s="41"/>
      <c r="B68" s="41"/>
      <c r="C68" s="13" t="str">
        <f t="shared" si="15"/>
        <v/>
      </c>
      <c r="D68" s="23" t="str">
        <f t="shared" si="16"/>
        <v/>
      </c>
      <c r="E68" s="34" t="str">
        <f t="shared" si="17"/>
        <v/>
      </c>
      <c r="F68" s="18">
        <f>IF(OR(A68="",A69=""),0,IF(AND(A68&gt;=Parametri!$B$11,B68&gt;=Parametri!$B$10,B69&lt;Parametri!$B$10),ROW(),0))</f>
        <v>0</v>
      </c>
      <c r="H68" s="41"/>
      <c r="I68" s="41"/>
      <c r="J68" s="13" t="str">
        <f t="shared" si="18"/>
        <v/>
      </c>
      <c r="K68" s="23" t="str">
        <f t="shared" si="19"/>
        <v/>
      </c>
      <c r="L68" s="34" t="str">
        <f t="shared" si="20"/>
        <v/>
      </c>
      <c r="M68" s="18">
        <f>IF(OR(H68="",H69=""),0,IF(AND(H68&gt;=Parametri!$B$11,I68&gt;=Parametri!$B$10,I69&lt;Parametri!$B$10),ROW(),0))</f>
        <v>0</v>
      </c>
      <c r="O68" s="41"/>
      <c r="P68" s="41"/>
      <c r="Q68" s="13" t="str">
        <f t="shared" si="21"/>
        <v/>
      </c>
      <c r="R68" s="23" t="str">
        <f t="shared" si="22"/>
        <v/>
      </c>
      <c r="S68" s="34" t="str">
        <f t="shared" si="23"/>
        <v/>
      </c>
      <c r="T68" s="18">
        <f>IF(OR(O68="",O69=""),0,IF(AND(O68&gt;=Parametri!$B$11,P68&gt;=Parametri!$B$10,P69&lt;Parametri!$B$10),ROW(),0))</f>
        <v>0</v>
      </c>
      <c r="V68" s="41"/>
      <c r="W68" s="41"/>
      <c r="X68" s="13" t="str">
        <f t="shared" si="24"/>
        <v/>
      </c>
      <c r="Y68" s="23" t="str">
        <f t="shared" si="25"/>
        <v/>
      </c>
      <c r="Z68" s="34" t="str">
        <f t="shared" si="26"/>
        <v/>
      </c>
      <c r="AA68" s="18">
        <f>IF(OR(V68="",V69=""),0,IF(AND(V68&gt;=Parametri!$B$11,W68&gt;=Parametri!$B$10,W69&lt;Parametri!$B$10),ROW(),0))</f>
        <v>0</v>
      </c>
      <c r="AC68" s="41"/>
      <c r="AD68" s="41"/>
      <c r="AE68" s="13" t="str">
        <f t="shared" si="27"/>
        <v/>
      </c>
      <c r="AF68" s="23" t="str">
        <f t="shared" si="28"/>
        <v/>
      </c>
      <c r="AG68" s="34" t="str">
        <f t="shared" si="29"/>
        <v/>
      </c>
      <c r="AH68" s="18">
        <f>IF(OR(AC68="",AC69=""),0,IF(AND(AC68&gt;=Parametri!$B$11,AD68&gt;=Parametri!$B$10,AD69&lt;Parametri!$B$10),ROW(),0))</f>
        <v>0</v>
      </c>
    </row>
    <row r="69" spans="1:34" x14ac:dyDescent="0.25">
      <c r="A69" s="41"/>
      <c r="B69" s="41"/>
      <c r="C69" s="13" t="str">
        <f t="shared" si="15"/>
        <v/>
      </c>
      <c r="D69" s="23" t="str">
        <f t="shared" si="16"/>
        <v/>
      </c>
      <c r="E69" s="34" t="str">
        <f t="shared" si="17"/>
        <v/>
      </c>
      <c r="F69" s="18">
        <f>IF(OR(A69="",A70=""),0,IF(AND(A69&gt;=Parametri!$B$11,B69&gt;=Parametri!$B$10,B70&lt;Parametri!$B$10),ROW(),0))</f>
        <v>0</v>
      </c>
      <c r="H69" s="41"/>
      <c r="I69" s="41"/>
      <c r="J69" s="13" t="str">
        <f t="shared" si="18"/>
        <v/>
      </c>
      <c r="K69" s="23" t="str">
        <f t="shared" si="19"/>
        <v/>
      </c>
      <c r="L69" s="34" t="str">
        <f t="shared" si="20"/>
        <v/>
      </c>
      <c r="M69" s="18">
        <f>IF(OR(H69="",H70=""),0,IF(AND(H69&gt;=Parametri!$B$11,I69&gt;=Parametri!$B$10,I70&lt;Parametri!$B$10),ROW(),0))</f>
        <v>0</v>
      </c>
      <c r="O69" s="41"/>
      <c r="P69" s="41"/>
      <c r="Q69" s="13" t="str">
        <f t="shared" si="21"/>
        <v/>
      </c>
      <c r="R69" s="23" t="str">
        <f t="shared" si="22"/>
        <v/>
      </c>
      <c r="S69" s="34" t="str">
        <f t="shared" si="23"/>
        <v/>
      </c>
      <c r="T69" s="18">
        <f>IF(OR(O69="",O70=""),0,IF(AND(O69&gt;=Parametri!$B$11,P69&gt;=Parametri!$B$10,P70&lt;Parametri!$B$10),ROW(),0))</f>
        <v>0</v>
      </c>
      <c r="V69" s="41"/>
      <c r="W69" s="41"/>
      <c r="X69" s="13" t="str">
        <f t="shared" si="24"/>
        <v/>
      </c>
      <c r="Y69" s="23" t="str">
        <f t="shared" si="25"/>
        <v/>
      </c>
      <c r="Z69" s="34" t="str">
        <f t="shared" si="26"/>
        <v/>
      </c>
      <c r="AA69" s="18">
        <f>IF(OR(V69="",V70=""),0,IF(AND(V69&gt;=Parametri!$B$11,W69&gt;=Parametri!$B$10,W70&lt;Parametri!$B$10),ROW(),0))</f>
        <v>0</v>
      </c>
      <c r="AC69" s="41"/>
      <c r="AD69" s="41"/>
      <c r="AE69" s="13" t="str">
        <f t="shared" si="27"/>
        <v/>
      </c>
      <c r="AF69" s="23" t="str">
        <f t="shared" si="28"/>
        <v/>
      </c>
      <c r="AG69" s="34" t="str">
        <f t="shared" si="29"/>
        <v/>
      </c>
      <c r="AH69" s="18">
        <f>IF(OR(AC69="",AC70=""),0,IF(AND(AC69&gt;=Parametri!$B$11,AD69&gt;=Parametri!$B$10,AD70&lt;Parametri!$B$10),ROW(),0))</f>
        <v>0</v>
      </c>
    </row>
    <row r="70" spans="1:34" x14ac:dyDescent="0.25">
      <c r="A70" s="41"/>
      <c r="B70" s="41"/>
      <c r="C70" s="13" t="str">
        <f t="shared" si="15"/>
        <v/>
      </c>
      <c r="D70" s="23" t="str">
        <f t="shared" si="16"/>
        <v/>
      </c>
      <c r="E70" s="34" t="str">
        <f t="shared" si="17"/>
        <v/>
      </c>
      <c r="F70" s="18">
        <f>IF(OR(A70="",A71=""),0,IF(AND(A70&gt;=Parametri!$B$11,B70&gt;=Parametri!$B$10,B71&lt;Parametri!$B$10),ROW(),0))</f>
        <v>0</v>
      </c>
      <c r="H70" s="41"/>
      <c r="I70" s="41"/>
      <c r="J70" s="13" t="str">
        <f t="shared" si="18"/>
        <v/>
      </c>
      <c r="K70" s="23" t="str">
        <f t="shared" si="19"/>
        <v/>
      </c>
      <c r="L70" s="34" t="str">
        <f t="shared" si="20"/>
        <v/>
      </c>
      <c r="M70" s="18">
        <f>IF(OR(H70="",H71=""),0,IF(AND(H70&gt;=Parametri!$B$11,I70&gt;=Parametri!$B$10,I71&lt;Parametri!$B$10),ROW(),0))</f>
        <v>0</v>
      </c>
      <c r="O70" s="41"/>
      <c r="P70" s="41"/>
      <c r="Q70" s="13" t="str">
        <f t="shared" si="21"/>
        <v/>
      </c>
      <c r="R70" s="23" t="str">
        <f t="shared" si="22"/>
        <v/>
      </c>
      <c r="S70" s="34" t="str">
        <f t="shared" si="23"/>
        <v/>
      </c>
      <c r="T70" s="18">
        <f>IF(OR(O70="",O71=""),0,IF(AND(O70&gt;=Parametri!$B$11,P70&gt;=Parametri!$B$10,P71&lt;Parametri!$B$10),ROW(),0))</f>
        <v>0</v>
      </c>
      <c r="V70" s="41"/>
      <c r="W70" s="41"/>
      <c r="X70" s="13" t="str">
        <f t="shared" si="24"/>
        <v/>
      </c>
      <c r="Y70" s="23" t="str">
        <f t="shared" si="25"/>
        <v/>
      </c>
      <c r="Z70" s="34" t="str">
        <f t="shared" si="26"/>
        <v/>
      </c>
      <c r="AA70" s="18">
        <f>IF(OR(V70="",V71=""),0,IF(AND(V70&gt;=Parametri!$B$11,W70&gt;=Parametri!$B$10,W71&lt;Parametri!$B$10),ROW(),0))</f>
        <v>0</v>
      </c>
      <c r="AC70" s="41"/>
      <c r="AD70" s="41"/>
      <c r="AE70" s="13" t="str">
        <f t="shared" si="27"/>
        <v/>
      </c>
      <c r="AF70" s="23" t="str">
        <f t="shared" si="28"/>
        <v/>
      </c>
      <c r="AG70" s="34" t="str">
        <f t="shared" si="29"/>
        <v/>
      </c>
      <c r="AH70" s="18">
        <f>IF(OR(AC70="",AC71=""),0,IF(AND(AC70&gt;=Parametri!$B$11,AD70&gt;=Parametri!$B$10,AD71&lt;Parametri!$B$10),ROW(),0))</f>
        <v>0</v>
      </c>
    </row>
    <row r="71" spans="1:34" x14ac:dyDescent="0.25">
      <c r="A71" s="41"/>
      <c r="B71" s="41"/>
      <c r="C71" s="13" t="str">
        <f t="shared" si="15"/>
        <v/>
      </c>
      <c r="D71" s="23" t="str">
        <f t="shared" si="16"/>
        <v/>
      </c>
      <c r="E71" s="34" t="str">
        <f t="shared" si="17"/>
        <v/>
      </c>
      <c r="F71" s="18">
        <f>IF(OR(A71="",A72=""),0,IF(AND(A71&gt;=Parametri!$B$11,B71&gt;=Parametri!$B$10,B72&lt;Parametri!$B$10),ROW(),0))</f>
        <v>0</v>
      </c>
      <c r="H71" s="41"/>
      <c r="I71" s="41"/>
      <c r="J71" s="13" t="str">
        <f t="shared" si="18"/>
        <v/>
      </c>
      <c r="K71" s="23" t="str">
        <f t="shared" si="19"/>
        <v/>
      </c>
      <c r="L71" s="34" t="str">
        <f t="shared" si="20"/>
        <v/>
      </c>
      <c r="M71" s="18">
        <f>IF(OR(H71="",H72=""),0,IF(AND(H71&gt;=Parametri!$B$11,I71&gt;=Parametri!$B$10,I72&lt;Parametri!$B$10),ROW(),0))</f>
        <v>0</v>
      </c>
      <c r="O71" s="41"/>
      <c r="P71" s="41"/>
      <c r="Q71" s="13" t="str">
        <f t="shared" si="21"/>
        <v/>
      </c>
      <c r="R71" s="23" t="str">
        <f t="shared" si="22"/>
        <v/>
      </c>
      <c r="S71" s="34" t="str">
        <f t="shared" si="23"/>
        <v/>
      </c>
      <c r="T71" s="18">
        <f>IF(OR(O71="",O72=""),0,IF(AND(O71&gt;=Parametri!$B$11,P71&gt;=Parametri!$B$10,P72&lt;Parametri!$B$10),ROW(),0))</f>
        <v>0</v>
      </c>
      <c r="V71" s="41"/>
      <c r="W71" s="41"/>
      <c r="X71" s="13" t="str">
        <f t="shared" si="24"/>
        <v/>
      </c>
      <c r="Y71" s="23" t="str">
        <f t="shared" si="25"/>
        <v/>
      </c>
      <c r="Z71" s="34" t="str">
        <f t="shared" si="26"/>
        <v/>
      </c>
      <c r="AA71" s="18">
        <f>IF(OR(V71="",V72=""),0,IF(AND(V71&gt;=Parametri!$B$11,W71&gt;=Parametri!$B$10,W72&lt;Parametri!$B$10),ROW(),0))</f>
        <v>0</v>
      </c>
      <c r="AC71" s="41"/>
      <c r="AD71" s="41"/>
      <c r="AE71" s="13" t="str">
        <f t="shared" si="27"/>
        <v/>
      </c>
      <c r="AF71" s="23" t="str">
        <f t="shared" si="28"/>
        <v/>
      </c>
      <c r="AG71" s="34" t="str">
        <f t="shared" si="29"/>
        <v/>
      </c>
      <c r="AH71" s="18">
        <f>IF(OR(AC71="",AC72=""),0,IF(AND(AC71&gt;=Parametri!$B$11,AD71&gt;=Parametri!$B$10,AD72&lt;Parametri!$B$10),ROW(),0))</f>
        <v>0</v>
      </c>
    </row>
    <row r="72" spans="1:34" x14ac:dyDescent="0.25">
      <c r="A72" s="41"/>
      <c r="B72" s="41"/>
      <c r="C72" s="13" t="str">
        <f t="shared" si="15"/>
        <v/>
      </c>
      <c r="D72" s="23" t="str">
        <f t="shared" si="16"/>
        <v/>
      </c>
      <c r="E72" s="34" t="str">
        <f t="shared" si="17"/>
        <v/>
      </c>
      <c r="F72" s="18">
        <f>IF(OR(A72="",A73=""),0,IF(AND(A72&gt;=Parametri!$B$11,B72&gt;=Parametri!$B$10,B73&lt;Parametri!$B$10),ROW(),0))</f>
        <v>0</v>
      </c>
      <c r="H72" s="41"/>
      <c r="I72" s="41"/>
      <c r="J72" s="13" t="str">
        <f t="shared" si="18"/>
        <v/>
      </c>
      <c r="K72" s="23" t="str">
        <f t="shared" si="19"/>
        <v/>
      </c>
      <c r="L72" s="34" t="str">
        <f t="shared" si="20"/>
        <v/>
      </c>
      <c r="M72" s="18">
        <f>IF(OR(H72="",H73=""),0,IF(AND(H72&gt;=Parametri!$B$11,I72&gt;=Parametri!$B$10,I73&lt;Parametri!$B$10),ROW(),0))</f>
        <v>0</v>
      </c>
      <c r="O72" s="41"/>
      <c r="P72" s="41"/>
      <c r="Q72" s="13" t="str">
        <f t="shared" si="21"/>
        <v/>
      </c>
      <c r="R72" s="23" t="str">
        <f t="shared" si="22"/>
        <v/>
      </c>
      <c r="S72" s="34" t="str">
        <f t="shared" si="23"/>
        <v/>
      </c>
      <c r="T72" s="18">
        <f>IF(OR(O72="",O73=""),0,IF(AND(O72&gt;=Parametri!$B$11,P72&gt;=Parametri!$B$10,P73&lt;Parametri!$B$10),ROW(),0))</f>
        <v>0</v>
      </c>
      <c r="V72" s="41"/>
      <c r="W72" s="41"/>
      <c r="X72" s="13" t="str">
        <f t="shared" si="24"/>
        <v/>
      </c>
      <c r="Y72" s="23" t="str">
        <f t="shared" si="25"/>
        <v/>
      </c>
      <c r="Z72" s="34" t="str">
        <f t="shared" si="26"/>
        <v/>
      </c>
      <c r="AA72" s="18">
        <f>IF(OR(V72="",V73=""),0,IF(AND(V72&gt;=Parametri!$B$11,W72&gt;=Parametri!$B$10,W73&lt;Parametri!$B$10),ROW(),0))</f>
        <v>0</v>
      </c>
      <c r="AC72" s="41"/>
      <c r="AD72" s="41"/>
      <c r="AE72" s="13" t="str">
        <f t="shared" si="27"/>
        <v/>
      </c>
      <c r="AF72" s="23" t="str">
        <f t="shared" si="28"/>
        <v/>
      </c>
      <c r="AG72" s="34" t="str">
        <f t="shared" si="29"/>
        <v/>
      </c>
      <c r="AH72" s="18">
        <f>IF(OR(AC72="",AC73=""),0,IF(AND(AC72&gt;=Parametri!$B$11,AD72&gt;=Parametri!$B$10,AD73&lt;Parametri!$B$10),ROW(),0))</f>
        <v>0</v>
      </c>
    </row>
    <row r="73" spans="1:34" x14ac:dyDescent="0.25">
      <c r="A73" s="41"/>
      <c r="B73" s="41"/>
      <c r="C73" s="13" t="str">
        <f t="shared" ref="C73:C104" si="30">IF(OR(A73="",B$4=""),"",B73/B$4)</f>
        <v/>
      </c>
      <c r="D73" s="23" t="str">
        <f t="shared" ref="D73:D108" si="31">IF(OR(A73="",A74="",A73&lt;=0),"",IFERROR(LN(B74/B73)/LN(A74/A73),""))</f>
        <v/>
      </c>
      <c r="E73" s="34" t="str">
        <f t="shared" ref="E73:E108" si="32">IF(OR(A73="",B$3="",A73&lt;=0),"",B73*A73/B$3)</f>
        <v/>
      </c>
      <c r="F73" s="18">
        <f>IF(OR(A73="",A74=""),0,IF(AND(A73&gt;=Parametri!$B$11,B73&gt;=Parametri!$B$10,B74&lt;Parametri!$B$10),ROW(),0))</f>
        <v>0</v>
      </c>
      <c r="H73" s="41"/>
      <c r="I73" s="41"/>
      <c r="J73" s="13" t="str">
        <f t="shared" ref="J73:J104" si="33">IF(OR(H73="",I$4=""),"",I73/I$4)</f>
        <v/>
      </c>
      <c r="K73" s="23" t="str">
        <f t="shared" ref="K73:K108" si="34">IF(OR(H73="",H74="",H73&lt;=0),"",IFERROR(LN(I74/I73)/LN(H74/H73),""))</f>
        <v/>
      </c>
      <c r="L73" s="34" t="str">
        <f t="shared" ref="L73:L108" si="35">IF(OR(H73="",I$3="",H73&lt;=0),"",I73*H73/I$3)</f>
        <v/>
      </c>
      <c r="M73" s="18">
        <f>IF(OR(H73="",H74=""),0,IF(AND(H73&gt;=Parametri!$B$11,I73&gt;=Parametri!$B$10,I74&lt;Parametri!$B$10),ROW(),0))</f>
        <v>0</v>
      </c>
      <c r="O73" s="41"/>
      <c r="P73" s="41"/>
      <c r="Q73" s="13" t="str">
        <f t="shared" ref="Q73:Q104" si="36">IF(OR(O73="",P$4=""),"",P73/P$4)</f>
        <v/>
      </c>
      <c r="R73" s="23" t="str">
        <f t="shared" ref="R73:R108" si="37">IF(OR(O73="",O74="",O73&lt;=0),"",IFERROR(LN(P74/P73)/LN(O74/O73),""))</f>
        <v/>
      </c>
      <c r="S73" s="34" t="str">
        <f t="shared" ref="S73:S108" si="38">IF(OR(O73="",P$3="",O73&lt;=0),"",P73*O73/P$3)</f>
        <v/>
      </c>
      <c r="T73" s="18">
        <f>IF(OR(O73="",O74=""),0,IF(AND(O73&gt;=Parametri!$B$11,P73&gt;=Parametri!$B$10,P74&lt;Parametri!$B$10),ROW(),0))</f>
        <v>0</v>
      </c>
      <c r="V73" s="41"/>
      <c r="W73" s="41"/>
      <c r="X73" s="13" t="str">
        <f t="shared" ref="X73:X104" si="39">IF(OR(V73="",W$4=""),"",W73/W$4)</f>
        <v/>
      </c>
      <c r="Y73" s="23" t="str">
        <f t="shared" ref="Y73:Y108" si="40">IF(OR(V73="",V74="",V73&lt;=0),"",IFERROR(LN(W74/W73)/LN(V74/V73),""))</f>
        <v/>
      </c>
      <c r="Z73" s="34" t="str">
        <f t="shared" ref="Z73:Z108" si="41">IF(OR(V73="",W$3="",V73&lt;=0),"",W73*V73/W$3)</f>
        <v/>
      </c>
      <c r="AA73" s="18">
        <f>IF(OR(V73="",V74=""),0,IF(AND(V73&gt;=Parametri!$B$11,W73&gt;=Parametri!$B$10,W74&lt;Parametri!$B$10),ROW(),0))</f>
        <v>0</v>
      </c>
      <c r="AC73" s="41"/>
      <c r="AD73" s="41"/>
      <c r="AE73" s="13" t="str">
        <f t="shared" ref="AE73:AE104" si="42">IF(OR(AC73="",AD$4=""),"",AD73/AD$4)</f>
        <v/>
      </c>
      <c r="AF73" s="23" t="str">
        <f t="shared" ref="AF73:AF108" si="43">IF(OR(AC73="",AC74="",AC73&lt;=0),"",IFERROR(LN(AD74/AD73)/LN(AC74/AC73),""))</f>
        <v/>
      </c>
      <c r="AG73" s="34" t="str">
        <f t="shared" ref="AG73:AG108" si="44">IF(OR(AC73="",AD$3="",AC73&lt;=0),"",AD73*AC73/AD$3)</f>
        <v/>
      </c>
      <c r="AH73" s="18">
        <f>IF(OR(AC73="",AC74=""),0,IF(AND(AC73&gt;=Parametri!$B$11,AD73&gt;=Parametri!$B$10,AD74&lt;Parametri!$B$10),ROW(),0))</f>
        <v>0</v>
      </c>
    </row>
    <row r="74" spans="1:34" x14ac:dyDescent="0.25">
      <c r="A74" s="41"/>
      <c r="B74" s="41"/>
      <c r="C74" s="13" t="str">
        <f t="shared" si="30"/>
        <v/>
      </c>
      <c r="D74" s="23" t="str">
        <f t="shared" si="31"/>
        <v/>
      </c>
      <c r="E74" s="34" t="str">
        <f t="shared" si="32"/>
        <v/>
      </c>
      <c r="F74" s="18">
        <f>IF(OR(A74="",A75=""),0,IF(AND(A74&gt;=Parametri!$B$11,B74&gt;=Parametri!$B$10,B75&lt;Parametri!$B$10),ROW(),0))</f>
        <v>0</v>
      </c>
      <c r="H74" s="41"/>
      <c r="I74" s="41"/>
      <c r="J74" s="13" t="str">
        <f t="shared" si="33"/>
        <v/>
      </c>
      <c r="K74" s="23" t="str">
        <f t="shared" si="34"/>
        <v/>
      </c>
      <c r="L74" s="34" t="str">
        <f t="shared" si="35"/>
        <v/>
      </c>
      <c r="M74" s="18">
        <f>IF(OR(H74="",H75=""),0,IF(AND(H74&gt;=Parametri!$B$11,I74&gt;=Parametri!$B$10,I75&lt;Parametri!$B$10),ROW(),0))</f>
        <v>0</v>
      </c>
      <c r="O74" s="41"/>
      <c r="P74" s="41"/>
      <c r="Q74" s="13" t="str">
        <f t="shared" si="36"/>
        <v/>
      </c>
      <c r="R74" s="23" t="str">
        <f t="shared" si="37"/>
        <v/>
      </c>
      <c r="S74" s="34" t="str">
        <f t="shared" si="38"/>
        <v/>
      </c>
      <c r="T74" s="18">
        <f>IF(OR(O74="",O75=""),0,IF(AND(O74&gt;=Parametri!$B$11,P74&gt;=Parametri!$B$10,P75&lt;Parametri!$B$10),ROW(),0))</f>
        <v>0</v>
      </c>
      <c r="V74" s="41"/>
      <c r="W74" s="41"/>
      <c r="X74" s="13" t="str">
        <f t="shared" si="39"/>
        <v/>
      </c>
      <c r="Y74" s="23" t="str">
        <f t="shared" si="40"/>
        <v/>
      </c>
      <c r="Z74" s="34" t="str">
        <f t="shared" si="41"/>
        <v/>
      </c>
      <c r="AA74" s="18">
        <f>IF(OR(V74="",V75=""),0,IF(AND(V74&gt;=Parametri!$B$11,W74&gt;=Parametri!$B$10,W75&lt;Parametri!$B$10),ROW(),0))</f>
        <v>0</v>
      </c>
      <c r="AC74" s="41"/>
      <c r="AD74" s="41"/>
      <c r="AE74" s="13" t="str">
        <f t="shared" si="42"/>
        <v/>
      </c>
      <c r="AF74" s="23" t="str">
        <f t="shared" si="43"/>
        <v/>
      </c>
      <c r="AG74" s="34" t="str">
        <f t="shared" si="44"/>
        <v/>
      </c>
      <c r="AH74" s="18">
        <f>IF(OR(AC74="",AC75=""),0,IF(AND(AC74&gt;=Parametri!$B$11,AD74&gt;=Parametri!$B$10,AD75&lt;Parametri!$B$10),ROW(),0))</f>
        <v>0</v>
      </c>
    </row>
    <row r="75" spans="1:34" x14ac:dyDescent="0.25">
      <c r="A75" s="41"/>
      <c r="B75" s="41"/>
      <c r="C75" s="13" t="str">
        <f t="shared" si="30"/>
        <v/>
      </c>
      <c r="D75" s="23" t="str">
        <f t="shared" si="31"/>
        <v/>
      </c>
      <c r="E75" s="34" t="str">
        <f t="shared" si="32"/>
        <v/>
      </c>
      <c r="F75" s="18">
        <f>IF(OR(A75="",A76=""),0,IF(AND(A75&gt;=Parametri!$B$11,B75&gt;=Parametri!$B$10,B76&lt;Parametri!$B$10),ROW(),0))</f>
        <v>0</v>
      </c>
      <c r="H75" s="41"/>
      <c r="I75" s="41"/>
      <c r="J75" s="13" t="str">
        <f t="shared" si="33"/>
        <v/>
      </c>
      <c r="K75" s="23" t="str">
        <f t="shared" si="34"/>
        <v/>
      </c>
      <c r="L75" s="34" t="str">
        <f t="shared" si="35"/>
        <v/>
      </c>
      <c r="M75" s="18">
        <f>IF(OR(H75="",H76=""),0,IF(AND(H75&gt;=Parametri!$B$11,I75&gt;=Parametri!$B$10,I76&lt;Parametri!$B$10),ROW(),0))</f>
        <v>0</v>
      </c>
      <c r="O75" s="41"/>
      <c r="P75" s="41"/>
      <c r="Q75" s="13" t="str">
        <f t="shared" si="36"/>
        <v/>
      </c>
      <c r="R75" s="23" t="str">
        <f t="shared" si="37"/>
        <v/>
      </c>
      <c r="S75" s="34" t="str">
        <f t="shared" si="38"/>
        <v/>
      </c>
      <c r="T75" s="18">
        <f>IF(OR(O75="",O76=""),0,IF(AND(O75&gt;=Parametri!$B$11,P75&gt;=Parametri!$B$10,P76&lt;Parametri!$B$10),ROW(),0))</f>
        <v>0</v>
      </c>
      <c r="V75" s="41"/>
      <c r="W75" s="41"/>
      <c r="X75" s="13" t="str">
        <f t="shared" si="39"/>
        <v/>
      </c>
      <c r="Y75" s="23" t="str">
        <f t="shared" si="40"/>
        <v/>
      </c>
      <c r="Z75" s="34" t="str">
        <f t="shared" si="41"/>
        <v/>
      </c>
      <c r="AA75" s="18">
        <f>IF(OR(V75="",V76=""),0,IF(AND(V75&gt;=Parametri!$B$11,W75&gt;=Parametri!$B$10,W76&lt;Parametri!$B$10),ROW(),0))</f>
        <v>0</v>
      </c>
      <c r="AC75" s="41"/>
      <c r="AD75" s="41"/>
      <c r="AE75" s="13" t="str">
        <f t="shared" si="42"/>
        <v/>
      </c>
      <c r="AF75" s="23" t="str">
        <f t="shared" si="43"/>
        <v/>
      </c>
      <c r="AG75" s="34" t="str">
        <f t="shared" si="44"/>
        <v/>
      </c>
      <c r="AH75" s="18">
        <f>IF(OR(AC75="",AC76=""),0,IF(AND(AC75&gt;=Parametri!$B$11,AD75&gt;=Parametri!$B$10,AD76&lt;Parametri!$B$10),ROW(),0))</f>
        <v>0</v>
      </c>
    </row>
    <row r="76" spans="1:34" x14ac:dyDescent="0.25">
      <c r="A76" s="41"/>
      <c r="B76" s="41"/>
      <c r="C76" s="13" t="str">
        <f t="shared" si="30"/>
        <v/>
      </c>
      <c r="D76" s="23" t="str">
        <f t="shared" si="31"/>
        <v/>
      </c>
      <c r="E76" s="34" t="str">
        <f t="shared" si="32"/>
        <v/>
      </c>
      <c r="F76" s="18">
        <f>IF(OR(A76="",A77=""),0,IF(AND(A76&gt;=Parametri!$B$11,B76&gt;=Parametri!$B$10,B77&lt;Parametri!$B$10),ROW(),0))</f>
        <v>0</v>
      </c>
      <c r="H76" s="41"/>
      <c r="I76" s="41"/>
      <c r="J76" s="13" t="str">
        <f t="shared" si="33"/>
        <v/>
      </c>
      <c r="K76" s="23" t="str">
        <f t="shared" si="34"/>
        <v/>
      </c>
      <c r="L76" s="34" t="str">
        <f t="shared" si="35"/>
        <v/>
      </c>
      <c r="M76" s="18">
        <f>IF(OR(H76="",H77=""),0,IF(AND(H76&gt;=Parametri!$B$11,I76&gt;=Parametri!$B$10,I77&lt;Parametri!$B$10),ROW(),0))</f>
        <v>0</v>
      </c>
      <c r="O76" s="41"/>
      <c r="P76" s="41"/>
      <c r="Q76" s="13" t="str">
        <f t="shared" si="36"/>
        <v/>
      </c>
      <c r="R76" s="23" t="str">
        <f t="shared" si="37"/>
        <v/>
      </c>
      <c r="S76" s="34" t="str">
        <f t="shared" si="38"/>
        <v/>
      </c>
      <c r="T76" s="18">
        <f>IF(OR(O76="",O77=""),0,IF(AND(O76&gt;=Parametri!$B$11,P76&gt;=Parametri!$B$10,P77&lt;Parametri!$B$10),ROW(),0))</f>
        <v>0</v>
      </c>
      <c r="V76" s="41"/>
      <c r="W76" s="41"/>
      <c r="X76" s="13" t="str">
        <f t="shared" si="39"/>
        <v/>
      </c>
      <c r="Y76" s="23" t="str">
        <f t="shared" si="40"/>
        <v/>
      </c>
      <c r="Z76" s="34" t="str">
        <f t="shared" si="41"/>
        <v/>
      </c>
      <c r="AA76" s="18">
        <f>IF(OR(V76="",V77=""),0,IF(AND(V76&gt;=Parametri!$B$11,W76&gt;=Parametri!$B$10,W77&lt;Parametri!$B$10),ROW(),0))</f>
        <v>0</v>
      </c>
      <c r="AC76" s="41"/>
      <c r="AD76" s="41"/>
      <c r="AE76" s="13" t="str">
        <f t="shared" si="42"/>
        <v/>
      </c>
      <c r="AF76" s="23" t="str">
        <f t="shared" si="43"/>
        <v/>
      </c>
      <c r="AG76" s="34" t="str">
        <f t="shared" si="44"/>
        <v/>
      </c>
      <c r="AH76" s="18">
        <f>IF(OR(AC76="",AC77=""),0,IF(AND(AC76&gt;=Parametri!$B$11,AD76&gt;=Parametri!$B$10,AD77&lt;Parametri!$B$10),ROW(),0))</f>
        <v>0</v>
      </c>
    </row>
    <row r="77" spans="1:34" x14ac:dyDescent="0.25">
      <c r="A77" s="41"/>
      <c r="B77" s="41"/>
      <c r="C77" s="13" t="str">
        <f t="shared" si="30"/>
        <v/>
      </c>
      <c r="D77" s="23" t="str">
        <f t="shared" si="31"/>
        <v/>
      </c>
      <c r="E77" s="34" t="str">
        <f t="shared" si="32"/>
        <v/>
      </c>
      <c r="F77" s="18">
        <f>IF(OR(A77="",A78=""),0,IF(AND(A77&gt;=Parametri!$B$11,B77&gt;=Parametri!$B$10,B78&lt;Parametri!$B$10),ROW(),0))</f>
        <v>0</v>
      </c>
      <c r="H77" s="41"/>
      <c r="I77" s="41"/>
      <c r="J77" s="13" t="str">
        <f t="shared" si="33"/>
        <v/>
      </c>
      <c r="K77" s="23" t="str">
        <f t="shared" si="34"/>
        <v/>
      </c>
      <c r="L77" s="34" t="str">
        <f t="shared" si="35"/>
        <v/>
      </c>
      <c r="M77" s="18">
        <f>IF(OR(H77="",H78=""),0,IF(AND(H77&gt;=Parametri!$B$11,I77&gt;=Parametri!$B$10,I78&lt;Parametri!$B$10),ROW(),0))</f>
        <v>0</v>
      </c>
      <c r="O77" s="41"/>
      <c r="P77" s="41"/>
      <c r="Q77" s="13" t="str">
        <f t="shared" si="36"/>
        <v/>
      </c>
      <c r="R77" s="23" t="str">
        <f t="shared" si="37"/>
        <v/>
      </c>
      <c r="S77" s="34" t="str">
        <f t="shared" si="38"/>
        <v/>
      </c>
      <c r="T77" s="18">
        <f>IF(OR(O77="",O78=""),0,IF(AND(O77&gt;=Parametri!$B$11,P77&gt;=Parametri!$B$10,P78&lt;Parametri!$B$10),ROW(),0))</f>
        <v>0</v>
      </c>
      <c r="V77" s="41"/>
      <c r="W77" s="41"/>
      <c r="X77" s="13" t="str">
        <f t="shared" si="39"/>
        <v/>
      </c>
      <c r="Y77" s="23" t="str">
        <f t="shared" si="40"/>
        <v/>
      </c>
      <c r="Z77" s="34" t="str">
        <f t="shared" si="41"/>
        <v/>
      </c>
      <c r="AA77" s="18">
        <f>IF(OR(V77="",V78=""),0,IF(AND(V77&gt;=Parametri!$B$11,W77&gt;=Parametri!$B$10,W78&lt;Parametri!$B$10),ROW(),0))</f>
        <v>0</v>
      </c>
      <c r="AC77" s="41"/>
      <c r="AD77" s="41"/>
      <c r="AE77" s="13" t="str">
        <f t="shared" si="42"/>
        <v/>
      </c>
      <c r="AF77" s="23" t="str">
        <f t="shared" si="43"/>
        <v/>
      </c>
      <c r="AG77" s="34" t="str">
        <f t="shared" si="44"/>
        <v/>
      </c>
      <c r="AH77" s="18">
        <f>IF(OR(AC77="",AC78=""),0,IF(AND(AC77&gt;=Parametri!$B$11,AD77&gt;=Parametri!$B$10,AD78&lt;Parametri!$B$10),ROW(),0))</f>
        <v>0</v>
      </c>
    </row>
    <row r="78" spans="1:34" x14ac:dyDescent="0.25">
      <c r="A78" s="41"/>
      <c r="B78" s="41"/>
      <c r="C78" s="13" t="str">
        <f t="shared" si="30"/>
        <v/>
      </c>
      <c r="D78" s="23" t="str">
        <f t="shared" si="31"/>
        <v/>
      </c>
      <c r="E78" s="34" t="str">
        <f t="shared" si="32"/>
        <v/>
      </c>
      <c r="F78" s="18">
        <f>IF(OR(A78="",A79=""),0,IF(AND(A78&gt;=Parametri!$B$11,B78&gt;=Parametri!$B$10,B79&lt;Parametri!$B$10),ROW(),0))</f>
        <v>0</v>
      </c>
      <c r="H78" s="41"/>
      <c r="I78" s="41"/>
      <c r="J78" s="13" t="str">
        <f t="shared" si="33"/>
        <v/>
      </c>
      <c r="K78" s="23" t="str">
        <f t="shared" si="34"/>
        <v/>
      </c>
      <c r="L78" s="34" t="str">
        <f t="shared" si="35"/>
        <v/>
      </c>
      <c r="M78" s="18">
        <f>IF(OR(H78="",H79=""),0,IF(AND(H78&gt;=Parametri!$B$11,I78&gt;=Parametri!$B$10,I79&lt;Parametri!$B$10),ROW(),0))</f>
        <v>0</v>
      </c>
      <c r="O78" s="41"/>
      <c r="P78" s="41"/>
      <c r="Q78" s="13" t="str">
        <f t="shared" si="36"/>
        <v/>
      </c>
      <c r="R78" s="23" t="str">
        <f t="shared" si="37"/>
        <v/>
      </c>
      <c r="S78" s="34" t="str">
        <f t="shared" si="38"/>
        <v/>
      </c>
      <c r="T78" s="18">
        <f>IF(OR(O78="",O79=""),0,IF(AND(O78&gt;=Parametri!$B$11,P78&gt;=Parametri!$B$10,P79&lt;Parametri!$B$10),ROW(),0))</f>
        <v>0</v>
      </c>
      <c r="V78" s="41"/>
      <c r="W78" s="41"/>
      <c r="X78" s="13" t="str">
        <f t="shared" si="39"/>
        <v/>
      </c>
      <c r="Y78" s="23" t="str">
        <f t="shared" si="40"/>
        <v/>
      </c>
      <c r="Z78" s="34" t="str">
        <f t="shared" si="41"/>
        <v/>
      </c>
      <c r="AA78" s="18">
        <f>IF(OR(V78="",V79=""),0,IF(AND(V78&gt;=Parametri!$B$11,W78&gt;=Parametri!$B$10,W79&lt;Parametri!$B$10),ROW(),0))</f>
        <v>0</v>
      </c>
      <c r="AC78" s="41"/>
      <c r="AD78" s="41"/>
      <c r="AE78" s="13" t="str">
        <f t="shared" si="42"/>
        <v/>
      </c>
      <c r="AF78" s="23" t="str">
        <f t="shared" si="43"/>
        <v/>
      </c>
      <c r="AG78" s="34" t="str">
        <f t="shared" si="44"/>
        <v/>
      </c>
      <c r="AH78" s="18">
        <f>IF(OR(AC78="",AC79=""),0,IF(AND(AC78&gt;=Parametri!$B$11,AD78&gt;=Parametri!$B$10,AD79&lt;Parametri!$B$10),ROW(),0))</f>
        <v>0</v>
      </c>
    </row>
    <row r="79" spans="1:34" x14ac:dyDescent="0.25">
      <c r="A79" s="41"/>
      <c r="B79" s="41"/>
      <c r="C79" s="13" t="str">
        <f t="shared" si="30"/>
        <v/>
      </c>
      <c r="D79" s="23" t="str">
        <f t="shared" si="31"/>
        <v/>
      </c>
      <c r="E79" s="34" t="str">
        <f t="shared" si="32"/>
        <v/>
      </c>
      <c r="F79" s="18">
        <f>IF(OR(A79="",A80=""),0,IF(AND(A79&gt;=Parametri!$B$11,B79&gt;=Parametri!$B$10,B80&lt;Parametri!$B$10),ROW(),0))</f>
        <v>0</v>
      </c>
      <c r="H79" s="41"/>
      <c r="I79" s="41"/>
      <c r="J79" s="13" t="str">
        <f t="shared" si="33"/>
        <v/>
      </c>
      <c r="K79" s="23" t="str">
        <f t="shared" si="34"/>
        <v/>
      </c>
      <c r="L79" s="34" t="str">
        <f t="shared" si="35"/>
        <v/>
      </c>
      <c r="M79" s="18">
        <f>IF(OR(H79="",H80=""),0,IF(AND(H79&gt;=Parametri!$B$11,I79&gt;=Parametri!$B$10,I80&lt;Parametri!$B$10),ROW(),0))</f>
        <v>0</v>
      </c>
      <c r="O79" s="41"/>
      <c r="P79" s="41"/>
      <c r="Q79" s="13" t="str">
        <f t="shared" si="36"/>
        <v/>
      </c>
      <c r="R79" s="23" t="str">
        <f t="shared" si="37"/>
        <v/>
      </c>
      <c r="S79" s="34" t="str">
        <f t="shared" si="38"/>
        <v/>
      </c>
      <c r="T79" s="18">
        <f>IF(OR(O79="",O80=""),0,IF(AND(O79&gt;=Parametri!$B$11,P79&gt;=Parametri!$B$10,P80&lt;Parametri!$B$10),ROW(),0))</f>
        <v>0</v>
      </c>
      <c r="V79" s="41"/>
      <c r="W79" s="41"/>
      <c r="X79" s="13" t="str">
        <f t="shared" si="39"/>
        <v/>
      </c>
      <c r="Y79" s="23" t="str">
        <f t="shared" si="40"/>
        <v/>
      </c>
      <c r="Z79" s="34" t="str">
        <f t="shared" si="41"/>
        <v/>
      </c>
      <c r="AA79" s="18">
        <f>IF(OR(V79="",V80=""),0,IF(AND(V79&gt;=Parametri!$B$11,W79&gt;=Parametri!$B$10,W80&lt;Parametri!$B$10),ROW(),0))</f>
        <v>0</v>
      </c>
      <c r="AC79" s="41"/>
      <c r="AD79" s="41"/>
      <c r="AE79" s="13" t="str">
        <f t="shared" si="42"/>
        <v/>
      </c>
      <c r="AF79" s="23" t="str">
        <f t="shared" si="43"/>
        <v/>
      </c>
      <c r="AG79" s="34" t="str">
        <f t="shared" si="44"/>
        <v/>
      </c>
      <c r="AH79" s="18">
        <f>IF(OR(AC79="",AC80=""),0,IF(AND(AC79&gt;=Parametri!$B$11,AD79&gt;=Parametri!$B$10,AD80&lt;Parametri!$B$10),ROW(),0))</f>
        <v>0</v>
      </c>
    </row>
    <row r="80" spans="1:34" x14ac:dyDescent="0.25">
      <c r="A80" s="41"/>
      <c r="B80" s="41"/>
      <c r="C80" s="13" t="str">
        <f t="shared" si="30"/>
        <v/>
      </c>
      <c r="D80" s="23" t="str">
        <f t="shared" si="31"/>
        <v/>
      </c>
      <c r="E80" s="34" t="str">
        <f t="shared" si="32"/>
        <v/>
      </c>
      <c r="F80" s="18">
        <f>IF(OR(A80="",A81=""),0,IF(AND(A80&gt;=Parametri!$B$11,B80&gt;=Parametri!$B$10,B81&lt;Parametri!$B$10),ROW(),0))</f>
        <v>0</v>
      </c>
      <c r="H80" s="41"/>
      <c r="I80" s="41"/>
      <c r="J80" s="13" t="str">
        <f t="shared" si="33"/>
        <v/>
      </c>
      <c r="K80" s="23" t="str">
        <f t="shared" si="34"/>
        <v/>
      </c>
      <c r="L80" s="34" t="str">
        <f t="shared" si="35"/>
        <v/>
      </c>
      <c r="M80" s="18">
        <f>IF(OR(H80="",H81=""),0,IF(AND(H80&gt;=Parametri!$B$11,I80&gt;=Parametri!$B$10,I81&lt;Parametri!$B$10),ROW(),0))</f>
        <v>0</v>
      </c>
      <c r="O80" s="41"/>
      <c r="P80" s="41"/>
      <c r="Q80" s="13" t="str">
        <f t="shared" si="36"/>
        <v/>
      </c>
      <c r="R80" s="23" t="str">
        <f t="shared" si="37"/>
        <v/>
      </c>
      <c r="S80" s="34" t="str">
        <f t="shared" si="38"/>
        <v/>
      </c>
      <c r="T80" s="18">
        <f>IF(OR(O80="",O81=""),0,IF(AND(O80&gt;=Parametri!$B$11,P80&gt;=Parametri!$B$10,P81&lt;Parametri!$B$10),ROW(),0))</f>
        <v>0</v>
      </c>
      <c r="V80" s="41"/>
      <c r="W80" s="41"/>
      <c r="X80" s="13" t="str">
        <f t="shared" si="39"/>
        <v/>
      </c>
      <c r="Y80" s="23" t="str">
        <f t="shared" si="40"/>
        <v/>
      </c>
      <c r="Z80" s="34" t="str">
        <f t="shared" si="41"/>
        <v/>
      </c>
      <c r="AA80" s="18">
        <f>IF(OR(V80="",V81=""),0,IF(AND(V80&gt;=Parametri!$B$11,W80&gt;=Parametri!$B$10,W81&lt;Parametri!$B$10),ROW(),0))</f>
        <v>0</v>
      </c>
      <c r="AC80" s="41"/>
      <c r="AD80" s="41"/>
      <c r="AE80" s="13" t="str">
        <f t="shared" si="42"/>
        <v/>
      </c>
      <c r="AF80" s="23" t="str">
        <f t="shared" si="43"/>
        <v/>
      </c>
      <c r="AG80" s="34" t="str">
        <f t="shared" si="44"/>
        <v/>
      </c>
      <c r="AH80" s="18">
        <f>IF(OR(AC80="",AC81=""),0,IF(AND(AC80&gt;=Parametri!$B$11,AD80&gt;=Parametri!$B$10,AD81&lt;Parametri!$B$10),ROW(),0))</f>
        <v>0</v>
      </c>
    </row>
    <row r="81" spans="1:34" x14ac:dyDescent="0.25">
      <c r="A81" s="41"/>
      <c r="B81" s="41"/>
      <c r="C81" s="13" t="str">
        <f t="shared" si="30"/>
        <v/>
      </c>
      <c r="D81" s="23" t="str">
        <f t="shared" si="31"/>
        <v/>
      </c>
      <c r="E81" s="34" t="str">
        <f t="shared" si="32"/>
        <v/>
      </c>
      <c r="F81" s="18">
        <f>IF(OR(A81="",A82=""),0,IF(AND(A81&gt;=Parametri!$B$11,B81&gt;=Parametri!$B$10,B82&lt;Parametri!$B$10),ROW(),0))</f>
        <v>0</v>
      </c>
      <c r="H81" s="41"/>
      <c r="I81" s="41"/>
      <c r="J81" s="13" t="str">
        <f t="shared" si="33"/>
        <v/>
      </c>
      <c r="K81" s="23" t="str">
        <f t="shared" si="34"/>
        <v/>
      </c>
      <c r="L81" s="34" t="str">
        <f t="shared" si="35"/>
        <v/>
      </c>
      <c r="M81" s="18">
        <f>IF(OR(H81="",H82=""),0,IF(AND(H81&gt;=Parametri!$B$11,I81&gt;=Parametri!$B$10,I82&lt;Parametri!$B$10),ROW(),0))</f>
        <v>0</v>
      </c>
      <c r="O81" s="41"/>
      <c r="P81" s="41"/>
      <c r="Q81" s="13" t="str">
        <f t="shared" si="36"/>
        <v/>
      </c>
      <c r="R81" s="23" t="str">
        <f t="shared" si="37"/>
        <v/>
      </c>
      <c r="S81" s="34" t="str">
        <f t="shared" si="38"/>
        <v/>
      </c>
      <c r="T81" s="18">
        <f>IF(OR(O81="",O82=""),0,IF(AND(O81&gt;=Parametri!$B$11,P81&gt;=Parametri!$B$10,P82&lt;Parametri!$B$10),ROW(),0))</f>
        <v>0</v>
      </c>
      <c r="V81" s="41"/>
      <c r="W81" s="41"/>
      <c r="X81" s="13" t="str">
        <f t="shared" si="39"/>
        <v/>
      </c>
      <c r="Y81" s="23" t="str">
        <f t="shared" si="40"/>
        <v/>
      </c>
      <c r="Z81" s="34" t="str">
        <f t="shared" si="41"/>
        <v/>
      </c>
      <c r="AA81" s="18">
        <f>IF(OR(V81="",V82=""),0,IF(AND(V81&gt;=Parametri!$B$11,W81&gt;=Parametri!$B$10,W82&lt;Parametri!$B$10),ROW(),0))</f>
        <v>0</v>
      </c>
      <c r="AC81" s="41"/>
      <c r="AD81" s="41"/>
      <c r="AE81" s="13" t="str">
        <f t="shared" si="42"/>
        <v/>
      </c>
      <c r="AF81" s="23" t="str">
        <f t="shared" si="43"/>
        <v/>
      </c>
      <c r="AG81" s="34" t="str">
        <f t="shared" si="44"/>
        <v/>
      </c>
      <c r="AH81" s="18">
        <f>IF(OR(AC81="",AC82=""),0,IF(AND(AC81&gt;=Parametri!$B$11,AD81&gt;=Parametri!$B$10,AD82&lt;Parametri!$B$10),ROW(),0))</f>
        <v>0</v>
      </c>
    </row>
    <row r="82" spans="1:34" x14ac:dyDescent="0.25">
      <c r="A82" s="41"/>
      <c r="B82" s="41"/>
      <c r="C82" s="13" t="str">
        <f t="shared" si="30"/>
        <v/>
      </c>
      <c r="D82" s="23" t="str">
        <f t="shared" si="31"/>
        <v/>
      </c>
      <c r="E82" s="34" t="str">
        <f t="shared" si="32"/>
        <v/>
      </c>
      <c r="F82" s="18">
        <f>IF(OR(A82="",A83=""),0,IF(AND(A82&gt;=Parametri!$B$11,B82&gt;=Parametri!$B$10,B83&lt;Parametri!$B$10),ROW(),0))</f>
        <v>0</v>
      </c>
      <c r="H82" s="41"/>
      <c r="I82" s="41"/>
      <c r="J82" s="13" t="str">
        <f t="shared" si="33"/>
        <v/>
      </c>
      <c r="K82" s="23" t="str">
        <f t="shared" si="34"/>
        <v/>
      </c>
      <c r="L82" s="34" t="str">
        <f t="shared" si="35"/>
        <v/>
      </c>
      <c r="M82" s="18">
        <f>IF(OR(H82="",H83=""),0,IF(AND(H82&gt;=Parametri!$B$11,I82&gt;=Parametri!$B$10,I83&lt;Parametri!$B$10),ROW(),0))</f>
        <v>0</v>
      </c>
      <c r="O82" s="41"/>
      <c r="P82" s="41"/>
      <c r="Q82" s="13" t="str">
        <f t="shared" si="36"/>
        <v/>
      </c>
      <c r="R82" s="23" t="str">
        <f t="shared" si="37"/>
        <v/>
      </c>
      <c r="S82" s="34" t="str">
        <f t="shared" si="38"/>
        <v/>
      </c>
      <c r="T82" s="18">
        <f>IF(OR(O82="",O83=""),0,IF(AND(O82&gt;=Parametri!$B$11,P82&gt;=Parametri!$B$10,P83&lt;Parametri!$B$10),ROW(),0))</f>
        <v>0</v>
      </c>
      <c r="V82" s="41"/>
      <c r="W82" s="41"/>
      <c r="X82" s="13" t="str">
        <f t="shared" si="39"/>
        <v/>
      </c>
      <c r="Y82" s="23" t="str">
        <f t="shared" si="40"/>
        <v/>
      </c>
      <c r="Z82" s="34" t="str">
        <f t="shared" si="41"/>
        <v/>
      </c>
      <c r="AA82" s="18">
        <f>IF(OR(V82="",V83=""),0,IF(AND(V82&gt;=Parametri!$B$11,W82&gt;=Parametri!$B$10,W83&lt;Parametri!$B$10),ROW(),0))</f>
        <v>0</v>
      </c>
      <c r="AC82" s="41"/>
      <c r="AD82" s="41"/>
      <c r="AE82" s="13" t="str">
        <f t="shared" si="42"/>
        <v/>
      </c>
      <c r="AF82" s="23" t="str">
        <f t="shared" si="43"/>
        <v/>
      </c>
      <c r="AG82" s="34" t="str">
        <f t="shared" si="44"/>
        <v/>
      </c>
      <c r="AH82" s="18">
        <f>IF(OR(AC82="",AC83=""),0,IF(AND(AC82&gt;=Parametri!$B$11,AD82&gt;=Parametri!$B$10,AD83&lt;Parametri!$B$10),ROW(),0))</f>
        <v>0</v>
      </c>
    </row>
    <row r="83" spans="1:34" x14ac:dyDescent="0.25">
      <c r="A83" s="41"/>
      <c r="B83" s="41"/>
      <c r="C83" s="13" t="str">
        <f t="shared" si="30"/>
        <v/>
      </c>
      <c r="D83" s="23" t="str">
        <f t="shared" si="31"/>
        <v/>
      </c>
      <c r="E83" s="34" t="str">
        <f t="shared" si="32"/>
        <v/>
      </c>
      <c r="F83" s="18">
        <f>IF(OR(A83="",A84=""),0,IF(AND(A83&gt;=Parametri!$B$11,B83&gt;=Parametri!$B$10,B84&lt;Parametri!$B$10),ROW(),0))</f>
        <v>0</v>
      </c>
      <c r="H83" s="41"/>
      <c r="I83" s="41"/>
      <c r="J83" s="13" t="str">
        <f t="shared" si="33"/>
        <v/>
      </c>
      <c r="K83" s="23" t="str">
        <f t="shared" si="34"/>
        <v/>
      </c>
      <c r="L83" s="34" t="str">
        <f t="shared" si="35"/>
        <v/>
      </c>
      <c r="M83" s="18">
        <f>IF(OR(H83="",H84=""),0,IF(AND(H83&gt;=Parametri!$B$11,I83&gt;=Parametri!$B$10,I84&lt;Parametri!$B$10),ROW(),0))</f>
        <v>0</v>
      </c>
      <c r="O83" s="41"/>
      <c r="P83" s="41"/>
      <c r="Q83" s="13" t="str">
        <f t="shared" si="36"/>
        <v/>
      </c>
      <c r="R83" s="23" t="str">
        <f t="shared" si="37"/>
        <v/>
      </c>
      <c r="S83" s="34" t="str">
        <f t="shared" si="38"/>
        <v/>
      </c>
      <c r="T83" s="18">
        <f>IF(OR(O83="",O84=""),0,IF(AND(O83&gt;=Parametri!$B$11,P83&gt;=Parametri!$B$10,P84&lt;Parametri!$B$10),ROW(),0))</f>
        <v>0</v>
      </c>
      <c r="V83" s="41"/>
      <c r="W83" s="41"/>
      <c r="X83" s="13" t="str">
        <f t="shared" si="39"/>
        <v/>
      </c>
      <c r="Y83" s="23" t="str">
        <f t="shared" si="40"/>
        <v/>
      </c>
      <c r="Z83" s="34" t="str">
        <f t="shared" si="41"/>
        <v/>
      </c>
      <c r="AA83" s="18">
        <f>IF(OR(V83="",V84=""),0,IF(AND(V83&gt;=Parametri!$B$11,W83&gt;=Parametri!$B$10,W84&lt;Parametri!$B$10),ROW(),0))</f>
        <v>0</v>
      </c>
      <c r="AC83" s="41"/>
      <c r="AD83" s="41"/>
      <c r="AE83" s="13" t="str">
        <f t="shared" si="42"/>
        <v/>
      </c>
      <c r="AF83" s="23" t="str">
        <f t="shared" si="43"/>
        <v/>
      </c>
      <c r="AG83" s="34" t="str">
        <f t="shared" si="44"/>
        <v/>
      </c>
      <c r="AH83" s="18">
        <f>IF(OR(AC83="",AC84=""),0,IF(AND(AC83&gt;=Parametri!$B$11,AD83&gt;=Parametri!$B$10,AD84&lt;Parametri!$B$10),ROW(),0))</f>
        <v>0</v>
      </c>
    </row>
    <row r="84" spans="1:34" x14ac:dyDescent="0.25">
      <c r="A84" s="41"/>
      <c r="B84" s="41"/>
      <c r="C84" s="13" t="str">
        <f t="shared" si="30"/>
        <v/>
      </c>
      <c r="D84" s="23" t="str">
        <f t="shared" si="31"/>
        <v/>
      </c>
      <c r="E84" s="34" t="str">
        <f t="shared" si="32"/>
        <v/>
      </c>
      <c r="F84" s="18">
        <f>IF(OR(A84="",A85=""),0,IF(AND(A84&gt;=Parametri!$B$11,B84&gt;=Parametri!$B$10,B85&lt;Parametri!$B$10),ROW(),0))</f>
        <v>0</v>
      </c>
      <c r="H84" s="41"/>
      <c r="I84" s="41"/>
      <c r="J84" s="13" t="str">
        <f t="shared" si="33"/>
        <v/>
      </c>
      <c r="K84" s="23" t="str">
        <f t="shared" si="34"/>
        <v/>
      </c>
      <c r="L84" s="34" t="str">
        <f t="shared" si="35"/>
        <v/>
      </c>
      <c r="M84" s="18">
        <f>IF(OR(H84="",H85=""),0,IF(AND(H84&gt;=Parametri!$B$11,I84&gt;=Parametri!$B$10,I85&lt;Parametri!$B$10),ROW(),0))</f>
        <v>0</v>
      </c>
      <c r="O84" s="41"/>
      <c r="P84" s="41"/>
      <c r="Q84" s="13" t="str">
        <f t="shared" si="36"/>
        <v/>
      </c>
      <c r="R84" s="23" t="str">
        <f t="shared" si="37"/>
        <v/>
      </c>
      <c r="S84" s="34" t="str">
        <f t="shared" si="38"/>
        <v/>
      </c>
      <c r="T84" s="18">
        <f>IF(OR(O84="",O85=""),0,IF(AND(O84&gt;=Parametri!$B$11,P84&gt;=Parametri!$B$10,P85&lt;Parametri!$B$10),ROW(),0))</f>
        <v>0</v>
      </c>
      <c r="V84" s="41"/>
      <c r="W84" s="41"/>
      <c r="X84" s="13" t="str">
        <f t="shared" si="39"/>
        <v/>
      </c>
      <c r="Y84" s="23" t="str">
        <f t="shared" si="40"/>
        <v/>
      </c>
      <c r="Z84" s="34" t="str">
        <f t="shared" si="41"/>
        <v/>
      </c>
      <c r="AA84" s="18">
        <f>IF(OR(V84="",V85=""),0,IF(AND(V84&gt;=Parametri!$B$11,W84&gt;=Parametri!$B$10,W85&lt;Parametri!$B$10),ROW(),0))</f>
        <v>0</v>
      </c>
      <c r="AC84" s="41"/>
      <c r="AD84" s="41"/>
      <c r="AE84" s="13" t="str">
        <f t="shared" si="42"/>
        <v/>
      </c>
      <c r="AF84" s="23" t="str">
        <f t="shared" si="43"/>
        <v/>
      </c>
      <c r="AG84" s="34" t="str">
        <f t="shared" si="44"/>
        <v/>
      </c>
      <c r="AH84" s="18">
        <f>IF(OR(AC84="",AC85=""),0,IF(AND(AC84&gt;=Parametri!$B$11,AD84&gt;=Parametri!$B$10,AD85&lt;Parametri!$B$10),ROW(),0))</f>
        <v>0</v>
      </c>
    </row>
    <row r="85" spans="1:34" x14ac:dyDescent="0.25">
      <c r="A85" s="41"/>
      <c r="B85" s="41"/>
      <c r="C85" s="13" t="str">
        <f t="shared" si="30"/>
        <v/>
      </c>
      <c r="D85" s="23" t="str">
        <f t="shared" si="31"/>
        <v/>
      </c>
      <c r="E85" s="34" t="str">
        <f t="shared" si="32"/>
        <v/>
      </c>
      <c r="F85" s="18">
        <f>IF(OR(A85="",A86=""),0,IF(AND(A85&gt;=Parametri!$B$11,B85&gt;=Parametri!$B$10,B86&lt;Parametri!$B$10),ROW(),0))</f>
        <v>0</v>
      </c>
      <c r="H85" s="41"/>
      <c r="I85" s="41"/>
      <c r="J85" s="13" t="str">
        <f t="shared" si="33"/>
        <v/>
      </c>
      <c r="K85" s="23" t="str">
        <f t="shared" si="34"/>
        <v/>
      </c>
      <c r="L85" s="34" t="str">
        <f t="shared" si="35"/>
        <v/>
      </c>
      <c r="M85" s="18">
        <f>IF(OR(H85="",H86=""),0,IF(AND(H85&gt;=Parametri!$B$11,I85&gt;=Parametri!$B$10,I86&lt;Parametri!$B$10),ROW(),0))</f>
        <v>0</v>
      </c>
      <c r="O85" s="41"/>
      <c r="P85" s="41"/>
      <c r="Q85" s="13" t="str">
        <f t="shared" si="36"/>
        <v/>
      </c>
      <c r="R85" s="23" t="str">
        <f t="shared" si="37"/>
        <v/>
      </c>
      <c r="S85" s="34" t="str">
        <f t="shared" si="38"/>
        <v/>
      </c>
      <c r="T85" s="18">
        <f>IF(OR(O85="",O86=""),0,IF(AND(O85&gt;=Parametri!$B$11,P85&gt;=Parametri!$B$10,P86&lt;Parametri!$B$10),ROW(),0))</f>
        <v>0</v>
      </c>
      <c r="V85" s="41"/>
      <c r="W85" s="41"/>
      <c r="X85" s="13" t="str">
        <f t="shared" si="39"/>
        <v/>
      </c>
      <c r="Y85" s="23" t="str">
        <f t="shared" si="40"/>
        <v/>
      </c>
      <c r="Z85" s="34" t="str">
        <f t="shared" si="41"/>
        <v/>
      </c>
      <c r="AA85" s="18">
        <f>IF(OR(V85="",V86=""),0,IF(AND(V85&gt;=Parametri!$B$11,W85&gt;=Parametri!$B$10,W86&lt;Parametri!$B$10),ROW(),0))</f>
        <v>0</v>
      </c>
      <c r="AC85" s="41"/>
      <c r="AD85" s="41"/>
      <c r="AE85" s="13" t="str">
        <f t="shared" si="42"/>
        <v/>
      </c>
      <c r="AF85" s="23" t="str">
        <f t="shared" si="43"/>
        <v/>
      </c>
      <c r="AG85" s="34" t="str">
        <f t="shared" si="44"/>
        <v/>
      </c>
      <c r="AH85" s="18">
        <f>IF(OR(AC85="",AC86=""),0,IF(AND(AC85&gt;=Parametri!$B$11,AD85&gt;=Parametri!$B$10,AD86&lt;Parametri!$B$10),ROW(),0))</f>
        <v>0</v>
      </c>
    </row>
    <row r="86" spans="1:34" x14ac:dyDescent="0.25">
      <c r="A86" s="41"/>
      <c r="B86" s="41"/>
      <c r="C86" s="13" t="str">
        <f t="shared" si="30"/>
        <v/>
      </c>
      <c r="D86" s="23" t="str">
        <f t="shared" si="31"/>
        <v/>
      </c>
      <c r="E86" s="34" t="str">
        <f t="shared" si="32"/>
        <v/>
      </c>
      <c r="F86" s="18">
        <f>IF(OR(A86="",A87=""),0,IF(AND(A86&gt;=Parametri!$B$11,B86&gt;=Parametri!$B$10,B87&lt;Parametri!$B$10),ROW(),0))</f>
        <v>0</v>
      </c>
      <c r="H86" s="41"/>
      <c r="I86" s="41"/>
      <c r="J86" s="13" t="str">
        <f t="shared" si="33"/>
        <v/>
      </c>
      <c r="K86" s="23" t="str">
        <f t="shared" si="34"/>
        <v/>
      </c>
      <c r="L86" s="34" t="str">
        <f t="shared" si="35"/>
        <v/>
      </c>
      <c r="M86" s="18">
        <f>IF(OR(H86="",H87=""),0,IF(AND(H86&gt;=Parametri!$B$11,I86&gt;=Parametri!$B$10,I87&lt;Parametri!$B$10),ROW(),0))</f>
        <v>0</v>
      </c>
      <c r="O86" s="41"/>
      <c r="P86" s="41"/>
      <c r="Q86" s="13" t="str">
        <f t="shared" si="36"/>
        <v/>
      </c>
      <c r="R86" s="23" t="str">
        <f t="shared" si="37"/>
        <v/>
      </c>
      <c r="S86" s="34" t="str">
        <f t="shared" si="38"/>
        <v/>
      </c>
      <c r="T86" s="18">
        <f>IF(OR(O86="",O87=""),0,IF(AND(O86&gt;=Parametri!$B$11,P86&gt;=Parametri!$B$10,P87&lt;Parametri!$B$10),ROW(),0))</f>
        <v>0</v>
      </c>
      <c r="V86" s="41"/>
      <c r="W86" s="41"/>
      <c r="X86" s="13" t="str">
        <f t="shared" si="39"/>
        <v/>
      </c>
      <c r="Y86" s="23" t="str">
        <f t="shared" si="40"/>
        <v/>
      </c>
      <c r="Z86" s="34" t="str">
        <f t="shared" si="41"/>
        <v/>
      </c>
      <c r="AA86" s="18">
        <f>IF(OR(V86="",V87=""),0,IF(AND(V86&gt;=Parametri!$B$11,W86&gt;=Parametri!$B$10,W87&lt;Parametri!$B$10),ROW(),0))</f>
        <v>0</v>
      </c>
      <c r="AC86" s="41"/>
      <c r="AD86" s="41"/>
      <c r="AE86" s="13" t="str">
        <f t="shared" si="42"/>
        <v/>
      </c>
      <c r="AF86" s="23" t="str">
        <f t="shared" si="43"/>
        <v/>
      </c>
      <c r="AG86" s="34" t="str">
        <f t="shared" si="44"/>
        <v/>
      </c>
      <c r="AH86" s="18">
        <f>IF(OR(AC86="",AC87=""),0,IF(AND(AC86&gt;=Parametri!$B$11,AD86&gt;=Parametri!$B$10,AD87&lt;Parametri!$B$10),ROW(),0))</f>
        <v>0</v>
      </c>
    </row>
    <row r="87" spans="1:34" x14ac:dyDescent="0.25">
      <c r="A87" s="41"/>
      <c r="B87" s="41"/>
      <c r="C87" s="13" t="str">
        <f t="shared" si="30"/>
        <v/>
      </c>
      <c r="D87" s="23" t="str">
        <f t="shared" si="31"/>
        <v/>
      </c>
      <c r="E87" s="34" t="str">
        <f t="shared" si="32"/>
        <v/>
      </c>
      <c r="F87" s="18">
        <f>IF(OR(A87="",A88=""),0,IF(AND(A87&gt;=Parametri!$B$11,B87&gt;=Parametri!$B$10,B88&lt;Parametri!$B$10),ROW(),0))</f>
        <v>0</v>
      </c>
      <c r="H87" s="41"/>
      <c r="I87" s="41"/>
      <c r="J87" s="13" t="str">
        <f t="shared" si="33"/>
        <v/>
      </c>
      <c r="K87" s="23" t="str">
        <f t="shared" si="34"/>
        <v/>
      </c>
      <c r="L87" s="34" t="str">
        <f t="shared" si="35"/>
        <v/>
      </c>
      <c r="M87" s="18">
        <f>IF(OR(H87="",H88=""),0,IF(AND(H87&gt;=Parametri!$B$11,I87&gt;=Parametri!$B$10,I88&lt;Parametri!$B$10),ROW(),0))</f>
        <v>0</v>
      </c>
      <c r="O87" s="41"/>
      <c r="P87" s="41"/>
      <c r="Q87" s="13" t="str">
        <f t="shared" si="36"/>
        <v/>
      </c>
      <c r="R87" s="23" t="str">
        <f t="shared" si="37"/>
        <v/>
      </c>
      <c r="S87" s="34" t="str">
        <f t="shared" si="38"/>
        <v/>
      </c>
      <c r="T87" s="18">
        <f>IF(OR(O87="",O88=""),0,IF(AND(O87&gt;=Parametri!$B$11,P87&gt;=Parametri!$B$10,P88&lt;Parametri!$B$10),ROW(),0))</f>
        <v>0</v>
      </c>
      <c r="V87" s="41"/>
      <c r="W87" s="41"/>
      <c r="X87" s="13" t="str">
        <f t="shared" si="39"/>
        <v/>
      </c>
      <c r="Y87" s="23" t="str">
        <f t="shared" si="40"/>
        <v/>
      </c>
      <c r="Z87" s="34" t="str">
        <f t="shared" si="41"/>
        <v/>
      </c>
      <c r="AA87" s="18">
        <f>IF(OR(V87="",V88=""),0,IF(AND(V87&gt;=Parametri!$B$11,W87&gt;=Parametri!$B$10,W88&lt;Parametri!$B$10),ROW(),0))</f>
        <v>0</v>
      </c>
      <c r="AC87" s="41"/>
      <c r="AD87" s="41"/>
      <c r="AE87" s="13" t="str">
        <f t="shared" si="42"/>
        <v/>
      </c>
      <c r="AF87" s="23" t="str">
        <f t="shared" si="43"/>
        <v/>
      </c>
      <c r="AG87" s="34" t="str">
        <f t="shared" si="44"/>
        <v/>
      </c>
      <c r="AH87" s="18">
        <f>IF(OR(AC87="",AC88=""),0,IF(AND(AC87&gt;=Parametri!$B$11,AD87&gt;=Parametri!$B$10,AD88&lt;Parametri!$B$10),ROW(),0))</f>
        <v>0</v>
      </c>
    </row>
    <row r="88" spans="1:34" x14ac:dyDescent="0.25">
      <c r="A88" s="41"/>
      <c r="B88" s="41"/>
      <c r="C88" s="13" t="str">
        <f t="shared" si="30"/>
        <v/>
      </c>
      <c r="D88" s="23" t="str">
        <f t="shared" si="31"/>
        <v/>
      </c>
      <c r="E88" s="34" t="str">
        <f t="shared" si="32"/>
        <v/>
      </c>
      <c r="F88" s="18">
        <f>IF(OR(A88="",A89=""),0,IF(AND(A88&gt;=Parametri!$B$11,B88&gt;=Parametri!$B$10,B89&lt;Parametri!$B$10),ROW(),0))</f>
        <v>0</v>
      </c>
      <c r="H88" s="41"/>
      <c r="I88" s="41"/>
      <c r="J88" s="13" t="str">
        <f t="shared" si="33"/>
        <v/>
      </c>
      <c r="K88" s="23" t="str">
        <f t="shared" si="34"/>
        <v/>
      </c>
      <c r="L88" s="34" t="str">
        <f t="shared" si="35"/>
        <v/>
      </c>
      <c r="M88" s="18">
        <f>IF(OR(H88="",H89=""),0,IF(AND(H88&gt;=Parametri!$B$11,I88&gt;=Parametri!$B$10,I89&lt;Parametri!$B$10),ROW(),0))</f>
        <v>0</v>
      </c>
      <c r="O88" s="41"/>
      <c r="P88" s="41"/>
      <c r="Q88" s="13" t="str">
        <f t="shared" si="36"/>
        <v/>
      </c>
      <c r="R88" s="23" t="str">
        <f t="shared" si="37"/>
        <v/>
      </c>
      <c r="S88" s="34" t="str">
        <f t="shared" si="38"/>
        <v/>
      </c>
      <c r="T88" s="18">
        <f>IF(OR(O88="",O89=""),0,IF(AND(O88&gt;=Parametri!$B$11,P88&gt;=Parametri!$B$10,P89&lt;Parametri!$B$10),ROW(),0))</f>
        <v>0</v>
      </c>
      <c r="V88" s="41"/>
      <c r="W88" s="41"/>
      <c r="X88" s="13" t="str">
        <f t="shared" si="39"/>
        <v/>
      </c>
      <c r="Y88" s="23" t="str">
        <f t="shared" si="40"/>
        <v/>
      </c>
      <c r="Z88" s="34" t="str">
        <f t="shared" si="41"/>
        <v/>
      </c>
      <c r="AA88" s="18">
        <f>IF(OR(V88="",V89=""),0,IF(AND(V88&gt;=Parametri!$B$11,W88&gt;=Parametri!$B$10,W89&lt;Parametri!$B$10),ROW(),0))</f>
        <v>0</v>
      </c>
      <c r="AC88" s="41"/>
      <c r="AD88" s="41"/>
      <c r="AE88" s="13" t="str">
        <f t="shared" si="42"/>
        <v/>
      </c>
      <c r="AF88" s="23" t="str">
        <f t="shared" si="43"/>
        <v/>
      </c>
      <c r="AG88" s="34" t="str">
        <f t="shared" si="44"/>
        <v/>
      </c>
      <c r="AH88" s="18">
        <f>IF(OR(AC88="",AC89=""),0,IF(AND(AC88&gt;=Parametri!$B$11,AD88&gt;=Parametri!$B$10,AD89&lt;Parametri!$B$10),ROW(),0))</f>
        <v>0</v>
      </c>
    </row>
    <row r="89" spans="1:34" x14ac:dyDescent="0.25">
      <c r="A89" s="41"/>
      <c r="B89" s="41"/>
      <c r="C89" s="13" t="str">
        <f t="shared" si="30"/>
        <v/>
      </c>
      <c r="D89" s="23" t="str">
        <f t="shared" si="31"/>
        <v/>
      </c>
      <c r="E89" s="34" t="str">
        <f t="shared" si="32"/>
        <v/>
      </c>
      <c r="F89" s="18">
        <f>IF(OR(A89="",A90=""),0,IF(AND(A89&gt;=Parametri!$B$11,B89&gt;=Parametri!$B$10,B90&lt;Parametri!$B$10),ROW(),0))</f>
        <v>0</v>
      </c>
      <c r="H89" s="41"/>
      <c r="I89" s="41"/>
      <c r="J89" s="13" t="str">
        <f t="shared" si="33"/>
        <v/>
      </c>
      <c r="K89" s="23" t="str">
        <f t="shared" si="34"/>
        <v/>
      </c>
      <c r="L89" s="34" t="str">
        <f t="shared" si="35"/>
        <v/>
      </c>
      <c r="M89" s="18">
        <f>IF(OR(H89="",H90=""),0,IF(AND(H89&gt;=Parametri!$B$11,I89&gt;=Parametri!$B$10,I90&lt;Parametri!$B$10),ROW(),0))</f>
        <v>0</v>
      </c>
      <c r="O89" s="41"/>
      <c r="P89" s="41"/>
      <c r="Q89" s="13" t="str">
        <f t="shared" si="36"/>
        <v/>
      </c>
      <c r="R89" s="23" t="str">
        <f t="shared" si="37"/>
        <v/>
      </c>
      <c r="S89" s="34" t="str">
        <f t="shared" si="38"/>
        <v/>
      </c>
      <c r="T89" s="18">
        <f>IF(OR(O89="",O90=""),0,IF(AND(O89&gt;=Parametri!$B$11,P89&gt;=Parametri!$B$10,P90&lt;Parametri!$B$10),ROW(),0))</f>
        <v>0</v>
      </c>
      <c r="V89" s="41"/>
      <c r="W89" s="41"/>
      <c r="X89" s="13" t="str">
        <f t="shared" si="39"/>
        <v/>
      </c>
      <c r="Y89" s="23" t="str">
        <f t="shared" si="40"/>
        <v/>
      </c>
      <c r="Z89" s="34" t="str">
        <f t="shared" si="41"/>
        <v/>
      </c>
      <c r="AA89" s="18">
        <f>IF(OR(V89="",V90=""),0,IF(AND(V89&gt;=Parametri!$B$11,W89&gt;=Parametri!$B$10,W90&lt;Parametri!$B$10),ROW(),0))</f>
        <v>0</v>
      </c>
      <c r="AC89" s="41"/>
      <c r="AD89" s="41"/>
      <c r="AE89" s="13" t="str">
        <f t="shared" si="42"/>
        <v/>
      </c>
      <c r="AF89" s="23" t="str">
        <f t="shared" si="43"/>
        <v/>
      </c>
      <c r="AG89" s="34" t="str">
        <f t="shared" si="44"/>
        <v/>
      </c>
      <c r="AH89" s="18">
        <f>IF(OR(AC89="",AC90=""),0,IF(AND(AC89&gt;=Parametri!$B$11,AD89&gt;=Parametri!$B$10,AD90&lt;Parametri!$B$10),ROW(),0))</f>
        <v>0</v>
      </c>
    </row>
    <row r="90" spans="1:34" x14ac:dyDescent="0.25">
      <c r="A90" s="41"/>
      <c r="B90" s="41"/>
      <c r="C90" s="13" t="str">
        <f t="shared" si="30"/>
        <v/>
      </c>
      <c r="D90" s="23" t="str">
        <f t="shared" si="31"/>
        <v/>
      </c>
      <c r="E90" s="34" t="str">
        <f t="shared" si="32"/>
        <v/>
      </c>
      <c r="F90" s="18">
        <f>IF(OR(A90="",A91=""),0,IF(AND(A90&gt;=Parametri!$B$11,B90&gt;=Parametri!$B$10,B91&lt;Parametri!$B$10),ROW(),0))</f>
        <v>0</v>
      </c>
      <c r="H90" s="41"/>
      <c r="I90" s="41"/>
      <c r="J90" s="13" t="str">
        <f t="shared" si="33"/>
        <v/>
      </c>
      <c r="K90" s="23" t="str">
        <f t="shared" si="34"/>
        <v/>
      </c>
      <c r="L90" s="34" t="str">
        <f t="shared" si="35"/>
        <v/>
      </c>
      <c r="M90" s="18">
        <f>IF(OR(H90="",H91=""),0,IF(AND(H90&gt;=Parametri!$B$11,I90&gt;=Parametri!$B$10,I91&lt;Parametri!$B$10),ROW(),0))</f>
        <v>0</v>
      </c>
      <c r="O90" s="41"/>
      <c r="P90" s="41"/>
      <c r="Q90" s="13" t="str">
        <f t="shared" si="36"/>
        <v/>
      </c>
      <c r="R90" s="23" t="str">
        <f t="shared" si="37"/>
        <v/>
      </c>
      <c r="S90" s="34" t="str">
        <f t="shared" si="38"/>
        <v/>
      </c>
      <c r="T90" s="18">
        <f>IF(OR(O90="",O91=""),0,IF(AND(O90&gt;=Parametri!$B$11,P90&gt;=Parametri!$B$10,P91&lt;Parametri!$B$10),ROW(),0))</f>
        <v>0</v>
      </c>
      <c r="V90" s="41"/>
      <c r="W90" s="41"/>
      <c r="X90" s="13" t="str">
        <f t="shared" si="39"/>
        <v/>
      </c>
      <c r="Y90" s="23" t="str">
        <f t="shared" si="40"/>
        <v/>
      </c>
      <c r="Z90" s="34" t="str">
        <f t="shared" si="41"/>
        <v/>
      </c>
      <c r="AA90" s="18">
        <f>IF(OR(V90="",V91=""),0,IF(AND(V90&gt;=Parametri!$B$11,W90&gt;=Parametri!$B$10,W91&lt;Parametri!$B$10),ROW(),0))</f>
        <v>0</v>
      </c>
      <c r="AC90" s="41"/>
      <c r="AD90" s="41"/>
      <c r="AE90" s="13" t="str">
        <f t="shared" si="42"/>
        <v/>
      </c>
      <c r="AF90" s="23" t="str">
        <f t="shared" si="43"/>
        <v/>
      </c>
      <c r="AG90" s="34" t="str">
        <f t="shared" si="44"/>
        <v/>
      </c>
      <c r="AH90" s="18">
        <f>IF(OR(AC90="",AC91=""),0,IF(AND(AC90&gt;=Parametri!$B$11,AD90&gt;=Parametri!$B$10,AD91&lt;Parametri!$B$10),ROW(),0))</f>
        <v>0</v>
      </c>
    </row>
    <row r="91" spans="1:34" x14ac:dyDescent="0.25">
      <c r="A91" s="41"/>
      <c r="B91" s="41"/>
      <c r="C91" s="13" t="str">
        <f t="shared" si="30"/>
        <v/>
      </c>
      <c r="D91" s="23" t="str">
        <f t="shared" si="31"/>
        <v/>
      </c>
      <c r="E91" s="34" t="str">
        <f t="shared" si="32"/>
        <v/>
      </c>
      <c r="F91" s="18">
        <f>IF(OR(A91="",A92=""),0,IF(AND(A91&gt;=Parametri!$B$11,B91&gt;=Parametri!$B$10,B92&lt;Parametri!$B$10),ROW(),0))</f>
        <v>0</v>
      </c>
      <c r="H91" s="41"/>
      <c r="I91" s="41"/>
      <c r="J91" s="13" t="str">
        <f t="shared" si="33"/>
        <v/>
      </c>
      <c r="K91" s="23" t="str">
        <f t="shared" si="34"/>
        <v/>
      </c>
      <c r="L91" s="34" t="str">
        <f t="shared" si="35"/>
        <v/>
      </c>
      <c r="M91" s="18">
        <f>IF(OR(H91="",H92=""),0,IF(AND(H91&gt;=Parametri!$B$11,I91&gt;=Parametri!$B$10,I92&lt;Parametri!$B$10),ROW(),0))</f>
        <v>0</v>
      </c>
      <c r="O91" s="41"/>
      <c r="P91" s="41"/>
      <c r="Q91" s="13" t="str">
        <f t="shared" si="36"/>
        <v/>
      </c>
      <c r="R91" s="23" t="str">
        <f t="shared" si="37"/>
        <v/>
      </c>
      <c r="S91" s="34" t="str">
        <f t="shared" si="38"/>
        <v/>
      </c>
      <c r="T91" s="18">
        <f>IF(OR(O91="",O92=""),0,IF(AND(O91&gt;=Parametri!$B$11,P91&gt;=Parametri!$B$10,P92&lt;Parametri!$B$10),ROW(),0))</f>
        <v>0</v>
      </c>
      <c r="V91" s="41"/>
      <c r="W91" s="41"/>
      <c r="X91" s="13" t="str">
        <f t="shared" si="39"/>
        <v/>
      </c>
      <c r="Y91" s="23" t="str">
        <f t="shared" si="40"/>
        <v/>
      </c>
      <c r="Z91" s="34" t="str">
        <f t="shared" si="41"/>
        <v/>
      </c>
      <c r="AA91" s="18">
        <f>IF(OR(V91="",V92=""),0,IF(AND(V91&gt;=Parametri!$B$11,W91&gt;=Parametri!$B$10,W92&lt;Parametri!$B$10),ROW(),0))</f>
        <v>0</v>
      </c>
      <c r="AC91" s="41"/>
      <c r="AD91" s="41"/>
      <c r="AE91" s="13" t="str">
        <f t="shared" si="42"/>
        <v/>
      </c>
      <c r="AF91" s="23" t="str">
        <f t="shared" si="43"/>
        <v/>
      </c>
      <c r="AG91" s="34" t="str">
        <f t="shared" si="44"/>
        <v/>
      </c>
      <c r="AH91" s="18">
        <f>IF(OR(AC91="",AC92=""),0,IF(AND(AC91&gt;=Parametri!$B$11,AD91&gt;=Parametri!$B$10,AD92&lt;Parametri!$B$10),ROW(),0))</f>
        <v>0</v>
      </c>
    </row>
    <row r="92" spans="1:34" x14ac:dyDescent="0.25">
      <c r="A92" s="41"/>
      <c r="B92" s="41"/>
      <c r="C92" s="13" t="str">
        <f t="shared" si="30"/>
        <v/>
      </c>
      <c r="D92" s="23" t="str">
        <f t="shared" si="31"/>
        <v/>
      </c>
      <c r="E92" s="34" t="str">
        <f t="shared" si="32"/>
        <v/>
      </c>
      <c r="F92" s="18">
        <f>IF(OR(A92="",A93=""),0,IF(AND(A92&gt;=Parametri!$B$11,B92&gt;=Parametri!$B$10,B93&lt;Parametri!$B$10),ROW(),0))</f>
        <v>0</v>
      </c>
      <c r="H92" s="41"/>
      <c r="I92" s="41"/>
      <c r="J92" s="13" t="str">
        <f t="shared" si="33"/>
        <v/>
      </c>
      <c r="K92" s="23" t="str">
        <f t="shared" si="34"/>
        <v/>
      </c>
      <c r="L92" s="34" t="str">
        <f t="shared" si="35"/>
        <v/>
      </c>
      <c r="M92" s="18">
        <f>IF(OR(H92="",H93=""),0,IF(AND(H92&gt;=Parametri!$B$11,I92&gt;=Parametri!$B$10,I93&lt;Parametri!$B$10),ROW(),0))</f>
        <v>0</v>
      </c>
      <c r="O92" s="41"/>
      <c r="P92" s="41"/>
      <c r="Q92" s="13" t="str">
        <f t="shared" si="36"/>
        <v/>
      </c>
      <c r="R92" s="23" t="str">
        <f t="shared" si="37"/>
        <v/>
      </c>
      <c r="S92" s="34" t="str">
        <f t="shared" si="38"/>
        <v/>
      </c>
      <c r="T92" s="18">
        <f>IF(OR(O92="",O93=""),0,IF(AND(O92&gt;=Parametri!$B$11,P92&gt;=Parametri!$B$10,P93&lt;Parametri!$B$10),ROW(),0))</f>
        <v>0</v>
      </c>
      <c r="V92" s="41"/>
      <c r="W92" s="41"/>
      <c r="X92" s="13" t="str">
        <f t="shared" si="39"/>
        <v/>
      </c>
      <c r="Y92" s="23" t="str">
        <f t="shared" si="40"/>
        <v/>
      </c>
      <c r="Z92" s="34" t="str">
        <f t="shared" si="41"/>
        <v/>
      </c>
      <c r="AA92" s="18">
        <f>IF(OR(V92="",V93=""),0,IF(AND(V92&gt;=Parametri!$B$11,W92&gt;=Parametri!$B$10,W93&lt;Parametri!$B$10),ROW(),0))</f>
        <v>0</v>
      </c>
      <c r="AC92" s="41"/>
      <c r="AD92" s="41"/>
      <c r="AE92" s="13" t="str">
        <f t="shared" si="42"/>
        <v/>
      </c>
      <c r="AF92" s="23" t="str">
        <f t="shared" si="43"/>
        <v/>
      </c>
      <c r="AG92" s="34" t="str">
        <f t="shared" si="44"/>
        <v/>
      </c>
      <c r="AH92" s="18">
        <f>IF(OR(AC92="",AC93=""),0,IF(AND(AC92&gt;=Parametri!$B$11,AD92&gt;=Parametri!$B$10,AD93&lt;Parametri!$B$10),ROW(),0))</f>
        <v>0</v>
      </c>
    </row>
    <row r="93" spans="1:34" x14ac:dyDescent="0.25">
      <c r="A93" s="41"/>
      <c r="B93" s="41"/>
      <c r="C93" s="13" t="str">
        <f t="shared" si="30"/>
        <v/>
      </c>
      <c r="D93" s="23" t="str">
        <f t="shared" si="31"/>
        <v/>
      </c>
      <c r="E93" s="34" t="str">
        <f t="shared" si="32"/>
        <v/>
      </c>
      <c r="F93" s="18">
        <f>IF(OR(A93="",A94=""),0,IF(AND(A93&gt;=Parametri!$B$11,B93&gt;=Parametri!$B$10,B94&lt;Parametri!$B$10),ROW(),0))</f>
        <v>0</v>
      </c>
      <c r="H93" s="41"/>
      <c r="I93" s="41"/>
      <c r="J93" s="13" t="str">
        <f t="shared" si="33"/>
        <v/>
      </c>
      <c r="K93" s="23" t="str">
        <f t="shared" si="34"/>
        <v/>
      </c>
      <c r="L93" s="34" t="str">
        <f t="shared" si="35"/>
        <v/>
      </c>
      <c r="M93" s="18">
        <f>IF(OR(H93="",H94=""),0,IF(AND(H93&gt;=Parametri!$B$11,I93&gt;=Parametri!$B$10,I94&lt;Parametri!$B$10),ROW(),0))</f>
        <v>0</v>
      </c>
      <c r="O93" s="41"/>
      <c r="P93" s="41"/>
      <c r="Q93" s="13" t="str">
        <f t="shared" si="36"/>
        <v/>
      </c>
      <c r="R93" s="23" t="str">
        <f t="shared" si="37"/>
        <v/>
      </c>
      <c r="S93" s="34" t="str">
        <f t="shared" si="38"/>
        <v/>
      </c>
      <c r="T93" s="18">
        <f>IF(OR(O93="",O94=""),0,IF(AND(O93&gt;=Parametri!$B$11,P93&gt;=Parametri!$B$10,P94&lt;Parametri!$B$10),ROW(),0))</f>
        <v>0</v>
      </c>
      <c r="V93" s="41"/>
      <c r="W93" s="41"/>
      <c r="X93" s="13" t="str">
        <f t="shared" si="39"/>
        <v/>
      </c>
      <c r="Y93" s="23" t="str">
        <f t="shared" si="40"/>
        <v/>
      </c>
      <c r="Z93" s="34" t="str">
        <f t="shared" si="41"/>
        <v/>
      </c>
      <c r="AA93" s="18">
        <f>IF(OR(V93="",V94=""),0,IF(AND(V93&gt;=Parametri!$B$11,W93&gt;=Parametri!$B$10,W94&lt;Parametri!$B$10),ROW(),0))</f>
        <v>0</v>
      </c>
      <c r="AC93" s="41"/>
      <c r="AD93" s="41"/>
      <c r="AE93" s="13" t="str">
        <f t="shared" si="42"/>
        <v/>
      </c>
      <c r="AF93" s="23" t="str">
        <f t="shared" si="43"/>
        <v/>
      </c>
      <c r="AG93" s="34" t="str">
        <f t="shared" si="44"/>
        <v/>
      </c>
      <c r="AH93" s="18">
        <f>IF(OR(AC93="",AC94=""),0,IF(AND(AC93&gt;=Parametri!$B$11,AD93&gt;=Parametri!$B$10,AD94&lt;Parametri!$B$10),ROW(),0))</f>
        <v>0</v>
      </c>
    </row>
    <row r="94" spans="1:34" x14ac:dyDescent="0.25">
      <c r="A94" s="41"/>
      <c r="B94" s="41"/>
      <c r="C94" s="13" t="str">
        <f t="shared" si="30"/>
        <v/>
      </c>
      <c r="D94" s="23" t="str">
        <f t="shared" si="31"/>
        <v/>
      </c>
      <c r="E94" s="34" t="str">
        <f t="shared" si="32"/>
        <v/>
      </c>
      <c r="F94" s="18">
        <f>IF(OR(A94="",A95=""),0,IF(AND(A94&gt;=Parametri!$B$11,B94&gt;=Parametri!$B$10,B95&lt;Parametri!$B$10),ROW(),0))</f>
        <v>0</v>
      </c>
      <c r="H94" s="41"/>
      <c r="I94" s="41"/>
      <c r="J94" s="13" t="str">
        <f t="shared" si="33"/>
        <v/>
      </c>
      <c r="K94" s="23" t="str">
        <f t="shared" si="34"/>
        <v/>
      </c>
      <c r="L94" s="34" t="str">
        <f t="shared" si="35"/>
        <v/>
      </c>
      <c r="M94" s="18">
        <f>IF(OR(H94="",H95=""),0,IF(AND(H94&gt;=Parametri!$B$11,I94&gt;=Parametri!$B$10,I95&lt;Parametri!$B$10),ROW(),0))</f>
        <v>0</v>
      </c>
      <c r="O94" s="41"/>
      <c r="P94" s="41"/>
      <c r="Q94" s="13" t="str">
        <f t="shared" si="36"/>
        <v/>
      </c>
      <c r="R94" s="23" t="str">
        <f t="shared" si="37"/>
        <v/>
      </c>
      <c r="S94" s="34" t="str">
        <f t="shared" si="38"/>
        <v/>
      </c>
      <c r="T94" s="18">
        <f>IF(OR(O94="",O95=""),0,IF(AND(O94&gt;=Parametri!$B$11,P94&gt;=Parametri!$B$10,P95&lt;Parametri!$B$10),ROW(),0))</f>
        <v>0</v>
      </c>
      <c r="V94" s="41"/>
      <c r="W94" s="41"/>
      <c r="X94" s="13" t="str">
        <f t="shared" si="39"/>
        <v/>
      </c>
      <c r="Y94" s="23" t="str">
        <f t="shared" si="40"/>
        <v/>
      </c>
      <c r="Z94" s="34" t="str">
        <f t="shared" si="41"/>
        <v/>
      </c>
      <c r="AA94" s="18">
        <f>IF(OR(V94="",V95=""),0,IF(AND(V94&gt;=Parametri!$B$11,W94&gt;=Parametri!$B$10,W95&lt;Parametri!$B$10),ROW(),0))</f>
        <v>0</v>
      </c>
      <c r="AC94" s="41"/>
      <c r="AD94" s="41"/>
      <c r="AE94" s="13" t="str">
        <f t="shared" si="42"/>
        <v/>
      </c>
      <c r="AF94" s="23" t="str">
        <f t="shared" si="43"/>
        <v/>
      </c>
      <c r="AG94" s="34" t="str">
        <f t="shared" si="44"/>
        <v/>
      </c>
      <c r="AH94" s="18">
        <f>IF(OR(AC94="",AC95=""),0,IF(AND(AC94&gt;=Parametri!$B$11,AD94&gt;=Parametri!$B$10,AD95&lt;Parametri!$B$10),ROW(),0))</f>
        <v>0</v>
      </c>
    </row>
    <row r="95" spans="1:34" x14ac:dyDescent="0.25">
      <c r="A95" s="41"/>
      <c r="B95" s="41"/>
      <c r="C95" s="13" t="str">
        <f t="shared" si="30"/>
        <v/>
      </c>
      <c r="D95" s="23" t="str">
        <f t="shared" si="31"/>
        <v/>
      </c>
      <c r="E95" s="34" t="str">
        <f t="shared" si="32"/>
        <v/>
      </c>
      <c r="F95" s="18">
        <f>IF(OR(A95="",A96=""),0,IF(AND(A95&gt;=Parametri!$B$11,B95&gt;=Parametri!$B$10,B96&lt;Parametri!$B$10),ROW(),0))</f>
        <v>0</v>
      </c>
      <c r="H95" s="41"/>
      <c r="I95" s="41"/>
      <c r="J95" s="13" t="str">
        <f t="shared" si="33"/>
        <v/>
      </c>
      <c r="K95" s="23" t="str">
        <f t="shared" si="34"/>
        <v/>
      </c>
      <c r="L95" s="34" t="str">
        <f t="shared" si="35"/>
        <v/>
      </c>
      <c r="M95" s="18">
        <f>IF(OR(H95="",H96=""),0,IF(AND(H95&gt;=Parametri!$B$11,I95&gt;=Parametri!$B$10,I96&lt;Parametri!$B$10),ROW(),0))</f>
        <v>0</v>
      </c>
      <c r="O95" s="41"/>
      <c r="P95" s="41"/>
      <c r="Q95" s="13" t="str">
        <f t="shared" si="36"/>
        <v/>
      </c>
      <c r="R95" s="23" t="str">
        <f t="shared" si="37"/>
        <v/>
      </c>
      <c r="S95" s="34" t="str">
        <f t="shared" si="38"/>
        <v/>
      </c>
      <c r="T95" s="18">
        <f>IF(OR(O95="",O96=""),0,IF(AND(O95&gt;=Parametri!$B$11,P95&gt;=Parametri!$B$10,P96&lt;Parametri!$B$10),ROW(),0))</f>
        <v>0</v>
      </c>
      <c r="V95" s="41"/>
      <c r="W95" s="41"/>
      <c r="X95" s="13" t="str">
        <f t="shared" si="39"/>
        <v/>
      </c>
      <c r="Y95" s="23" t="str">
        <f t="shared" si="40"/>
        <v/>
      </c>
      <c r="Z95" s="34" t="str">
        <f t="shared" si="41"/>
        <v/>
      </c>
      <c r="AA95" s="18">
        <f>IF(OR(V95="",V96=""),0,IF(AND(V95&gt;=Parametri!$B$11,W95&gt;=Parametri!$B$10,W96&lt;Parametri!$B$10),ROW(),0))</f>
        <v>0</v>
      </c>
      <c r="AC95" s="41"/>
      <c r="AD95" s="41"/>
      <c r="AE95" s="13" t="str">
        <f t="shared" si="42"/>
        <v/>
      </c>
      <c r="AF95" s="23" t="str">
        <f t="shared" si="43"/>
        <v/>
      </c>
      <c r="AG95" s="34" t="str">
        <f t="shared" si="44"/>
        <v/>
      </c>
      <c r="AH95" s="18">
        <f>IF(OR(AC95="",AC96=""),0,IF(AND(AC95&gt;=Parametri!$B$11,AD95&gt;=Parametri!$B$10,AD96&lt;Parametri!$B$10),ROW(),0))</f>
        <v>0</v>
      </c>
    </row>
    <row r="96" spans="1:34" x14ac:dyDescent="0.25">
      <c r="A96" s="41"/>
      <c r="B96" s="41"/>
      <c r="C96" s="13" t="str">
        <f t="shared" si="30"/>
        <v/>
      </c>
      <c r="D96" s="23" t="str">
        <f t="shared" si="31"/>
        <v/>
      </c>
      <c r="E96" s="34" t="str">
        <f t="shared" si="32"/>
        <v/>
      </c>
      <c r="F96" s="18">
        <f>IF(OR(A96="",A97=""),0,IF(AND(A96&gt;=Parametri!$B$11,B96&gt;=Parametri!$B$10,B97&lt;Parametri!$B$10),ROW(),0))</f>
        <v>0</v>
      </c>
      <c r="H96" s="41"/>
      <c r="I96" s="41"/>
      <c r="J96" s="13" t="str">
        <f t="shared" si="33"/>
        <v/>
      </c>
      <c r="K96" s="23" t="str">
        <f t="shared" si="34"/>
        <v/>
      </c>
      <c r="L96" s="34" t="str">
        <f t="shared" si="35"/>
        <v/>
      </c>
      <c r="M96" s="18">
        <f>IF(OR(H96="",H97=""),0,IF(AND(H96&gt;=Parametri!$B$11,I96&gt;=Parametri!$B$10,I97&lt;Parametri!$B$10),ROW(),0))</f>
        <v>0</v>
      </c>
      <c r="O96" s="41"/>
      <c r="P96" s="41"/>
      <c r="Q96" s="13" t="str">
        <f t="shared" si="36"/>
        <v/>
      </c>
      <c r="R96" s="23" t="str">
        <f t="shared" si="37"/>
        <v/>
      </c>
      <c r="S96" s="34" t="str">
        <f t="shared" si="38"/>
        <v/>
      </c>
      <c r="T96" s="18">
        <f>IF(OR(O96="",O97=""),0,IF(AND(O96&gt;=Parametri!$B$11,P96&gt;=Parametri!$B$10,P97&lt;Parametri!$B$10),ROW(),0))</f>
        <v>0</v>
      </c>
      <c r="V96" s="41"/>
      <c r="W96" s="41"/>
      <c r="X96" s="13" t="str">
        <f t="shared" si="39"/>
        <v/>
      </c>
      <c r="Y96" s="23" t="str">
        <f t="shared" si="40"/>
        <v/>
      </c>
      <c r="Z96" s="34" t="str">
        <f t="shared" si="41"/>
        <v/>
      </c>
      <c r="AA96" s="18">
        <f>IF(OR(V96="",V97=""),0,IF(AND(V96&gt;=Parametri!$B$11,W96&gt;=Parametri!$B$10,W97&lt;Parametri!$B$10),ROW(),0))</f>
        <v>0</v>
      </c>
      <c r="AC96" s="41"/>
      <c r="AD96" s="41"/>
      <c r="AE96" s="13" t="str">
        <f t="shared" si="42"/>
        <v/>
      </c>
      <c r="AF96" s="23" t="str">
        <f t="shared" si="43"/>
        <v/>
      </c>
      <c r="AG96" s="34" t="str">
        <f t="shared" si="44"/>
        <v/>
      </c>
      <c r="AH96" s="18">
        <f>IF(OR(AC96="",AC97=""),0,IF(AND(AC96&gt;=Parametri!$B$11,AD96&gt;=Parametri!$B$10,AD97&lt;Parametri!$B$10),ROW(),0))</f>
        <v>0</v>
      </c>
    </row>
    <row r="97" spans="1:34" x14ac:dyDescent="0.25">
      <c r="A97" s="41"/>
      <c r="B97" s="41"/>
      <c r="C97" s="13" t="str">
        <f t="shared" si="30"/>
        <v/>
      </c>
      <c r="D97" s="23" t="str">
        <f t="shared" si="31"/>
        <v/>
      </c>
      <c r="E97" s="34" t="str">
        <f t="shared" si="32"/>
        <v/>
      </c>
      <c r="F97" s="18">
        <f>IF(OR(A97="",A98=""),0,IF(AND(A97&gt;=Parametri!$B$11,B97&gt;=Parametri!$B$10,B98&lt;Parametri!$B$10),ROW(),0))</f>
        <v>0</v>
      </c>
      <c r="H97" s="41"/>
      <c r="I97" s="41"/>
      <c r="J97" s="13" t="str">
        <f t="shared" si="33"/>
        <v/>
      </c>
      <c r="K97" s="23" t="str">
        <f t="shared" si="34"/>
        <v/>
      </c>
      <c r="L97" s="34" t="str">
        <f t="shared" si="35"/>
        <v/>
      </c>
      <c r="M97" s="18">
        <f>IF(OR(H97="",H98=""),0,IF(AND(H97&gt;=Parametri!$B$11,I97&gt;=Parametri!$B$10,I98&lt;Parametri!$B$10),ROW(),0))</f>
        <v>0</v>
      </c>
      <c r="O97" s="41"/>
      <c r="P97" s="41"/>
      <c r="Q97" s="13" t="str">
        <f t="shared" si="36"/>
        <v/>
      </c>
      <c r="R97" s="23" t="str">
        <f t="shared" si="37"/>
        <v/>
      </c>
      <c r="S97" s="34" t="str">
        <f t="shared" si="38"/>
        <v/>
      </c>
      <c r="T97" s="18">
        <f>IF(OR(O97="",O98=""),0,IF(AND(O97&gt;=Parametri!$B$11,P97&gt;=Parametri!$B$10,P98&lt;Parametri!$B$10),ROW(),0))</f>
        <v>0</v>
      </c>
      <c r="V97" s="41"/>
      <c r="W97" s="41"/>
      <c r="X97" s="13" t="str">
        <f t="shared" si="39"/>
        <v/>
      </c>
      <c r="Y97" s="23" t="str">
        <f t="shared" si="40"/>
        <v/>
      </c>
      <c r="Z97" s="34" t="str">
        <f t="shared" si="41"/>
        <v/>
      </c>
      <c r="AA97" s="18">
        <f>IF(OR(V97="",V98=""),0,IF(AND(V97&gt;=Parametri!$B$11,W97&gt;=Parametri!$B$10,W98&lt;Parametri!$B$10),ROW(),0))</f>
        <v>0</v>
      </c>
      <c r="AC97" s="41"/>
      <c r="AD97" s="41"/>
      <c r="AE97" s="13" t="str">
        <f t="shared" si="42"/>
        <v/>
      </c>
      <c r="AF97" s="23" t="str">
        <f t="shared" si="43"/>
        <v/>
      </c>
      <c r="AG97" s="34" t="str">
        <f t="shared" si="44"/>
        <v/>
      </c>
      <c r="AH97" s="18">
        <f>IF(OR(AC97="",AC98=""),0,IF(AND(AC97&gt;=Parametri!$B$11,AD97&gt;=Parametri!$B$10,AD98&lt;Parametri!$B$10),ROW(),0))</f>
        <v>0</v>
      </c>
    </row>
    <row r="98" spans="1:34" x14ac:dyDescent="0.25">
      <c r="A98" s="41"/>
      <c r="B98" s="41"/>
      <c r="C98" s="13" t="str">
        <f t="shared" si="30"/>
        <v/>
      </c>
      <c r="D98" s="23" t="str">
        <f t="shared" si="31"/>
        <v/>
      </c>
      <c r="E98" s="34" t="str">
        <f t="shared" si="32"/>
        <v/>
      </c>
      <c r="F98" s="18">
        <f>IF(OR(A98="",A99=""),0,IF(AND(A98&gt;=Parametri!$B$11,B98&gt;=Parametri!$B$10,B99&lt;Parametri!$B$10),ROW(),0))</f>
        <v>0</v>
      </c>
      <c r="H98" s="41"/>
      <c r="I98" s="41"/>
      <c r="J98" s="13" t="str">
        <f t="shared" si="33"/>
        <v/>
      </c>
      <c r="K98" s="23" t="str">
        <f t="shared" si="34"/>
        <v/>
      </c>
      <c r="L98" s="34" t="str">
        <f t="shared" si="35"/>
        <v/>
      </c>
      <c r="M98" s="18">
        <f>IF(OR(H98="",H99=""),0,IF(AND(H98&gt;=Parametri!$B$11,I98&gt;=Parametri!$B$10,I99&lt;Parametri!$B$10),ROW(),0))</f>
        <v>0</v>
      </c>
      <c r="O98" s="41"/>
      <c r="P98" s="41"/>
      <c r="Q98" s="13" t="str">
        <f t="shared" si="36"/>
        <v/>
      </c>
      <c r="R98" s="23" t="str">
        <f t="shared" si="37"/>
        <v/>
      </c>
      <c r="S98" s="34" t="str">
        <f t="shared" si="38"/>
        <v/>
      </c>
      <c r="T98" s="18">
        <f>IF(OR(O98="",O99=""),0,IF(AND(O98&gt;=Parametri!$B$11,P98&gt;=Parametri!$B$10,P99&lt;Parametri!$B$10),ROW(),0))</f>
        <v>0</v>
      </c>
      <c r="V98" s="41"/>
      <c r="W98" s="41"/>
      <c r="X98" s="13" t="str">
        <f t="shared" si="39"/>
        <v/>
      </c>
      <c r="Y98" s="23" t="str">
        <f t="shared" si="40"/>
        <v/>
      </c>
      <c r="Z98" s="34" t="str">
        <f t="shared" si="41"/>
        <v/>
      </c>
      <c r="AA98" s="18">
        <f>IF(OR(V98="",V99=""),0,IF(AND(V98&gt;=Parametri!$B$11,W98&gt;=Parametri!$B$10,W99&lt;Parametri!$B$10),ROW(),0))</f>
        <v>0</v>
      </c>
      <c r="AC98" s="41"/>
      <c r="AD98" s="41"/>
      <c r="AE98" s="13" t="str">
        <f t="shared" si="42"/>
        <v/>
      </c>
      <c r="AF98" s="23" t="str">
        <f t="shared" si="43"/>
        <v/>
      </c>
      <c r="AG98" s="34" t="str">
        <f t="shared" si="44"/>
        <v/>
      </c>
      <c r="AH98" s="18">
        <f>IF(OR(AC98="",AC99=""),0,IF(AND(AC98&gt;=Parametri!$B$11,AD98&gt;=Parametri!$B$10,AD99&lt;Parametri!$B$10),ROW(),0))</f>
        <v>0</v>
      </c>
    </row>
    <row r="99" spans="1:34" x14ac:dyDescent="0.25">
      <c r="A99" s="41"/>
      <c r="B99" s="41"/>
      <c r="C99" s="13" t="str">
        <f t="shared" si="30"/>
        <v/>
      </c>
      <c r="D99" s="23" t="str">
        <f t="shared" si="31"/>
        <v/>
      </c>
      <c r="E99" s="34" t="str">
        <f t="shared" si="32"/>
        <v/>
      </c>
      <c r="F99" s="18">
        <f>IF(OR(A99="",A100=""),0,IF(AND(A99&gt;=Parametri!$B$11,B99&gt;=Parametri!$B$10,B100&lt;Parametri!$B$10),ROW(),0))</f>
        <v>0</v>
      </c>
      <c r="H99" s="41"/>
      <c r="I99" s="41"/>
      <c r="J99" s="13" t="str">
        <f t="shared" si="33"/>
        <v/>
      </c>
      <c r="K99" s="23" t="str">
        <f t="shared" si="34"/>
        <v/>
      </c>
      <c r="L99" s="34" t="str">
        <f t="shared" si="35"/>
        <v/>
      </c>
      <c r="M99" s="18">
        <f>IF(OR(H99="",H100=""),0,IF(AND(H99&gt;=Parametri!$B$11,I99&gt;=Parametri!$B$10,I100&lt;Parametri!$B$10),ROW(),0))</f>
        <v>0</v>
      </c>
      <c r="O99" s="41"/>
      <c r="P99" s="41"/>
      <c r="Q99" s="13" t="str">
        <f t="shared" si="36"/>
        <v/>
      </c>
      <c r="R99" s="23" t="str">
        <f t="shared" si="37"/>
        <v/>
      </c>
      <c r="S99" s="34" t="str">
        <f t="shared" si="38"/>
        <v/>
      </c>
      <c r="T99" s="18">
        <f>IF(OR(O99="",O100=""),0,IF(AND(O99&gt;=Parametri!$B$11,P99&gt;=Parametri!$B$10,P100&lt;Parametri!$B$10),ROW(),0))</f>
        <v>0</v>
      </c>
      <c r="V99" s="41"/>
      <c r="W99" s="41"/>
      <c r="X99" s="13" t="str">
        <f t="shared" si="39"/>
        <v/>
      </c>
      <c r="Y99" s="23" t="str">
        <f t="shared" si="40"/>
        <v/>
      </c>
      <c r="Z99" s="34" t="str">
        <f t="shared" si="41"/>
        <v/>
      </c>
      <c r="AA99" s="18">
        <f>IF(OR(V99="",V100=""),0,IF(AND(V99&gt;=Parametri!$B$11,W99&gt;=Parametri!$B$10,W100&lt;Parametri!$B$10),ROW(),0))</f>
        <v>0</v>
      </c>
      <c r="AC99" s="41"/>
      <c r="AD99" s="41"/>
      <c r="AE99" s="13" t="str">
        <f t="shared" si="42"/>
        <v/>
      </c>
      <c r="AF99" s="23" t="str">
        <f t="shared" si="43"/>
        <v/>
      </c>
      <c r="AG99" s="34" t="str">
        <f t="shared" si="44"/>
        <v/>
      </c>
      <c r="AH99" s="18">
        <f>IF(OR(AC99="",AC100=""),0,IF(AND(AC99&gt;=Parametri!$B$11,AD99&gt;=Parametri!$B$10,AD100&lt;Parametri!$B$10),ROW(),0))</f>
        <v>0</v>
      </c>
    </row>
    <row r="100" spans="1:34" x14ac:dyDescent="0.25">
      <c r="A100" s="41"/>
      <c r="B100" s="41"/>
      <c r="C100" s="13" t="str">
        <f t="shared" si="30"/>
        <v/>
      </c>
      <c r="D100" s="23" t="str">
        <f t="shared" si="31"/>
        <v/>
      </c>
      <c r="E100" s="34" t="str">
        <f t="shared" si="32"/>
        <v/>
      </c>
      <c r="F100" s="18">
        <f>IF(OR(A100="",A101=""),0,IF(AND(A100&gt;=Parametri!$B$11,B100&gt;=Parametri!$B$10,B101&lt;Parametri!$B$10),ROW(),0))</f>
        <v>0</v>
      </c>
      <c r="H100" s="41"/>
      <c r="I100" s="41"/>
      <c r="J100" s="13" t="str">
        <f t="shared" si="33"/>
        <v/>
      </c>
      <c r="K100" s="23" t="str">
        <f t="shared" si="34"/>
        <v/>
      </c>
      <c r="L100" s="34" t="str">
        <f t="shared" si="35"/>
        <v/>
      </c>
      <c r="M100" s="18">
        <f>IF(OR(H100="",H101=""),0,IF(AND(H100&gt;=Parametri!$B$11,I100&gt;=Parametri!$B$10,I101&lt;Parametri!$B$10),ROW(),0))</f>
        <v>0</v>
      </c>
      <c r="O100" s="41"/>
      <c r="P100" s="41"/>
      <c r="Q100" s="13" t="str">
        <f t="shared" si="36"/>
        <v/>
      </c>
      <c r="R100" s="23" t="str">
        <f t="shared" si="37"/>
        <v/>
      </c>
      <c r="S100" s="34" t="str">
        <f t="shared" si="38"/>
        <v/>
      </c>
      <c r="T100" s="18">
        <f>IF(OR(O100="",O101=""),0,IF(AND(O100&gt;=Parametri!$B$11,P100&gt;=Parametri!$B$10,P101&lt;Parametri!$B$10),ROW(),0))</f>
        <v>0</v>
      </c>
      <c r="V100" s="41"/>
      <c r="W100" s="41"/>
      <c r="X100" s="13" t="str">
        <f t="shared" si="39"/>
        <v/>
      </c>
      <c r="Y100" s="23" t="str">
        <f t="shared" si="40"/>
        <v/>
      </c>
      <c r="Z100" s="34" t="str">
        <f t="shared" si="41"/>
        <v/>
      </c>
      <c r="AA100" s="18">
        <f>IF(OR(V100="",V101=""),0,IF(AND(V100&gt;=Parametri!$B$11,W100&gt;=Parametri!$B$10,W101&lt;Parametri!$B$10),ROW(),0))</f>
        <v>0</v>
      </c>
      <c r="AC100" s="41"/>
      <c r="AD100" s="41"/>
      <c r="AE100" s="13" t="str">
        <f t="shared" si="42"/>
        <v/>
      </c>
      <c r="AF100" s="23" t="str">
        <f t="shared" si="43"/>
        <v/>
      </c>
      <c r="AG100" s="34" t="str">
        <f t="shared" si="44"/>
        <v/>
      </c>
      <c r="AH100" s="18">
        <f>IF(OR(AC100="",AC101=""),0,IF(AND(AC100&gt;=Parametri!$B$11,AD100&gt;=Parametri!$B$10,AD101&lt;Parametri!$B$10),ROW(),0))</f>
        <v>0</v>
      </c>
    </row>
    <row r="101" spans="1:34" x14ac:dyDescent="0.25">
      <c r="A101" s="41"/>
      <c r="B101" s="41"/>
      <c r="C101" s="13" t="str">
        <f t="shared" si="30"/>
        <v/>
      </c>
      <c r="D101" s="23" t="str">
        <f t="shared" si="31"/>
        <v/>
      </c>
      <c r="E101" s="34" t="str">
        <f t="shared" si="32"/>
        <v/>
      </c>
      <c r="F101" s="18">
        <f>IF(OR(A101="",A102=""),0,IF(AND(A101&gt;=Parametri!$B$11,B101&gt;=Parametri!$B$10,B102&lt;Parametri!$B$10),ROW(),0))</f>
        <v>0</v>
      </c>
      <c r="H101" s="41"/>
      <c r="I101" s="41"/>
      <c r="J101" s="13" t="str">
        <f t="shared" si="33"/>
        <v/>
      </c>
      <c r="K101" s="23" t="str">
        <f t="shared" si="34"/>
        <v/>
      </c>
      <c r="L101" s="34" t="str">
        <f t="shared" si="35"/>
        <v/>
      </c>
      <c r="M101" s="18">
        <f>IF(OR(H101="",H102=""),0,IF(AND(H101&gt;=Parametri!$B$11,I101&gt;=Parametri!$B$10,I102&lt;Parametri!$B$10),ROW(),0))</f>
        <v>0</v>
      </c>
      <c r="O101" s="41"/>
      <c r="P101" s="41"/>
      <c r="Q101" s="13" t="str">
        <f t="shared" si="36"/>
        <v/>
      </c>
      <c r="R101" s="23" t="str">
        <f t="shared" si="37"/>
        <v/>
      </c>
      <c r="S101" s="34" t="str">
        <f t="shared" si="38"/>
        <v/>
      </c>
      <c r="T101" s="18">
        <f>IF(OR(O101="",O102=""),0,IF(AND(O101&gt;=Parametri!$B$11,P101&gt;=Parametri!$B$10,P102&lt;Parametri!$B$10),ROW(),0))</f>
        <v>0</v>
      </c>
      <c r="V101" s="41"/>
      <c r="W101" s="41"/>
      <c r="X101" s="13" t="str">
        <f t="shared" si="39"/>
        <v/>
      </c>
      <c r="Y101" s="23" t="str">
        <f t="shared" si="40"/>
        <v/>
      </c>
      <c r="Z101" s="34" t="str">
        <f t="shared" si="41"/>
        <v/>
      </c>
      <c r="AA101" s="18">
        <f>IF(OR(V101="",V102=""),0,IF(AND(V101&gt;=Parametri!$B$11,W101&gt;=Parametri!$B$10,W102&lt;Parametri!$B$10),ROW(),0))</f>
        <v>0</v>
      </c>
      <c r="AC101" s="41"/>
      <c r="AD101" s="41"/>
      <c r="AE101" s="13" t="str">
        <f t="shared" si="42"/>
        <v/>
      </c>
      <c r="AF101" s="23" t="str">
        <f t="shared" si="43"/>
        <v/>
      </c>
      <c r="AG101" s="34" t="str">
        <f t="shared" si="44"/>
        <v/>
      </c>
      <c r="AH101" s="18">
        <f>IF(OR(AC101="",AC102=""),0,IF(AND(AC101&gt;=Parametri!$B$11,AD101&gt;=Parametri!$B$10,AD102&lt;Parametri!$B$10),ROW(),0))</f>
        <v>0</v>
      </c>
    </row>
    <row r="102" spans="1:34" x14ac:dyDescent="0.25">
      <c r="A102" s="41"/>
      <c r="B102" s="41"/>
      <c r="C102" s="13" t="str">
        <f t="shared" si="30"/>
        <v/>
      </c>
      <c r="D102" s="23" t="str">
        <f t="shared" si="31"/>
        <v/>
      </c>
      <c r="E102" s="34" t="str">
        <f t="shared" si="32"/>
        <v/>
      </c>
      <c r="F102" s="18">
        <f>IF(OR(A102="",A103=""),0,IF(AND(A102&gt;=Parametri!$B$11,B102&gt;=Parametri!$B$10,B103&lt;Parametri!$B$10),ROW(),0))</f>
        <v>0</v>
      </c>
      <c r="H102" s="41"/>
      <c r="I102" s="41"/>
      <c r="J102" s="13" t="str">
        <f t="shared" si="33"/>
        <v/>
      </c>
      <c r="K102" s="23" t="str">
        <f t="shared" si="34"/>
        <v/>
      </c>
      <c r="L102" s="34" t="str">
        <f t="shared" si="35"/>
        <v/>
      </c>
      <c r="M102" s="18">
        <f>IF(OR(H102="",H103=""),0,IF(AND(H102&gt;=Parametri!$B$11,I102&gt;=Parametri!$B$10,I103&lt;Parametri!$B$10),ROW(),0))</f>
        <v>0</v>
      </c>
      <c r="O102" s="41"/>
      <c r="P102" s="41"/>
      <c r="Q102" s="13" t="str">
        <f t="shared" si="36"/>
        <v/>
      </c>
      <c r="R102" s="23" t="str">
        <f t="shared" si="37"/>
        <v/>
      </c>
      <c r="S102" s="34" t="str">
        <f t="shared" si="38"/>
        <v/>
      </c>
      <c r="T102" s="18">
        <f>IF(OR(O102="",O103=""),0,IF(AND(O102&gt;=Parametri!$B$11,P102&gt;=Parametri!$B$10,P103&lt;Parametri!$B$10),ROW(),0))</f>
        <v>0</v>
      </c>
      <c r="V102" s="41"/>
      <c r="W102" s="41"/>
      <c r="X102" s="13" t="str">
        <f t="shared" si="39"/>
        <v/>
      </c>
      <c r="Y102" s="23" t="str">
        <f t="shared" si="40"/>
        <v/>
      </c>
      <c r="Z102" s="34" t="str">
        <f t="shared" si="41"/>
        <v/>
      </c>
      <c r="AA102" s="18">
        <f>IF(OR(V102="",V103=""),0,IF(AND(V102&gt;=Parametri!$B$11,W102&gt;=Parametri!$B$10,W103&lt;Parametri!$B$10),ROW(),0))</f>
        <v>0</v>
      </c>
      <c r="AC102" s="41"/>
      <c r="AD102" s="41"/>
      <c r="AE102" s="13" t="str">
        <f t="shared" si="42"/>
        <v/>
      </c>
      <c r="AF102" s="23" t="str">
        <f t="shared" si="43"/>
        <v/>
      </c>
      <c r="AG102" s="34" t="str">
        <f t="shared" si="44"/>
        <v/>
      </c>
      <c r="AH102" s="18">
        <f>IF(OR(AC102="",AC103=""),0,IF(AND(AC102&gt;=Parametri!$B$11,AD102&gt;=Parametri!$B$10,AD103&lt;Parametri!$B$10),ROW(),0))</f>
        <v>0</v>
      </c>
    </row>
    <row r="103" spans="1:34" x14ac:dyDescent="0.25">
      <c r="A103" s="41"/>
      <c r="B103" s="41"/>
      <c r="C103" s="13" t="str">
        <f t="shared" si="30"/>
        <v/>
      </c>
      <c r="D103" s="23" t="str">
        <f t="shared" si="31"/>
        <v/>
      </c>
      <c r="E103" s="34" t="str">
        <f t="shared" si="32"/>
        <v/>
      </c>
      <c r="F103" s="18">
        <f>IF(OR(A103="",A104=""),0,IF(AND(A103&gt;=Parametri!$B$11,B103&gt;=Parametri!$B$10,B104&lt;Parametri!$B$10),ROW(),0))</f>
        <v>0</v>
      </c>
      <c r="H103" s="41"/>
      <c r="I103" s="41"/>
      <c r="J103" s="13" t="str">
        <f t="shared" si="33"/>
        <v/>
      </c>
      <c r="K103" s="23" t="str">
        <f t="shared" si="34"/>
        <v/>
      </c>
      <c r="L103" s="34" t="str">
        <f t="shared" si="35"/>
        <v/>
      </c>
      <c r="M103" s="18">
        <f>IF(OR(H103="",H104=""),0,IF(AND(H103&gt;=Parametri!$B$11,I103&gt;=Parametri!$B$10,I104&lt;Parametri!$B$10),ROW(),0))</f>
        <v>0</v>
      </c>
      <c r="O103" s="41"/>
      <c r="P103" s="41"/>
      <c r="Q103" s="13" t="str">
        <f t="shared" si="36"/>
        <v/>
      </c>
      <c r="R103" s="23" t="str">
        <f t="shared" si="37"/>
        <v/>
      </c>
      <c r="S103" s="34" t="str">
        <f t="shared" si="38"/>
        <v/>
      </c>
      <c r="T103" s="18">
        <f>IF(OR(O103="",O104=""),0,IF(AND(O103&gt;=Parametri!$B$11,P103&gt;=Parametri!$B$10,P104&lt;Parametri!$B$10),ROW(),0))</f>
        <v>0</v>
      </c>
      <c r="V103" s="41"/>
      <c r="W103" s="41"/>
      <c r="X103" s="13" t="str">
        <f t="shared" si="39"/>
        <v/>
      </c>
      <c r="Y103" s="23" t="str">
        <f t="shared" si="40"/>
        <v/>
      </c>
      <c r="Z103" s="34" t="str">
        <f t="shared" si="41"/>
        <v/>
      </c>
      <c r="AA103" s="18">
        <f>IF(OR(V103="",V104=""),0,IF(AND(V103&gt;=Parametri!$B$11,W103&gt;=Parametri!$B$10,W104&lt;Parametri!$B$10),ROW(),0))</f>
        <v>0</v>
      </c>
      <c r="AC103" s="41"/>
      <c r="AD103" s="41"/>
      <c r="AE103" s="13" t="str">
        <f t="shared" si="42"/>
        <v/>
      </c>
      <c r="AF103" s="23" t="str">
        <f t="shared" si="43"/>
        <v/>
      </c>
      <c r="AG103" s="34" t="str">
        <f t="shared" si="44"/>
        <v/>
      </c>
      <c r="AH103" s="18">
        <f>IF(OR(AC103="",AC104=""),0,IF(AND(AC103&gt;=Parametri!$B$11,AD103&gt;=Parametri!$B$10,AD104&lt;Parametri!$B$10),ROW(),0))</f>
        <v>0</v>
      </c>
    </row>
    <row r="104" spans="1:34" x14ac:dyDescent="0.25">
      <c r="A104" s="41"/>
      <c r="B104" s="41"/>
      <c r="C104" s="13" t="str">
        <f t="shared" si="30"/>
        <v/>
      </c>
      <c r="D104" s="23" t="str">
        <f t="shared" si="31"/>
        <v/>
      </c>
      <c r="E104" s="34" t="str">
        <f t="shared" si="32"/>
        <v/>
      </c>
      <c r="F104" s="18">
        <f>IF(OR(A104="",A105=""),0,IF(AND(A104&gt;=Parametri!$B$11,B104&gt;=Parametri!$B$10,B105&lt;Parametri!$B$10),ROW(),0))</f>
        <v>0</v>
      </c>
      <c r="H104" s="41"/>
      <c r="I104" s="41"/>
      <c r="J104" s="13" t="str">
        <f t="shared" si="33"/>
        <v/>
      </c>
      <c r="K104" s="23" t="str">
        <f t="shared" si="34"/>
        <v/>
      </c>
      <c r="L104" s="34" t="str">
        <f t="shared" si="35"/>
        <v/>
      </c>
      <c r="M104" s="18">
        <f>IF(OR(H104="",H105=""),0,IF(AND(H104&gt;=Parametri!$B$11,I104&gt;=Parametri!$B$10,I105&lt;Parametri!$B$10),ROW(),0))</f>
        <v>0</v>
      </c>
      <c r="O104" s="41"/>
      <c r="P104" s="41"/>
      <c r="Q104" s="13" t="str">
        <f t="shared" si="36"/>
        <v/>
      </c>
      <c r="R104" s="23" t="str">
        <f t="shared" si="37"/>
        <v/>
      </c>
      <c r="S104" s="34" t="str">
        <f t="shared" si="38"/>
        <v/>
      </c>
      <c r="T104" s="18">
        <f>IF(OR(O104="",O105=""),0,IF(AND(O104&gt;=Parametri!$B$11,P104&gt;=Parametri!$B$10,P105&lt;Parametri!$B$10),ROW(),0))</f>
        <v>0</v>
      </c>
      <c r="V104" s="41"/>
      <c r="W104" s="41"/>
      <c r="X104" s="13" t="str">
        <f t="shared" si="39"/>
        <v/>
      </c>
      <c r="Y104" s="23" t="str">
        <f t="shared" si="40"/>
        <v/>
      </c>
      <c r="Z104" s="34" t="str">
        <f t="shared" si="41"/>
        <v/>
      </c>
      <c r="AA104" s="18">
        <f>IF(OR(V104="",V105=""),0,IF(AND(V104&gt;=Parametri!$B$11,W104&gt;=Parametri!$B$10,W105&lt;Parametri!$B$10),ROW(),0))</f>
        <v>0</v>
      </c>
      <c r="AC104" s="41"/>
      <c r="AD104" s="41"/>
      <c r="AE104" s="13" t="str">
        <f t="shared" si="42"/>
        <v/>
      </c>
      <c r="AF104" s="23" t="str">
        <f t="shared" si="43"/>
        <v/>
      </c>
      <c r="AG104" s="34" t="str">
        <f t="shared" si="44"/>
        <v/>
      </c>
      <c r="AH104" s="18">
        <f>IF(OR(AC104="",AC105=""),0,IF(AND(AC104&gt;=Parametri!$B$11,AD104&gt;=Parametri!$B$10,AD105&lt;Parametri!$B$10),ROW(),0))</f>
        <v>0</v>
      </c>
    </row>
    <row r="105" spans="1:34" x14ac:dyDescent="0.25">
      <c r="A105" s="41"/>
      <c r="B105" s="41"/>
      <c r="C105" s="13" t="str">
        <f t="shared" ref="C105:C136" si="45">IF(OR(A105="",B$4=""),"",B105/B$4)</f>
        <v/>
      </c>
      <c r="D105" s="23" t="str">
        <f t="shared" si="31"/>
        <v/>
      </c>
      <c r="E105" s="34" t="str">
        <f t="shared" si="32"/>
        <v/>
      </c>
      <c r="F105" s="18">
        <f>IF(OR(A105="",A106=""),0,IF(AND(A105&gt;=Parametri!$B$11,B105&gt;=Parametri!$B$10,B106&lt;Parametri!$B$10),ROW(),0))</f>
        <v>0</v>
      </c>
      <c r="H105" s="41"/>
      <c r="I105" s="41"/>
      <c r="J105" s="13" t="str">
        <f t="shared" ref="J105:J136" si="46">IF(OR(H105="",I$4=""),"",I105/I$4)</f>
        <v/>
      </c>
      <c r="K105" s="23" t="str">
        <f t="shared" si="34"/>
        <v/>
      </c>
      <c r="L105" s="34" t="str">
        <f t="shared" si="35"/>
        <v/>
      </c>
      <c r="M105" s="18">
        <f>IF(OR(H105="",H106=""),0,IF(AND(H105&gt;=Parametri!$B$11,I105&gt;=Parametri!$B$10,I106&lt;Parametri!$B$10),ROW(),0))</f>
        <v>0</v>
      </c>
      <c r="O105" s="41"/>
      <c r="P105" s="41"/>
      <c r="Q105" s="13" t="str">
        <f t="shared" ref="Q105:Q136" si="47">IF(OR(O105="",P$4=""),"",P105/P$4)</f>
        <v/>
      </c>
      <c r="R105" s="23" t="str">
        <f t="shared" si="37"/>
        <v/>
      </c>
      <c r="S105" s="34" t="str">
        <f t="shared" si="38"/>
        <v/>
      </c>
      <c r="T105" s="18">
        <f>IF(OR(O105="",O106=""),0,IF(AND(O105&gt;=Parametri!$B$11,P105&gt;=Parametri!$B$10,P106&lt;Parametri!$B$10),ROW(),0))</f>
        <v>0</v>
      </c>
      <c r="V105" s="41"/>
      <c r="W105" s="41"/>
      <c r="X105" s="13" t="str">
        <f t="shared" ref="X105:X136" si="48">IF(OR(V105="",W$4=""),"",W105/W$4)</f>
        <v/>
      </c>
      <c r="Y105" s="23" t="str">
        <f t="shared" si="40"/>
        <v/>
      </c>
      <c r="Z105" s="34" t="str">
        <f t="shared" si="41"/>
        <v/>
      </c>
      <c r="AA105" s="18">
        <f>IF(OR(V105="",V106=""),0,IF(AND(V105&gt;=Parametri!$B$11,W105&gt;=Parametri!$B$10,W106&lt;Parametri!$B$10),ROW(),0))</f>
        <v>0</v>
      </c>
      <c r="AC105" s="41"/>
      <c r="AD105" s="41"/>
      <c r="AE105" s="13" t="str">
        <f t="shared" ref="AE105:AE136" si="49">IF(OR(AC105="",AD$4=""),"",AD105/AD$4)</f>
        <v/>
      </c>
      <c r="AF105" s="23" t="str">
        <f t="shared" si="43"/>
        <v/>
      </c>
      <c r="AG105" s="34" t="str">
        <f t="shared" si="44"/>
        <v/>
      </c>
      <c r="AH105" s="18">
        <f>IF(OR(AC105="",AC106=""),0,IF(AND(AC105&gt;=Parametri!$B$11,AD105&gt;=Parametri!$B$10,AD106&lt;Parametri!$B$10),ROW(),0))</f>
        <v>0</v>
      </c>
    </row>
    <row r="106" spans="1:34" x14ac:dyDescent="0.25">
      <c r="A106" s="41"/>
      <c r="B106" s="41"/>
      <c r="C106" s="13" t="str">
        <f t="shared" si="45"/>
        <v/>
      </c>
      <c r="D106" s="23" t="str">
        <f t="shared" si="31"/>
        <v/>
      </c>
      <c r="E106" s="34" t="str">
        <f t="shared" si="32"/>
        <v/>
      </c>
      <c r="F106" s="18">
        <f>IF(OR(A106="",A107=""),0,IF(AND(A106&gt;=Parametri!$B$11,B106&gt;=Parametri!$B$10,B107&lt;Parametri!$B$10),ROW(),0))</f>
        <v>0</v>
      </c>
      <c r="H106" s="41"/>
      <c r="I106" s="41"/>
      <c r="J106" s="13" t="str">
        <f t="shared" si="46"/>
        <v/>
      </c>
      <c r="K106" s="23" t="str">
        <f t="shared" si="34"/>
        <v/>
      </c>
      <c r="L106" s="34" t="str">
        <f t="shared" si="35"/>
        <v/>
      </c>
      <c r="M106" s="18">
        <f>IF(OR(H106="",H107=""),0,IF(AND(H106&gt;=Parametri!$B$11,I106&gt;=Parametri!$B$10,I107&lt;Parametri!$B$10),ROW(),0))</f>
        <v>0</v>
      </c>
      <c r="O106" s="41"/>
      <c r="P106" s="41"/>
      <c r="Q106" s="13" t="str">
        <f t="shared" si="47"/>
        <v/>
      </c>
      <c r="R106" s="23" t="str">
        <f t="shared" si="37"/>
        <v/>
      </c>
      <c r="S106" s="34" t="str">
        <f t="shared" si="38"/>
        <v/>
      </c>
      <c r="T106" s="18">
        <f>IF(OR(O106="",O107=""),0,IF(AND(O106&gt;=Parametri!$B$11,P106&gt;=Parametri!$B$10,P107&lt;Parametri!$B$10),ROW(),0))</f>
        <v>0</v>
      </c>
      <c r="V106" s="41"/>
      <c r="W106" s="41"/>
      <c r="X106" s="13" t="str">
        <f t="shared" si="48"/>
        <v/>
      </c>
      <c r="Y106" s="23" t="str">
        <f t="shared" si="40"/>
        <v/>
      </c>
      <c r="Z106" s="34" t="str">
        <f t="shared" si="41"/>
        <v/>
      </c>
      <c r="AA106" s="18">
        <f>IF(OR(V106="",V107=""),0,IF(AND(V106&gt;=Parametri!$B$11,W106&gt;=Parametri!$B$10,W107&lt;Parametri!$B$10),ROW(),0))</f>
        <v>0</v>
      </c>
      <c r="AC106" s="41"/>
      <c r="AD106" s="41"/>
      <c r="AE106" s="13" t="str">
        <f t="shared" si="49"/>
        <v/>
      </c>
      <c r="AF106" s="23" t="str">
        <f t="shared" si="43"/>
        <v/>
      </c>
      <c r="AG106" s="34" t="str">
        <f t="shared" si="44"/>
        <v/>
      </c>
      <c r="AH106" s="18">
        <f>IF(OR(AC106="",AC107=""),0,IF(AND(AC106&gt;=Parametri!$B$11,AD106&gt;=Parametri!$B$10,AD107&lt;Parametri!$B$10),ROW(),0))</f>
        <v>0</v>
      </c>
    </row>
    <row r="107" spans="1:34" x14ac:dyDescent="0.25">
      <c r="A107" s="41"/>
      <c r="B107" s="41"/>
      <c r="C107" s="13" t="str">
        <f t="shared" si="45"/>
        <v/>
      </c>
      <c r="D107" s="23" t="str">
        <f t="shared" si="31"/>
        <v/>
      </c>
      <c r="E107" s="34" t="str">
        <f t="shared" si="32"/>
        <v/>
      </c>
      <c r="F107" s="18">
        <f>IF(OR(A107="",A108=""),0,IF(AND(A107&gt;=Parametri!$B$11,B107&gt;=Parametri!$B$10,B108&lt;Parametri!$B$10),ROW(),0))</f>
        <v>0</v>
      </c>
      <c r="H107" s="41"/>
      <c r="I107" s="41"/>
      <c r="J107" s="13" t="str">
        <f t="shared" si="46"/>
        <v/>
      </c>
      <c r="K107" s="23" t="str">
        <f t="shared" si="34"/>
        <v/>
      </c>
      <c r="L107" s="34" t="str">
        <f t="shared" si="35"/>
        <v/>
      </c>
      <c r="M107" s="18">
        <f>IF(OR(H107="",H108=""),0,IF(AND(H107&gt;=Parametri!$B$11,I107&gt;=Parametri!$B$10,I108&lt;Parametri!$B$10),ROW(),0))</f>
        <v>0</v>
      </c>
      <c r="O107" s="41"/>
      <c r="P107" s="41"/>
      <c r="Q107" s="13" t="str">
        <f t="shared" si="47"/>
        <v/>
      </c>
      <c r="R107" s="23" t="str">
        <f t="shared" si="37"/>
        <v/>
      </c>
      <c r="S107" s="34" t="str">
        <f t="shared" si="38"/>
        <v/>
      </c>
      <c r="T107" s="18">
        <f>IF(OR(O107="",O108=""),0,IF(AND(O107&gt;=Parametri!$B$11,P107&gt;=Parametri!$B$10,P108&lt;Parametri!$B$10),ROW(),0))</f>
        <v>0</v>
      </c>
      <c r="V107" s="41"/>
      <c r="W107" s="41"/>
      <c r="X107" s="13" t="str">
        <f t="shared" si="48"/>
        <v/>
      </c>
      <c r="Y107" s="23" t="str">
        <f t="shared" si="40"/>
        <v/>
      </c>
      <c r="Z107" s="34" t="str">
        <f t="shared" si="41"/>
        <v/>
      </c>
      <c r="AA107" s="18">
        <f>IF(OR(V107="",V108=""),0,IF(AND(V107&gt;=Parametri!$B$11,W107&gt;=Parametri!$B$10,W108&lt;Parametri!$B$10),ROW(),0))</f>
        <v>0</v>
      </c>
      <c r="AC107" s="41"/>
      <c r="AD107" s="41"/>
      <c r="AE107" s="13" t="str">
        <f t="shared" si="49"/>
        <v/>
      </c>
      <c r="AF107" s="23" t="str">
        <f t="shared" si="43"/>
        <v/>
      </c>
      <c r="AG107" s="34" t="str">
        <f t="shared" si="44"/>
        <v/>
      </c>
      <c r="AH107" s="18">
        <f>IF(OR(AC107="",AC108=""),0,IF(AND(AC107&gt;=Parametri!$B$11,AD107&gt;=Parametri!$B$10,AD108&lt;Parametri!$B$10),ROW(),0))</f>
        <v>0</v>
      </c>
    </row>
    <row r="108" spans="1:34" x14ac:dyDescent="0.25">
      <c r="A108" s="41"/>
      <c r="B108" s="41"/>
      <c r="C108" s="13" t="str">
        <f t="shared" si="45"/>
        <v/>
      </c>
      <c r="D108" s="23" t="str">
        <f t="shared" si="31"/>
        <v/>
      </c>
      <c r="E108" s="34" t="str">
        <f t="shared" si="32"/>
        <v/>
      </c>
      <c r="F108" s="18">
        <f>IF(OR(A108="",A109=""),0,IF(AND(A108&gt;=Parametri!$B$11,B108&gt;=Parametri!$B$10,B109&lt;Parametri!$B$10),ROW(),0))</f>
        <v>0</v>
      </c>
      <c r="H108" s="41"/>
      <c r="I108" s="41"/>
      <c r="J108" s="13" t="str">
        <f t="shared" si="46"/>
        <v/>
      </c>
      <c r="K108" s="23" t="str">
        <f t="shared" si="34"/>
        <v/>
      </c>
      <c r="L108" s="34" t="str">
        <f t="shared" si="35"/>
        <v/>
      </c>
      <c r="M108" s="18">
        <f>IF(OR(H108="",H109=""),0,IF(AND(H108&gt;=Parametri!$B$11,I108&gt;=Parametri!$B$10,I109&lt;Parametri!$B$10),ROW(),0))</f>
        <v>0</v>
      </c>
      <c r="O108" s="41"/>
      <c r="P108" s="41"/>
      <c r="Q108" s="13" t="str">
        <f t="shared" si="47"/>
        <v/>
      </c>
      <c r="R108" s="23" t="str">
        <f t="shared" si="37"/>
        <v/>
      </c>
      <c r="S108" s="34" t="str">
        <f t="shared" si="38"/>
        <v/>
      </c>
      <c r="T108" s="18">
        <f>IF(OR(O108="",O109=""),0,IF(AND(O108&gt;=Parametri!$B$11,P108&gt;=Parametri!$B$10,P109&lt;Parametri!$B$10),ROW(),0))</f>
        <v>0</v>
      </c>
      <c r="V108" s="41"/>
      <c r="W108" s="41"/>
      <c r="X108" s="13" t="str">
        <f t="shared" si="48"/>
        <v/>
      </c>
      <c r="Y108" s="23" t="str">
        <f t="shared" si="40"/>
        <v/>
      </c>
      <c r="Z108" s="34" t="str">
        <f t="shared" si="41"/>
        <v/>
      </c>
      <c r="AA108" s="18">
        <f>IF(OR(V108="",V109=""),0,IF(AND(V108&gt;=Parametri!$B$11,W108&gt;=Parametri!$B$10,W109&lt;Parametri!$B$10),ROW(),0))</f>
        <v>0</v>
      </c>
      <c r="AC108" s="41"/>
      <c r="AD108" s="41"/>
      <c r="AE108" s="13" t="str">
        <f t="shared" si="49"/>
        <v/>
      </c>
      <c r="AF108" s="23" t="str">
        <f t="shared" si="43"/>
        <v/>
      </c>
      <c r="AG108" s="34" t="str">
        <f t="shared" si="44"/>
        <v/>
      </c>
      <c r="AH108" s="18">
        <f>IF(OR(AC108="",AC109=""),0,IF(AND(AC108&gt;=Parametri!$B$11,AD108&gt;=Parametri!$B$10,AD109&lt;Parametri!$B$10),ROW(),0))</f>
        <v>0</v>
      </c>
    </row>
  </sheetData>
  <conditionalFormatting sqref="A9:F108">
    <cfRule type="expression" dxfId="23" priority="2">
      <formula>$F9&gt;0</formula>
    </cfRule>
  </conditionalFormatting>
  <conditionalFormatting sqref="H9:M108">
    <cfRule type="expression" dxfId="21" priority="4">
      <formula>$M9&gt;0</formula>
    </cfRule>
  </conditionalFormatting>
  <conditionalFormatting sqref="O9:T108">
    <cfRule type="expression" dxfId="19" priority="6">
      <formula>$T9&gt;0</formula>
    </cfRule>
  </conditionalFormatting>
  <conditionalFormatting sqref="AC9:AH108">
    <cfRule type="expression" dxfId="15" priority="10">
      <formula>$AH9&gt;0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C00-000003000000}">
            <xm:f>AND($A9&lt;&gt;"",$A9&gt;Parametri!$B$7)</xm:f>
            <x14:dxf>
              <fill>
                <patternFill>
                  <bgColor rgb="FFFCE4D6"/>
                </patternFill>
              </fill>
            </x14:dxf>
          </x14:cfRule>
          <xm:sqref>A9:F108</xm:sqref>
        </x14:conditionalFormatting>
        <x14:conditionalFormatting xmlns:xm="http://schemas.microsoft.com/office/excel/2006/main">
          <x14:cfRule type="expression" priority="5" id="{00000000-000E-0000-0C00-000005000000}">
            <xm:f>AND($H9&lt;&gt;"",$H9&gt;Parametri!$B$7)</xm:f>
            <x14:dxf>
              <fill>
                <patternFill>
                  <bgColor rgb="FFFCE4D6"/>
                </patternFill>
              </fill>
            </x14:dxf>
          </x14:cfRule>
          <xm:sqref>H9:M108</xm:sqref>
        </x14:conditionalFormatting>
        <x14:conditionalFormatting xmlns:xm="http://schemas.microsoft.com/office/excel/2006/main">
          <x14:cfRule type="expression" priority="7" id="{00000000-000E-0000-0C00-000007000000}">
            <xm:f>AND($O9&lt;&gt;"",$O9&gt;Parametri!$B$7)</xm:f>
            <x14:dxf>
              <fill>
                <patternFill>
                  <bgColor rgb="FFFCE4D6"/>
                </patternFill>
              </fill>
            </x14:dxf>
          </x14:cfRule>
          <xm:sqref>O9:T108</xm:sqref>
        </x14:conditionalFormatting>
        <x14:conditionalFormatting xmlns:xm="http://schemas.microsoft.com/office/excel/2006/main">
          <x14:cfRule type="expression" priority="8" id="{00000000-000E-0000-0C00-000008000000}">
            <xm:f>AND($V9&lt;&gt;"",$V9&gt;Parametri!$B$7)</xm:f>
            <x14:dxf>
              <fill>
                <patternFill>
                  <bgColor rgb="FFFCE4D6"/>
                </patternFill>
              </fill>
            </x14:dxf>
          </x14:cfRule>
          <xm:sqref>V9:AA108</xm:sqref>
        </x14:conditionalFormatting>
        <x14:conditionalFormatting xmlns:xm="http://schemas.microsoft.com/office/excel/2006/main">
          <x14:cfRule type="expression" priority="9" id="{00000000-000E-0000-0C00-000009000000}">
            <xm:f>AND($AC9&lt;&gt;"",$AC9&gt;Parametri!$B$7)</xm:f>
            <x14:dxf>
              <fill>
                <patternFill>
                  <bgColor rgb="FFFCE4D6"/>
                </patternFill>
              </fill>
            </x14:dxf>
          </x14:cfRule>
          <xm:sqref>AC9:AH108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3" customWidth="1"/>
    <col min="3" max="3" width="9" customWidth="1"/>
    <col min="4" max="5" width="11" customWidth="1"/>
    <col min="6" max="6" width="10" customWidth="1"/>
    <col min="7" max="7" width="3" customWidth="1"/>
    <col min="8" max="8" width="10" customWidth="1"/>
    <col min="9" max="9" width="13" customWidth="1"/>
    <col min="10" max="10" width="9" customWidth="1"/>
    <col min="11" max="12" width="11" customWidth="1"/>
    <col min="13" max="13" width="10" customWidth="1"/>
    <col min="14" max="14" width="3" customWidth="1"/>
    <col min="15" max="15" width="10" customWidth="1"/>
    <col min="16" max="16" width="13" customWidth="1"/>
    <col min="17" max="17" width="9" customWidth="1"/>
    <col min="18" max="19" width="11" customWidth="1"/>
    <col min="20" max="20" width="10" customWidth="1"/>
    <col min="21" max="21" width="3" customWidth="1"/>
    <col min="22" max="22" width="10" customWidth="1"/>
    <col min="23" max="23" width="13" customWidth="1"/>
    <col min="24" max="24" width="9" customWidth="1"/>
    <col min="25" max="26" width="11" customWidth="1"/>
    <col min="27" max="27" width="10" customWidth="1"/>
    <col min="28" max="28" width="3" customWidth="1"/>
    <col min="29" max="29" width="10" customWidth="1"/>
    <col min="30" max="30" width="13" customWidth="1"/>
    <col min="31" max="31" width="9" customWidth="1"/>
    <col min="32" max="33" width="11" customWidth="1"/>
    <col min="34" max="34" width="10" customWidth="1"/>
    <col min="35" max="35" width="3" customWidth="1"/>
  </cols>
  <sheetData>
    <row r="1" spans="1:34" ht="18" customHeight="1" x14ac:dyDescent="0.25">
      <c r="A1" s="2" t="s">
        <v>215</v>
      </c>
    </row>
    <row r="2" spans="1:34" x14ac:dyDescent="0.25">
      <c r="A2" s="3" t="s">
        <v>216</v>
      </c>
    </row>
    <row r="3" spans="1:34" x14ac:dyDescent="0.25">
      <c r="A3" s="16" t="s">
        <v>59</v>
      </c>
      <c r="B3" s="12">
        <v>80</v>
      </c>
      <c r="H3" s="16" t="s">
        <v>59</v>
      </c>
      <c r="I3" s="12">
        <v>150</v>
      </c>
      <c r="O3" s="16" t="s">
        <v>59</v>
      </c>
      <c r="P3" s="12">
        <v>250</v>
      </c>
      <c r="V3" s="16" t="s">
        <v>59</v>
      </c>
      <c r="W3" s="12">
        <v>300</v>
      </c>
      <c r="AC3" s="16" t="s">
        <v>59</v>
      </c>
      <c r="AD3" s="12"/>
    </row>
    <row r="4" spans="1:34" ht="25.5" customHeight="1" x14ac:dyDescent="0.25">
      <c r="A4" s="16" t="s">
        <v>160</v>
      </c>
      <c r="B4" s="13">
        <f>IF(COUNT(B9:B108)=0,"",MAX(B9:B108))</f>
        <v>0.77381648000000003</v>
      </c>
      <c r="H4" s="16" t="s">
        <v>160</v>
      </c>
      <c r="I4" s="13">
        <f>IF(COUNT(I9:I108)=0,"",MAX(I9:I108))</f>
        <v>1.4163390280000001</v>
      </c>
      <c r="O4" s="16" t="s">
        <v>160</v>
      </c>
      <c r="P4" s="13">
        <f>IF(COUNT(P9:P108)=0,"",MAX(P9:P108))</f>
        <v>2.388173777</v>
      </c>
      <c r="V4" s="16" t="s">
        <v>160</v>
      </c>
      <c r="W4" s="13">
        <f>IF(COUNT(W9:W108)=0,"",MAX(W9:W108))</f>
        <v>2.887772</v>
      </c>
      <c r="AC4" s="16" t="s">
        <v>160</v>
      </c>
      <c r="AD4" s="13" t="str">
        <f>IF(COUNT(AD9:AD108)=0,"",MAX(AD9:AD108))</f>
        <v/>
      </c>
    </row>
    <row r="5" spans="1:34" ht="25.5" customHeight="1" x14ac:dyDescent="0.25">
      <c r="A5" s="16" t="s">
        <v>159</v>
      </c>
      <c r="B5" s="13">
        <f>IF(B3="","",B3/3600/Parametri!$C$19)</f>
        <v>0.37037037037037041</v>
      </c>
      <c r="H5" s="16" t="s">
        <v>159</v>
      </c>
      <c r="I5" s="13">
        <f>IF(I3="","",I3/3600/Parametri!$C$19)</f>
        <v>0.69444444444444442</v>
      </c>
      <c r="O5" s="16" t="s">
        <v>159</v>
      </c>
      <c r="P5" s="13">
        <f>IF(P3="","",P3/3600/Parametri!$C$19)</f>
        <v>1.1574074074074074</v>
      </c>
      <c r="V5" s="16" t="s">
        <v>159</v>
      </c>
      <c r="W5" s="13">
        <f>IF(W3="","",W3/3600/Parametri!$C$19)</f>
        <v>1.3888888888888888</v>
      </c>
      <c r="AC5" s="16" t="s">
        <v>159</v>
      </c>
      <c r="AD5" s="13" t="str">
        <f>IF(AD3="","",AD3/3600/Parametri!$C$19)</f>
        <v/>
      </c>
    </row>
    <row r="6" spans="1:34" ht="25.5" customHeight="1" x14ac:dyDescent="0.25">
      <c r="A6" s="16" t="s">
        <v>207</v>
      </c>
      <c r="B6" s="34">
        <f>IF(OR(B3="",B4=""),"",B3/3600/B4)</f>
        <v>2.8717690559164909E-2</v>
      </c>
      <c r="H6" s="16" t="s">
        <v>207</v>
      </c>
      <c r="I6" s="34">
        <f>IF(OR(I3="",I4=""),"",I3/3600/I4)</f>
        <v>2.9418568466268842E-2</v>
      </c>
      <c r="O6" s="16" t="s">
        <v>207</v>
      </c>
      <c r="P6" s="34">
        <f>IF(OR(P3="",P4=""),"",P3/3600/P4)</f>
        <v>2.90784720581263E-2</v>
      </c>
      <c r="V6" s="16" t="s">
        <v>207</v>
      </c>
      <c r="W6" s="34">
        <f>IF(OR(W3="",W4=""),"",W3/3600/W4)</f>
        <v>2.8857310526361958E-2</v>
      </c>
      <c r="AC6" s="16" t="s">
        <v>207</v>
      </c>
      <c r="AD6" s="34" t="str">
        <f>IF(OR(AD3="",AD4=""),"",AD3/3600/AD4)</f>
        <v/>
      </c>
    </row>
    <row r="7" spans="1:34" x14ac:dyDescent="0.25">
      <c r="A7" s="3" t="s">
        <v>208</v>
      </c>
    </row>
    <row r="8" spans="1:34" ht="33.75" customHeight="1" x14ac:dyDescent="0.25">
      <c r="A8" s="4" t="s">
        <v>176</v>
      </c>
      <c r="B8" s="4" t="s">
        <v>209</v>
      </c>
      <c r="C8" s="4" t="s">
        <v>210</v>
      </c>
      <c r="D8" s="4" t="s">
        <v>211</v>
      </c>
      <c r="E8" s="4" t="s">
        <v>212</v>
      </c>
      <c r="F8" s="4" t="s">
        <v>168</v>
      </c>
      <c r="H8" s="4" t="s">
        <v>176</v>
      </c>
      <c r="I8" s="4" t="s">
        <v>209</v>
      </c>
      <c r="J8" s="4" t="s">
        <v>210</v>
      </c>
      <c r="K8" s="4" t="s">
        <v>211</v>
      </c>
      <c r="L8" s="4" t="s">
        <v>212</v>
      </c>
      <c r="M8" s="4" t="s">
        <v>168</v>
      </c>
      <c r="O8" s="4" t="s">
        <v>176</v>
      </c>
      <c r="P8" s="4" t="s">
        <v>209</v>
      </c>
      <c r="Q8" s="4" t="s">
        <v>210</v>
      </c>
      <c r="R8" s="4" t="s">
        <v>211</v>
      </c>
      <c r="S8" s="4" t="s">
        <v>212</v>
      </c>
      <c r="T8" s="4" t="s">
        <v>168</v>
      </c>
      <c r="V8" s="4" t="s">
        <v>176</v>
      </c>
      <c r="W8" s="4" t="s">
        <v>209</v>
      </c>
      <c r="X8" s="4" t="s">
        <v>210</v>
      </c>
      <c r="Y8" s="4" t="s">
        <v>211</v>
      </c>
      <c r="Z8" s="4" t="s">
        <v>212</v>
      </c>
      <c r="AA8" s="4" t="s">
        <v>168</v>
      </c>
      <c r="AC8" s="4" t="s">
        <v>176</v>
      </c>
      <c r="AD8" s="4" t="s">
        <v>209</v>
      </c>
      <c r="AE8" s="4" t="s">
        <v>210</v>
      </c>
      <c r="AF8" s="4" t="s">
        <v>211</v>
      </c>
      <c r="AG8" s="4" t="s">
        <v>212</v>
      </c>
      <c r="AH8" s="4" t="s">
        <v>168</v>
      </c>
    </row>
    <row r="9" spans="1:34" x14ac:dyDescent="0.25">
      <c r="A9" s="41">
        <v>0</v>
      </c>
      <c r="B9" s="41">
        <v>0.766071638</v>
      </c>
      <c r="C9" s="13">
        <f t="shared" ref="C9:C40" si="0">IF(OR(A9="",B$4=""),"",B9/B$4)</f>
        <v>0.98999137108064694</v>
      </c>
      <c r="D9" s="23" t="str">
        <f t="shared" ref="D9:D40" si="1">IF(OR(A9="",A10="",A9&lt;=0),"",IFERROR(LN(B10/B9)/LN(A10/A9),""))</f>
        <v/>
      </c>
      <c r="E9" s="34" t="str">
        <f t="shared" ref="E9:E40" si="2">IF(OR(A9="",B$3="",A9&lt;=0),"",B9*A9/B$3)</f>
        <v/>
      </c>
      <c r="F9" s="18">
        <f>IF(OR(A9="",A10=""),0,IF(AND(A9&gt;=Parametri!$B$11,B9&gt;=Parametri!$B$10,B10&lt;Parametri!$B$10),ROW(),0))</f>
        <v>0</v>
      </c>
      <c r="H9" s="41">
        <v>0</v>
      </c>
      <c r="I9" s="41">
        <v>1.4006486739999999</v>
      </c>
      <c r="J9" s="13">
        <f t="shared" ref="J9:J40" si="3">IF(OR(H9="",I$4=""),"",I9/I$4)</f>
        <v>0.98892189391818397</v>
      </c>
      <c r="K9" s="23" t="str">
        <f t="shared" ref="K9:K40" si="4">IF(OR(H9="",H10="",H9&lt;=0),"",IFERROR(LN(I10/I9)/LN(H10/H9),""))</f>
        <v/>
      </c>
      <c r="L9" s="34" t="str">
        <f t="shared" ref="L9:L40" si="5">IF(OR(H9="",I$3="",H9&lt;=0),"",I9*H9/I$3)</f>
        <v/>
      </c>
      <c r="M9" s="18">
        <f>IF(OR(H9="",H10=""),0,IF(AND(H9&gt;=Parametri!$B$11,I9&gt;=Parametri!$B$10,I10&lt;Parametri!$B$10),ROW(),0))</f>
        <v>0</v>
      </c>
      <c r="O9" s="41">
        <v>0</v>
      </c>
      <c r="P9" s="41">
        <v>2.3484267700000001</v>
      </c>
      <c r="Q9" s="13">
        <f t="shared" ref="Q9:Q40" si="6">IF(OR(O9="",P$4=""),"",P9/P$4)</f>
        <v>0.98335673585281147</v>
      </c>
      <c r="R9" s="23" t="str">
        <f t="shared" ref="R9:R40" si="7">IF(OR(O9="",O10="",O9&lt;=0),"",IFERROR(LN(P10/P9)/LN(O10/O9),""))</f>
        <v/>
      </c>
      <c r="S9" s="34" t="str">
        <f t="shared" ref="S9:S40" si="8">IF(OR(O9="",P$3="",O9&lt;=0),"",P9*O9/P$3)</f>
        <v/>
      </c>
      <c r="T9" s="18">
        <f>IF(OR(O9="",O10=""),0,IF(AND(O9&gt;=Parametri!$B$11,P9&gt;=Parametri!$B$10,P10&lt;Parametri!$B$10),ROW(),0))</f>
        <v>0</v>
      </c>
      <c r="V9" s="41">
        <v>0</v>
      </c>
      <c r="W9" s="41">
        <v>2.8375270000000001</v>
      </c>
      <c r="X9" s="13">
        <f t="shared" ref="X9:X40" si="9">IF(OR(V9="",W$4=""),"",W9/W$4)</f>
        <v>0.9826007731912354</v>
      </c>
      <c r="Y9" s="23" t="str">
        <f t="shared" ref="Y9:Y40" si="10">IF(OR(V9="",V10="",V9&lt;=0),"",IFERROR(LN(W10/W9)/LN(V10/V9),""))</f>
        <v/>
      </c>
      <c r="Z9" s="34" t="str">
        <f t="shared" ref="Z9:Z40" si="11">IF(OR(V9="",W$3="",V9&lt;=0),"",W9*V9/W$3)</f>
        <v/>
      </c>
      <c r="AA9" s="18">
        <f>IF(OR(V9="",V10=""),0,IF(AND(V9&gt;=Parametri!$B$11,W9&gt;=Parametri!$B$10,W10&lt;Parametri!$B$10),ROW(),0))</f>
        <v>0</v>
      </c>
      <c r="AC9" s="41"/>
      <c r="AD9" s="41"/>
      <c r="AE9" s="13" t="str">
        <f t="shared" ref="AE9:AE40" si="12">IF(OR(AC9="",AD$4=""),"",AD9/AD$4)</f>
        <v/>
      </c>
      <c r="AF9" s="23" t="str">
        <f t="shared" ref="AF9:AF40" si="13">IF(OR(AC9="",AC10="",AC9&lt;=0),"",IFERROR(LN(AD10/AD9)/LN(AC10/AC9),""))</f>
        <v/>
      </c>
      <c r="AG9" s="34" t="str">
        <f t="shared" ref="AG9:AG40" si="14">IF(OR(AC9="",AD$3="",AC9&lt;=0),"",AD9*AC9/AD$3)</f>
        <v/>
      </c>
      <c r="AH9" s="18">
        <f>IF(OR(AC9="",AC10=""),0,IF(AND(AC9&gt;=Parametri!$B$11,AD9&gt;=Parametri!$B$10,AD10&lt;Parametri!$B$10),ROW(),0))</f>
        <v>0</v>
      </c>
    </row>
    <row r="10" spans="1:34" x14ac:dyDescent="0.25">
      <c r="A10" s="41">
        <v>4.8456999999999997E-3</v>
      </c>
      <c r="B10" s="41">
        <v>0.77381648000000003</v>
      </c>
      <c r="C10" s="13">
        <f t="shared" si="0"/>
        <v>1</v>
      </c>
      <c r="D10" s="23">
        <f t="shared" si="1"/>
        <v>-1.7691063678434815E-2</v>
      </c>
      <c r="E10" s="34">
        <f t="shared" si="2"/>
        <v>4.6871031464199998E-5</v>
      </c>
      <c r="F10" s="18">
        <f>IF(OR(A10="",A11=""),0,IF(AND(A10&gt;=Parametri!$B$11,B10&gt;=Parametri!$B$10,B11&lt;Parametri!$B$10),ROW(),0))</f>
        <v>0</v>
      </c>
      <c r="H10" s="41">
        <v>4.8456999999999997E-3</v>
      </c>
      <c r="I10" s="41">
        <v>1.4163390280000001</v>
      </c>
      <c r="J10" s="13">
        <f t="shared" si="3"/>
        <v>1</v>
      </c>
      <c r="K10" s="23">
        <f t="shared" si="4"/>
        <v>-1.2482007186532394E-2</v>
      </c>
      <c r="L10" s="34">
        <f t="shared" si="5"/>
        <v>4.5754360186530669E-5</v>
      </c>
      <c r="M10" s="18">
        <f>IF(OR(H10="",H11=""),0,IF(AND(H10&gt;=Parametri!$B$11,I10&gt;=Parametri!$B$10,I11&lt;Parametri!$B$10),ROW(),0))</f>
        <v>0</v>
      </c>
      <c r="O10" s="41">
        <v>4.8456999999999997E-3</v>
      </c>
      <c r="P10" s="41">
        <v>2.388173777</v>
      </c>
      <c r="Q10" s="13">
        <f t="shared" si="6"/>
        <v>1</v>
      </c>
      <c r="R10" s="23">
        <f t="shared" si="7"/>
        <v>-3.1806089153668103E-3</v>
      </c>
      <c r="S10" s="34">
        <f t="shared" si="8"/>
        <v>4.6289494684835599E-5</v>
      </c>
      <c r="T10" s="18">
        <f>IF(OR(O10="",O11=""),0,IF(AND(O10&gt;=Parametri!$B$11,P10&gt;=Parametri!$B$10,P11&lt;Parametri!$B$10),ROW(),0))</f>
        <v>0</v>
      </c>
      <c r="V10" s="41">
        <v>4.8459999999999996E-3</v>
      </c>
      <c r="W10" s="41">
        <v>2.8875069999999998</v>
      </c>
      <c r="X10" s="13">
        <f t="shared" si="9"/>
        <v>0.99990823375252613</v>
      </c>
      <c r="Y10" s="23">
        <f t="shared" si="10"/>
        <v>1.2636558237392006E-4</v>
      </c>
      <c r="Z10" s="34">
        <f t="shared" si="11"/>
        <v>4.6642863073333327E-5</v>
      </c>
      <c r="AA10" s="18">
        <f>IF(OR(V10="",V11=""),0,IF(AND(V10&gt;=Parametri!$B$11,W10&gt;=Parametri!$B$10,W11&lt;Parametri!$B$10),ROW(),0))</f>
        <v>0</v>
      </c>
      <c r="AC10" s="41"/>
      <c r="AD10" s="41"/>
      <c r="AE10" s="13" t="str">
        <f t="shared" si="12"/>
        <v/>
      </c>
      <c r="AF10" s="23" t="str">
        <f t="shared" si="13"/>
        <v/>
      </c>
      <c r="AG10" s="34" t="str">
        <f t="shared" si="14"/>
        <v/>
      </c>
      <c r="AH10" s="18">
        <f>IF(OR(AC10="",AC11=""),0,IF(AND(AC10&gt;=Parametri!$B$11,AD10&gt;=Parametri!$B$10,AD11&lt;Parametri!$B$10),ROW(),0))</f>
        <v>0</v>
      </c>
    </row>
    <row r="11" spans="1:34" x14ac:dyDescent="0.25">
      <c r="A11" s="41">
        <v>1.14956E-2</v>
      </c>
      <c r="B11" s="41">
        <v>0.76208028699999997</v>
      </c>
      <c r="C11" s="13">
        <f t="shared" si="0"/>
        <v>0.9848333638487512</v>
      </c>
      <c r="D11" s="23">
        <f t="shared" si="1"/>
        <v>-7.6506107683957408E-2</v>
      </c>
      <c r="E11" s="34">
        <f t="shared" si="2"/>
        <v>1.09507126840465E-4</v>
      </c>
      <c r="F11" s="18">
        <f>IF(OR(A11="",A12=""),0,IF(AND(A11&gt;=Parametri!$B$11,B11&gt;=Parametri!$B$10,B12&lt;Parametri!$B$10),ROW(),0))</f>
        <v>0</v>
      </c>
      <c r="H11" s="41">
        <v>1.0756699999999999E-2</v>
      </c>
      <c r="I11" s="41">
        <v>1.4023112630000001</v>
      </c>
      <c r="J11" s="13">
        <f t="shared" si="3"/>
        <v>0.99009575763805047</v>
      </c>
      <c r="K11" s="23">
        <f t="shared" si="4"/>
        <v>-5.0326185257238733E-2</v>
      </c>
      <c r="L11" s="34">
        <f t="shared" si="5"/>
        <v>1.0056161041808067E-4</v>
      </c>
      <c r="M11" s="18">
        <f>IF(OR(H11="",H12=""),0,IF(AND(H11&gt;=Parametri!$B$11,I11&gt;=Parametri!$B$10,I12&lt;Parametri!$B$10),ROW(),0))</f>
        <v>0</v>
      </c>
      <c r="O11" s="41">
        <v>1.0756699999999999E-2</v>
      </c>
      <c r="P11" s="41">
        <v>2.3821242420000002</v>
      </c>
      <c r="Q11" s="13">
        <f t="shared" si="6"/>
        <v>0.99746687822374502</v>
      </c>
      <c r="R11" s="23">
        <f t="shared" si="7"/>
        <v>-2.8089318756686851E-2</v>
      </c>
      <c r="S11" s="34">
        <f t="shared" si="8"/>
        <v>1.024951833356856E-4</v>
      </c>
      <c r="T11" s="18">
        <f>IF(OR(O11="",O12=""),0,IF(AND(O11&gt;=Parametri!$B$11,P11&gt;=Parametri!$B$10,P12&lt;Parametri!$B$10),ROW(),0))</f>
        <v>0</v>
      </c>
      <c r="V11" s="41">
        <v>1.0018000000000001E-2</v>
      </c>
      <c r="W11" s="41">
        <v>2.887772</v>
      </c>
      <c r="X11" s="13">
        <f t="shared" si="9"/>
        <v>1</v>
      </c>
      <c r="Y11" s="23">
        <f t="shared" si="10"/>
        <v>-1.8399442269596774E-2</v>
      </c>
      <c r="Z11" s="34">
        <f t="shared" si="11"/>
        <v>9.6432332986666684E-5</v>
      </c>
      <c r="AA11" s="18">
        <f>IF(OR(V11="",V12=""),0,IF(AND(V11&gt;=Parametri!$B$11,W11&gt;=Parametri!$B$10,W12&lt;Parametri!$B$10),ROW(),0))</f>
        <v>0</v>
      </c>
      <c r="AC11" s="41"/>
      <c r="AD11" s="41"/>
      <c r="AE11" s="13" t="str">
        <f t="shared" si="12"/>
        <v/>
      </c>
      <c r="AF11" s="23" t="str">
        <f t="shared" si="13"/>
        <v/>
      </c>
      <c r="AG11" s="34" t="str">
        <f t="shared" si="14"/>
        <v/>
      </c>
      <c r="AH11" s="18">
        <f>IF(OR(AC11="",AC12=""),0,IF(AND(AC11&gt;=Parametri!$B$11,AD11&gt;=Parametri!$B$10,AD12&lt;Parametri!$B$10),ROW(),0))</f>
        <v>0</v>
      </c>
    </row>
    <row r="12" spans="1:34" x14ac:dyDescent="0.25">
      <c r="A12" s="41">
        <v>4.1789399999999997E-2</v>
      </c>
      <c r="B12" s="41">
        <v>0.69042485200000003</v>
      </c>
      <c r="C12" s="13">
        <f t="shared" si="0"/>
        <v>0.8922333264341954</v>
      </c>
      <c r="D12" s="23">
        <f t="shared" si="1"/>
        <v>-0.14935083259087337</v>
      </c>
      <c r="E12" s="34">
        <f t="shared" si="2"/>
        <v>3.6065550387710999E-4</v>
      </c>
      <c r="F12" s="18">
        <f>IF(OR(A12="",A13=""),0,IF(AND(A12&gt;=Parametri!$B$11,B12&gt;=Parametri!$B$10,B13&lt;Parametri!$B$10),ROW(),0))</f>
        <v>0</v>
      </c>
      <c r="H12" s="41">
        <v>2.4795299999999999E-2</v>
      </c>
      <c r="I12" s="41">
        <v>1.3445953420000001</v>
      </c>
      <c r="J12" s="13">
        <f t="shared" si="3"/>
        <v>0.94934568307327616</v>
      </c>
      <c r="K12" s="23">
        <f t="shared" si="4"/>
        <v>-0.12193295071395832</v>
      </c>
      <c r="L12" s="34">
        <f t="shared" si="5"/>
        <v>2.2226429922328399E-4</v>
      </c>
      <c r="M12" s="18">
        <f>IF(OR(H12="",H13=""),0,IF(AND(H12&gt;=Parametri!$B$11,I12&gt;=Parametri!$B$10,I13&lt;Parametri!$B$10),ROW(),0))</f>
        <v>0</v>
      </c>
      <c r="O12" s="41">
        <v>1.96232E-2</v>
      </c>
      <c r="P12" s="41">
        <v>2.342235434</v>
      </c>
      <c r="Q12" s="13">
        <f t="shared" si="6"/>
        <v>0.98076423774416144</v>
      </c>
      <c r="R12" s="23">
        <f t="shared" si="7"/>
        <v>-0.1020371193464767</v>
      </c>
      <c r="S12" s="34">
        <f t="shared" si="8"/>
        <v>1.8384861747387522E-4</v>
      </c>
      <c r="T12" s="18">
        <f>IF(OR(O12="",O13=""),0,IF(AND(O12&gt;=Parametri!$B$11,P12&gt;=Parametri!$B$10,P13&lt;Parametri!$B$10),ROW(),0))</f>
        <v>0</v>
      </c>
      <c r="V12" s="41">
        <v>1.8145000000000001E-2</v>
      </c>
      <c r="W12" s="41">
        <v>2.856382</v>
      </c>
      <c r="X12" s="13">
        <f t="shared" si="9"/>
        <v>0.98913002827093</v>
      </c>
      <c r="Y12" s="23">
        <f t="shared" si="10"/>
        <v>-5.3965854084479008E-2</v>
      </c>
      <c r="Z12" s="34">
        <f t="shared" si="11"/>
        <v>1.7276350463333334E-4</v>
      </c>
      <c r="AA12" s="18">
        <f>IF(OR(V12="",V13=""),0,IF(AND(V12&gt;=Parametri!$B$11,W12&gt;=Parametri!$B$10,W13&lt;Parametri!$B$10),ROW(),0))</f>
        <v>0</v>
      </c>
      <c r="AC12" s="41"/>
      <c r="AD12" s="41"/>
      <c r="AE12" s="13" t="str">
        <f t="shared" si="12"/>
        <v/>
      </c>
      <c r="AF12" s="23" t="str">
        <f t="shared" si="13"/>
        <v/>
      </c>
      <c r="AG12" s="34" t="str">
        <f t="shared" si="14"/>
        <v/>
      </c>
      <c r="AH12" s="18">
        <f>IF(OR(AC12="",AC13=""),0,IF(AND(AC12&gt;=Parametri!$B$11,AD12&gt;=Parametri!$B$10,AD13&lt;Parametri!$B$10),ROW(),0))</f>
        <v>0</v>
      </c>
    </row>
    <row r="13" spans="1:34" x14ac:dyDescent="0.25">
      <c r="A13" s="41">
        <v>5.8783500000000002E-2</v>
      </c>
      <c r="B13" s="41">
        <v>0.65612142500000004</v>
      </c>
      <c r="C13" s="13">
        <f t="shared" si="0"/>
        <v>0.84790314235747477</v>
      </c>
      <c r="D13" s="23">
        <f t="shared" si="1"/>
        <v>-0.18228944823877974</v>
      </c>
      <c r="E13" s="34">
        <f t="shared" si="2"/>
        <v>4.8211392233109377E-4</v>
      </c>
      <c r="F13" s="18">
        <f>IF(OR(A13="",A14=""),0,IF(AND(A13&gt;=Parametri!$B$11,B13&gt;=Parametri!$B$10,B14&lt;Parametri!$B$10),ROW(),0))</f>
        <v>0</v>
      </c>
      <c r="H13" s="41">
        <v>5.2872500000000003E-2</v>
      </c>
      <c r="I13" s="41">
        <v>1.226006221</v>
      </c>
      <c r="J13" s="13">
        <f t="shared" si="3"/>
        <v>0.86561635086144073</v>
      </c>
      <c r="K13" s="23">
        <f t="shared" si="4"/>
        <v>-0.19740980778223402</v>
      </c>
      <c r="L13" s="34">
        <f t="shared" si="5"/>
        <v>4.321467594654834E-4</v>
      </c>
      <c r="M13" s="18">
        <f>IF(OR(H13="",H14=""),0,IF(AND(H13&gt;=Parametri!$B$11,I13&gt;=Parametri!$B$10,I14&lt;Parametri!$B$10),ROW(),0))</f>
        <v>0</v>
      </c>
      <c r="O13" s="41">
        <v>7.4299900000000002E-2</v>
      </c>
      <c r="P13" s="41">
        <v>2.0447056969999999</v>
      </c>
      <c r="Q13" s="13">
        <f t="shared" si="6"/>
        <v>0.85617961167320866</v>
      </c>
      <c r="R13" s="23">
        <f t="shared" si="7"/>
        <v>-0.21404258463977488</v>
      </c>
      <c r="S13" s="34">
        <f t="shared" si="8"/>
        <v>6.0768571526612124E-4</v>
      </c>
      <c r="T13" s="18">
        <f>IF(OR(O13="",O14=""),0,IF(AND(O13&gt;=Parametri!$B$11,P13&gt;=Parametri!$B$10,P14&lt;Parametri!$B$10),ROW(),0))</f>
        <v>0</v>
      </c>
      <c r="V13" s="41">
        <v>3.5878E-2</v>
      </c>
      <c r="W13" s="41">
        <v>2.7532049999999999</v>
      </c>
      <c r="X13" s="13">
        <f t="shared" si="9"/>
        <v>0.95340109953278851</v>
      </c>
      <c r="Y13" s="23">
        <f t="shared" si="10"/>
        <v>-0.13281582015575769</v>
      </c>
      <c r="Z13" s="34">
        <f t="shared" si="11"/>
        <v>3.292649633E-4</v>
      </c>
      <c r="AA13" s="18">
        <f>IF(OR(V13="",V14=""),0,IF(AND(V13&gt;=Parametri!$B$11,W13&gt;=Parametri!$B$10,W14&lt;Parametri!$B$10),ROW(),0))</f>
        <v>0</v>
      </c>
      <c r="AC13" s="41"/>
      <c r="AD13" s="41"/>
      <c r="AE13" s="13" t="str">
        <f t="shared" si="12"/>
        <v/>
      </c>
      <c r="AF13" s="23" t="str">
        <f t="shared" si="13"/>
        <v/>
      </c>
      <c r="AG13" s="34" t="str">
        <f t="shared" si="14"/>
        <v/>
      </c>
      <c r="AH13" s="18">
        <f>IF(OR(AC13="",AC14=""),0,IF(AND(AC13&gt;=Parametri!$B$11,AD13&gt;=Parametri!$B$10,AD14&lt;Parametri!$B$10),ROW(),0))</f>
        <v>0</v>
      </c>
    </row>
    <row r="14" spans="1:34" x14ac:dyDescent="0.25">
      <c r="A14" s="41">
        <v>7.87331E-2</v>
      </c>
      <c r="B14" s="41">
        <v>0.62208730700000003</v>
      </c>
      <c r="C14" s="13">
        <f t="shared" si="0"/>
        <v>0.8039209852444601</v>
      </c>
      <c r="D14" s="23">
        <f t="shared" si="1"/>
        <v>-0.21878912297288089</v>
      </c>
      <c r="E14" s="34">
        <f t="shared" si="2"/>
        <v>6.1223577688452127E-4</v>
      </c>
      <c r="F14" s="18">
        <f>IF(OR(A14="",A15=""),0,IF(AND(A14&gt;=Parametri!$B$11,B14&gt;=Parametri!$B$10,B15&lt;Parametri!$B$10),ROW(),0))</f>
        <v>0</v>
      </c>
      <c r="H14" s="41">
        <v>7.3561000000000001E-2</v>
      </c>
      <c r="I14" s="41">
        <v>1.1486311709999999</v>
      </c>
      <c r="J14" s="13">
        <f t="shared" si="3"/>
        <v>0.81098603391729729</v>
      </c>
      <c r="K14" s="23">
        <f t="shared" si="4"/>
        <v>-0.24455495134994396</v>
      </c>
      <c r="L14" s="34">
        <f t="shared" si="5"/>
        <v>5.6329638379954002E-4</v>
      </c>
      <c r="M14" s="18">
        <f>IF(OR(H14="",H15=""),0,IF(AND(H14&gt;=Parametri!$B$11,I14&gt;=Parametri!$B$10,I15&lt;Parametri!$B$10),ROW(),0))</f>
        <v>0</v>
      </c>
      <c r="O14" s="41">
        <v>0.1023771</v>
      </c>
      <c r="P14" s="41">
        <v>1.9091188050000001</v>
      </c>
      <c r="Q14" s="13">
        <f t="shared" si="6"/>
        <v>0.799405312706438</v>
      </c>
      <c r="R14" s="23">
        <f t="shared" si="7"/>
        <v>-0.25932672164228249</v>
      </c>
      <c r="S14" s="34">
        <f t="shared" si="8"/>
        <v>7.8180018724546211E-4</v>
      </c>
      <c r="T14" s="18">
        <f>IF(OR(O14="",O15=""),0,IF(AND(O14&gt;=Parametri!$B$11,P14&gt;=Parametri!$B$10,P15&lt;Parametri!$B$10),ROW(),0))</f>
        <v>0</v>
      </c>
      <c r="V14" s="41">
        <v>8.5383000000000001E-2</v>
      </c>
      <c r="W14" s="41">
        <v>2.453735</v>
      </c>
      <c r="X14" s="13">
        <f t="shared" si="9"/>
        <v>0.84969831413283325</v>
      </c>
      <c r="Y14" s="23">
        <f t="shared" si="10"/>
        <v>-0.23594761810586942</v>
      </c>
      <c r="Z14" s="34">
        <f t="shared" si="11"/>
        <v>6.9835751835E-4</v>
      </c>
      <c r="AA14" s="18">
        <f>IF(OR(V14="",V15=""),0,IF(AND(V14&gt;=Parametri!$B$11,W14&gt;=Parametri!$B$10,W15&lt;Parametri!$B$10),ROW(),0))</f>
        <v>0</v>
      </c>
      <c r="AC14" s="41"/>
      <c r="AD14" s="41"/>
      <c r="AE14" s="13" t="str">
        <f t="shared" si="12"/>
        <v/>
      </c>
      <c r="AF14" s="23" t="str">
        <f t="shared" si="13"/>
        <v/>
      </c>
      <c r="AG14" s="34" t="str">
        <f t="shared" si="14"/>
        <v/>
      </c>
      <c r="AH14" s="18">
        <f>IF(OR(AC14="",AC15=""),0,IF(AND(AC14&gt;=Parametri!$B$11,AD14&gt;=Parametri!$B$10,AD15&lt;Parametri!$B$10),ROW(),0))</f>
        <v>0</v>
      </c>
    </row>
    <row r="15" spans="1:34" x14ac:dyDescent="0.25">
      <c r="A15" s="41">
        <v>0.1045937</v>
      </c>
      <c r="B15" s="41">
        <v>0.58460712100000001</v>
      </c>
      <c r="C15" s="13">
        <f t="shared" si="0"/>
        <v>0.75548548798030246</v>
      </c>
      <c r="D15" s="23">
        <f t="shared" si="1"/>
        <v>-0.2646567095166133</v>
      </c>
      <c r="E15" s="34">
        <f t="shared" si="2"/>
        <v>7.6432777289672121E-4</v>
      </c>
      <c r="F15" s="18">
        <f>IF(OR(A15="",A16=""),0,IF(AND(A15&gt;=Parametri!$B$11,B15&gt;=Parametri!$B$10,B16&lt;Parametri!$B$10),ROW(),0))</f>
        <v>0</v>
      </c>
      <c r="H15" s="41">
        <v>9.5727199999999998E-2</v>
      </c>
      <c r="I15" s="41">
        <v>1.076977206</v>
      </c>
      <c r="J15" s="13">
        <f t="shared" si="3"/>
        <v>0.76039506411172619</v>
      </c>
      <c r="K15" s="23">
        <f t="shared" si="4"/>
        <v>-0.28480791047830106</v>
      </c>
      <c r="L15" s="34">
        <f t="shared" si="5"/>
        <v>6.8730674929468798E-4</v>
      </c>
      <c r="M15" s="18">
        <f>IF(OR(H15="",H16=""),0,IF(AND(H15&gt;=Parametri!$B$11,I15&gt;=Parametri!$B$10,I16&lt;Parametri!$B$10),ROW(),0))</f>
        <v>0</v>
      </c>
      <c r="O15" s="41">
        <v>0.12971540000000001</v>
      </c>
      <c r="P15" s="41">
        <v>1.7954656250000001</v>
      </c>
      <c r="Q15" s="13">
        <f t="shared" si="6"/>
        <v>0.75181531691359826</v>
      </c>
      <c r="R15" s="23">
        <f t="shared" si="7"/>
        <v>-0.28738693597140125</v>
      </c>
      <c r="S15" s="34">
        <f t="shared" si="8"/>
        <v>9.3159816693250011E-4</v>
      </c>
      <c r="T15" s="18">
        <f>IF(OR(O15="",O16=""),0,IF(AND(O15&gt;=Parametri!$B$11,P15&gt;=Parametri!$B$10,P16&lt;Parametri!$B$10),ROW(),0))</f>
        <v>0</v>
      </c>
      <c r="V15" s="41">
        <v>0.12010999999999999</v>
      </c>
      <c r="W15" s="41">
        <v>2.263906</v>
      </c>
      <c r="X15" s="13">
        <f t="shared" si="9"/>
        <v>0.78396286133392801</v>
      </c>
      <c r="Y15" s="23">
        <f t="shared" si="10"/>
        <v>-0.29610497270165143</v>
      </c>
      <c r="Z15" s="34">
        <f t="shared" si="11"/>
        <v>9.0639249886666662E-4</v>
      </c>
      <c r="AA15" s="18">
        <f>IF(OR(V15="",V16=""),0,IF(AND(V15&gt;=Parametri!$B$11,W15&gt;=Parametri!$B$10,W16&lt;Parametri!$B$10),ROW(),0))</f>
        <v>0</v>
      </c>
      <c r="AC15" s="41"/>
      <c r="AD15" s="41"/>
      <c r="AE15" s="13" t="str">
        <f t="shared" si="12"/>
        <v/>
      </c>
      <c r="AF15" s="23" t="str">
        <f t="shared" si="13"/>
        <v/>
      </c>
      <c r="AG15" s="34" t="str">
        <f t="shared" si="14"/>
        <v/>
      </c>
      <c r="AH15" s="18">
        <f>IF(OR(AC15="",AC16=""),0,IF(AND(AC15&gt;=Parametri!$B$11,AD15&gt;=Parametri!$B$10,AD16&lt;Parametri!$B$10),ROW(),0))</f>
        <v>0</v>
      </c>
    </row>
    <row r="16" spans="1:34" x14ac:dyDescent="0.25">
      <c r="A16" s="41">
        <v>0.13636529999999999</v>
      </c>
      <c r="B16" s="41">
        <v>0.54497437999999998</v>
      </c>
      <c r="C16" s="13">
        <f t="shared" si="0"/>
        <v>0.70426825233807366</v>
      </c>
      <c r="D16" s="23">
        <f t="shared" si="1"/>
        <v>-0.3121846128046899</v>
      </c>
      <c r="E16" s="34">
        <f t="shared" si="2"/>
        <v>9.2894493526267494E-4</v>
      </c>
      <c r="F16" s="18">
        <f>IF(OR(A16="",A17=""),0,IF(AND(A16&gt;=Parametri!$B$11,B16&gt;=Parametri!$B$10,B17&lt;Parametri!$B$10),ROW(),0))</f>
        <v>0</v>
      </c>
      <c r="H16" s="41">
        <v>0.1201101</v>
      </c>
      <c r="I16" s="41">
        <v>1.0095791009999999</v>
      </c>
      <c r="J16" s="13">
        <f t="shared" si="3"/>
        <v>0.71280892571718346</v>
      </c>
      <c r="K16" s="23">
        <f t="shared" si="4"/>
        <v>-0.31696417579348307</v>
      </c>
      <c r="L16" s="34">
        <f t="shared" si="5"/>
        <v>8.0840431186013394E-4</v>
      </c>
      <c r="M16" s="18">
        <f>IF(OR(H16="",H17=""),0,IF(AND(H16&gt;=Parametri!$B$11,I16&gt;=Parametri!$B$10,I17&lt;Parametri!$B$10),ROW(),0))</f>
        <v>0</v>
      </c>
      <c r="O16" s="41">
        <v>0.15853149999999999</v>
      </c>
      <c r="P16" s="41">
        <v>1.6948793440000001</v>
      </c>
      <c r="Q16" s="13">
        <f t="shared" si="6"/>
        <v>0.70969682370815179</v>
      </c>
      <c r="R16" s="23">
        <f t="shared" si="7"/>
        <v>-0.30533451931700206</v>
      </c>
      <c r="S16" s="34">
        <f t="shared" si="8"/>
        <v>1.0747670588933441E-3</v>
      </c>
      <c r="T16" s="18">
        <f>IF(OR(O16="",O17=""),0,IF(AND(O16&gt;=Parametri!$B$11,P16&gt;=Parametri!$B$10,P17&lt;Parametri!$B$10),ROW(),0))</f>
        <v>0</v>
      </c>
      <c r="V16" s="41">
        <v>0.15188199999999999</v>
      </c>
      <c r="W16" s="41">
        <v>2.1119189999999999</v>
      </c>
      <c r="X16" s="13">
        <f t="shared" si="9"/>
        <v>0.73133162867428592</v>
      </c>
      <c r="Y16" s="23">
        <f t="shared" si="10"/>
        <v>-0.33227523968373218</v>
      </c>
      <c r="Z16" s="34">
        <f t="shared" si="11"/>
        <v>1.0692082718599999E-3</v>
      </c>
      <c r="AA16" s="18">
        <f>IF(OR(V16="",V17=""),0,IF(AND(V16&gt;=Parametri!$B$11,W16&gt;=Parametri!$B$10,W17&lt;Parametri!$B$10),ROW(),0))</f>
        <v>0</v>
      </c>
      <c r="AC16" s="41"/>
      <c r="AD16" s="41"/>
      <c r="AE16" s="13" t="str">
        <f t="shared" si="12"/>
        <v/>
      </c>
      <c r="AF16" s="23" t="str">
        <f t="shared" si="13"/>
        <v/>
      </c>
      <c r="AG16" s="34" t="str">
        <f t="shared" si="14"/>
        <v/>
      </c>
      <c r="AH16" s="18">
        <f>IF(OR(AC16="",AC17=""),0,IF(AND(AC16&gt;=Parametri!$B$11,AD16&gt;=Parametri!$B$10,AD17&lt;Parametri!$B$10),ROW(),0))</f>
        <v>0</v>
      </c>
    </row>
    <row r="17" spans="1:34" x14ac:dyDescent="0.25">
      <c r="A17" s="41">
        <v>0.17109240000000001</v>
      </c>
      <c r="B17" s="41">
        <v>0.507712108</v>
      </c>
      <c r="C17" s="13">
        <f t="shared" si="0"/>
        <v>0.65611436448083915</v>
      </c>
      <c r="D17" s="23">
        <f t="shared" si="1"/>
        <v>-0.34667656068684138</v>
      </c>
      <c r="E17" s="34">
        <f t="shared" si="2"/>
        <v>1.0858210383347402E-3</v>
      </c>
      <c r="F17" s="18">
        <f>IF(OR(A17="",A18=""),0,IF(AND(A17&gt;=Parametri!$B$11,B17&gt;=Parametri!$B$10,B18&lt;Parametri!$B$10),ROW(),0))</f>
        <v>0</v>
      </c>
      <c r="H17" s="41">
        <v>0.14597070000000001</v>
      </c>
      <c r="I17" s="41">
        <v>0.94906918399999995</v>
      </c>
      <c r="J17" s="13">
        <f t="shared" si="3"/>
        <v>0.67008616244951758</v>
      </c>
      <c r="K17" s="23">
        <f t="shared" si="4"/>
        <v>-0.33909866836698427</v>
      </c>
      <c r="L17" s="34">
        <f t="shared" si="5"/>
        <v>9.2357528757939199E-4</v>
      </c>
      <c r="M17" s="18">
        <f>IF(OR(H17="",H18=""),0,IF(AND(H17&gt;=Parametri!$B$11,I17&gt;=Parametri!$B$10,I18&lt;Parametri!$B$10),ROW(),0))</f>
        <v>0</v>
      </c>
      <c r="O17" s="41">
        <v>0.1917808</v>
      </c>
      <c r="P17" s="41">
        <v>1.599155922</v>
      </c>
      <c r="Q17" s="13">
        <f t="shared" si="6"/>
        <v>0.66961455544028448</v>
      </c>
      <c r="R17" s="23">
        <f t="shared" si="7"/>
        <v>-0.32354919487996164</v>
      </c>
      <c r="S17" s="34">
        <f t="shared" si="8"/>
        <v>1.2267496081835904E-3</v>
      </c>
      <c r="T17" s="18">
        <f>IF(OR(O17="",O18=""),0,IF(AND(O17&gt;=Parametri!$B$11,P17&gt;=Parametri!$B$10,P18&lt;Parametri!$B$10),ROW(),0))</f>
        <v>0</v>
      </c>
      <c r="V17" s="41">
        <v>0.18365300000000001</v>
      </c>
      <c r="W17" s="41">
        <v>1.982747</v>
      </c>
      <c r="X17" s="13">
        <f t="shared" si="9"/>
        <v>0.68660095049055125</v>
      </c>
      <c r="Y17" s="23">
        <f t="shared" si="10"/>
        <v>-0.35524906373487386</v>
      </c>
      <c r="Z17" s="34">
        <f t="shared" si="11"/>
        <v>1.2137914493033333E-3</v>
      </c>
      <c r="AA17" s="18">
        <f>IF(OR(V17="",V18=""),0,IF(AND(V17&gt;=Parametri!$B$11,W17&gt;=Parametri!$B$10,W18&lt;Parametri!$B$10),ROW(),0))</f>
        <v>0</v>
      </c>
      <c r="AC17" s="41"/>
      <c r="AD17" s="41"/>
      <c r="AE17" s="13" t="str">
        <f t="shared" si="12"/>
        <v/>
      </c>
      <c r="AF17" s="23" t="str">
        <f t="shared" si="13"/>
        <v/>
      </c>
      <c r="AG17" s="34" t="str">
        <f t="shared" si="14"/>
        <v/>
      </c>
      <c r="AH17" s="18">
        <f>IF(OR(AC17="",AC18=""),0,IF(AND(AC17&gt;=Parametri!$B$11,AD17&gt;=Parametri!$B$10,AD18&lt;Parametri!$B$10),ROW(),0))</f>
        <v>0</v>
      </c>
    </row>
    <row r="18" spans="1:34" x14ac:dyDescent="0.25">
      <c r="A18" s="41">
        <v>0.20729719999999999</v>
      </c>
      <c r="B18" s="41">
        <v>0.47502626199999998</v>
      </c>
      <c r="C18" s="13">
        <f t="shared" si="0"/>
        <v>0.61387457398167578</v>
      </c>
      <c r="D18" s="23">
        <f t="shared" si="1"/>
        <v>-0.36482731634864413</v>
      </c>
      <c r="E18" s="34">
        <f t="shared" si="2"/>
        <v>1.2308951754883299E-3</v>
      </c>
      <c r="F18" s="18">
        <f>IF(OR(A18="",A19=""),0,IF(AND(A18&gt;=Parametri!$B$11,B18&gt;=Parametri!$B$10,B19&lt;Parametri!$B$10),ROW(),0))</f>
        <v>0</v>
      </c>
      <c r="H18" s="41">
        <v>0.1755256</v>
      </c>
      <c r="I18" s="41">
        <v>0.89154777900000004</v>
      </c>
      <c r="J18" s="13">
        <f t="shared" si="3"/>
        <v>0.62947342505907422</v>
      </c>
      <c r="K18" s="23">
        <f t="shared" si="4"/>
        <v>-0.35766362760132314</v>
      </c>
      <c r="L18" s="34">
        <f t="shared" si="5"/>
        <v>1.043263058917616E-3</v>
      </c>
      <c r="M18" s="18">
        <f>IF(OR(H18="",H19=""),0,IF(AND(H18&gt;=Parametri!$B$11,I18&gt;=Parametri!$B$10,I19&lt;Parametri!$B$10),ROW(),0))</f>
        <v>0</v>
      </c>
      <c r="O18" s="41">
        <v>0.2331578</v>
      </c>
      <c r="P18" s="41">
        <v>1.501202699</v>
      </c>
      <c r="Q18" s="13">
        <f t="shared" si="6"/>
        <v>0.62859860260495615</v>
      </c>
      <c r="R18" s="23">
        <f t="shared" si="7"/>
        <v>-0.35648565078671213</v>
      </c>
      <c r="S18" s="34">
        <f t="shared" si="8"/>
        <v>1.4000684746116087E-3</v>
      </c>
      <c r="T18" s="18">
        <f>IF(OR(O18="",O19=""),0,IF(AND(O18&gt;=Parametri!$B$11,P18&gt;=Parametri!$B$10,P19&lt;Parametri!$B$10),ROW(),0))</f>
        <v>0</v>
      </c>
      <c r="V18" s="41">
        <v>0.21911900000000001</v>
      </c>
      <c r="W18" s="41">
        <v>1.8621989999999999</v>
      </c>
      <c r="X18" s="13">
        <f t="shared" si="9"/>
        <v>0.64485665765856859</v>
      </c>
      <c r="Y18" s="23">
        <f t="shared" si="10"/>
        <v>-0.3742103168549244</v>
      </c>
      <c r="Z18" s="34">
        <f t="shared" si="11"/>
        <v>1.3601439422699999E-3</v>
      </c>
      <c r="AA18" s="18">
        <f>IF(OR(V18="",V19=""),0,IF(AND(V18&gt;=Parametri!$B$11,W18&gt;=Parametri!$B$10,W19&lt;Parametri!$B$10),ROW(),0))</f>
        <v>0</v>
      </c>
      <c r="AC18" s="41"/>
      <c r="AD18" s="41"/>
      <c r="AE18" s="13" t="str">
        <f t="shared" si="12"/>
        <v/>
      </c>
      <c r="AF18" s="23" t="str">
        <f t="shared" si="13"/>
        <v/>
      </c>
      <c r="AG18" s="34" t="str">
        <f t="shared" si="14"/>
        <v/>
      </c>
      <c r="AH18" s="18">
        <f>IF(OR(AC18="",AC19=""),0,IF(AND(AC18&gt;=Parametri!$B$11,AD18&gt;=Parametri!$B$10,AD19&lt;Parametri!$B$10),ROW(),0))</f>
        <v>0</v>
      </c>
    </row>
    <row r="19" spans="1:34" x14ac:dyDescent="0.25">
      <c r="A19" s="41">
        <v>0.2464575</v>
      </c>
      <c r="B19" s="41">
        <v>0.44596559699999999</v>
      </c>
      <c r="C19" s="13">
        <f t="shared" si="0"/>
        <v>0.57631959066056593</v>
      </c>
      <c r="D19" s="23">
        <f t="shared" si="1"/>
        <v>-0.3768401718317988</v>
      </c>
      <c r="E19" s="34">
        <f t="shared" si="2"/>
        <v>1.3738945765328437E-3</v>
      </c>
      <c r="F19" s="18">
        <f>IF(OR(A19="",A20=""),0,IF(AND(A19&gt;=Parametri!$B$11,B19&gt;=Parametri!$B$10,B20&lt;Parametri!$B$10),ROW(),0))</f>
        <v>0</v>
      </c>
      <c r="H19" s="41">
        <v>0.2109916</v>
      </c>
      <c r="I19" s="41">
        <v>0.83475391499999996</v>
      </c>
      <c r="J19" s="13">
        <f t="shared" si="3"/>
        <v>0.58937436482192307</v>
      </c>
      <c r="K19" s="23">
        <f t="shared" si="4"/>
        <v>-0.37467838047989221</v>
      </c>
      <c r="L19" s="34">
        <f t="shared" si="5"/>
        <v>1.1741737608807598E-3</v>
      </c>
      <c r="M19" s="18">
        <f>IF(OR(H19="",H20=""),0,IF(AND(H19&gt;=Parametri!$B$11,I19&gt;=Parametri!$B$10,I20&lt;Parametri!$B$10),ROW(),0))</f>
        <v>0</v>
      </c>
      <c r="O19" s="41">
        <v>0.28857329999999998</v>
      </c>
      <c r="P19" s="41">
        <v>1.391318488</v>
      </c>
      <c r="Q19" s="13">
        <f t="shared" si="6"/>
        <v>0.58258678719258039</v>
      </c>
      <c r="R19" s="23">
        <f t="shared" si="7"/>
        <v>-0.3924308123008779</v>
      </c>
      <c r="S19" s="34">
        <f t="shared" si="8"/>
        <v>1.6059894697326815E-3</v>
      </c>
      <c r="T19" s="18">
        <f>IF(OR(O19="",O20=""),0,IF(AND(O19&gt;=Parametri!$B$11,P19&gt;=Parametri!$B$10,P20&lt;Parametri!$B$10),ROW(),0))</f>
        <v>0</v>
      </c>
      <c r="V19" s="41">
        <v>0.26197399999999998</v>
      </c>
      <c r="W19" s="41">
        <v>1.741789</v>
      </c>
      <c r="X19" s="13">
        <f t="shared" si="9"/>
        <v>0.60316015253281774</v>
      </c>
      <c r="Y19" s="23">
        <f t="shared" si="10"/>
        <v>-0.40127064126904743</v>
      </c>
      <c r="Z19" s="34">
        <f t="shared" si="11"/>
        <v>1.5210114382866666E-3</v>
      </c>
      <c r="AA19" s="18">
        <f>IF(OR(V19="",V20=""),0,IF(AND(V19&gt;=Parametri!$B$11,W19&gt;=Parametri!$B$10,W20&lt;Parametri!$B$10),ROW(),0))</f>
        <v>0</v>
      </c>
      <c r="AC19" s="41"/>
      <c r="AD19" s="41"/>
      <c r="AE19" s="13" t="str">
        <f t="shared" si="12"/>
        <v/>
      </c>
      <c r="AF19" s="23" t="str">
        <f t="shared" si="13"/>
        <v/>
      </c>
      <c r="AG19" s="34" t="str">
        <f t="shared" si="14"/>
        <v/>
      </c>
      <c r="AH19" s="18">
        <f>IF(OR(AC19="",AC20=""),0,IF(AND(AC19&gt;=Parametri!$B$11,AD19&gt;=Parametri!$B$10,AD20&lt;Parametri!$B$10),ROW(),0))</f>
        <v>0</v>
      </c>
    </row>
    <row r="20" spans="1:34" x14ac:dyDescent="0.25">
      <c r="A20" s="41">
        <v>0.29522320000000002</v>
      </c>
      <c r="B20" s="41">
        <v>0.41663323000000002</v>
      </c>
      <c r="C20" s="13">
        <f t="shared" si="0"/>
        <v>0.53841348791124222</v>
      </c>
      <c r="D20" s="23">
        <f t="shared" si="1"/>
        <v>-0.40451152950534791</v>
      </c>
      <c r="E20" s="34">
        <f t="shared" si="2"/>
        <v>1.5374974423367003E-3</v>
      </c>
      <c r="F20" s="18">
        <f>IF(OR(A20="",A21=""),0,IF(AND(A20&gt;=Parametri!$B$11,B20&gt;=Parametri!$B$10,B21&lt;Parametri!$B$10),ROW(),0))</f>
        <v>0</v>
      </c>
      <c r="H20" s="41">
        <v>0.25162960000000001</v>
      </c>
      <c r="I20" s="41">
        <v>0.78144219299999995</v>
      </c>
      <c r="J20" s="13">
        <f t="shared" si="3"/>
        <v>0.55173385577284251</v>
      </c>
      <c r="K20" s="23">
        <f t="shared" si="4"/>
        <v>-0.38339319172882041</v>
      </c>
      <c r="L20" s="34">
        <f t="shared" si="5"/>
        <v>1.3108932429847519E-3</v>
      </c>
      <c r="M20" s="18">
        <f>IF(OR(H20="",H21=""),0,IF(AND(H20&gt;=Parametri!$B$11,I20&gt;=Parametri!$B$10,I21&lt;Parametri!$B$10),ROW(),0))</f>
        <v>0</v>
      </c>
      <c r="O20" s="41">
        <v>0.34694439999999999</v>
      </c>
      <c r="P20" s="41">
        <v>1.2942871069999999</v>
      </c>
      <c r="Q20" s="13">
        <f t="shared" si="6"/>
        <v>0.54195683725573374</v>
      </c>
      <c r="R20" s="23">
        <f t="shared" si="7"/>
        <v>-0.43948139871101077</v>
      </c>
      <c r="S20" s="34">
        <f t="shared" si="8"/>
        <v>1.7961826550634029E-3</v>
      </c>
      <c r="T20" s="18">
        <f>IF(OR(O20="",O21=""),0,IF(AND(O20&gt;=Parametri!$B$11,P20&gt;=Parametri!$B$10,P21&lt;Parametri!$B$10),ROW(),0))</f>
        <v>0</v>
      </c>
      <c r="V20" s="41">
        <v>0.31591200000000003</v>
      </c>
      <c r="W20" s="41">
        <v>1.615731</v>
      </c>
      <c r="X20" s="13">
        <f t="shared" si="9"/>
        <v>0.55950781432883201</v>
      </c>
      <c r="Y20" s="23">
        <f t="shared" si="10"/>
        <v>-0.4552465478740611</v>
      </c>
      <c r="Z20" s="34">
        <f t="shared" si="11"/>
        <v>1.7014293722400001E-3</v>
      </c>
      <c r="AA20" s="18">
        <f>IF(OR(V20="",V21=""),0,IF(AND(V20&gt;=Parametri!$B$11,W20&gt;=Parametri!$B$10,W21&lt;Parametri!$B$10),ROW(),0))</f>
        <v>0</v>
      </c>
      <c r="AC20" s="41"/>
      <c r="AD20" s="41"/>
      <c r="AE20" s="13" t="str">
        <f t="shared" si="12"/>
        <v/>
      </c>
      <c r="AF20" s="23" t="str">
        <f t="shared" si="13"/>
        <v/>
      </c>
      <c r="AG20" s="34" t="str">
        <f t="shared" si="14"/>
        <v/>
      </c>
      <c r="AH20" s="18">
        <f>IF(OR(AC20="",AC21=""),0,IF(AND(AC20&gt;=Parametri!$B$11,AD20&gt;=Parametri!$B$10,AD21&lt;Parametri!$B$10),ROW(),0))</f>
        <v>0</v>
      </c>
    </row>
    <row r="21" spans="1:34" x14ac:dyDescent="0.25">
      <c r="A21" s="41">
        <v>0.36246070000000002</v>
      </c>
      <c r="B21" s="41">
        <v>0.383449084</v>
      </c>
      <c r="C21" s="13">
        <f t="shared" si="0"/>
        <v>0.49552974627782542</v>
      </c>
      <c r="D21" s="23">
        <f t="shared" si="1"/>
        <v>-0.48931901525700872</v>
      </c>
      <c r="E21" s="34">
        <f t="shared" si="2"/>
        <v>1.7373152925124851E-3</v>
      </c>
      <c r="F21" s="18">
        <f>IF(OR(A21="",A22=""),0,IF(AND(A21&gt;=Parametri!$B$11,B21&gt;=Parametri!$B$10,B22&lt;Parametri!$B$10),ROW(),0))</f>
        <v>0</v>
      </c>
      <c r="H21" s="41">
        <v>0.29817870000000002</v>
      </c>
      <c r="I21" s="41">
        <v>0.73220901199999999</v>
      </c>
      <c r="J21" s="13">
        <f t="shared" si="3"/>
        <v>0.51697298282738557</v>
      </c>
      <c r="K21" s="23">
        <f t="shared" si="4"/>
        <v>-0.39093117356121987</v>
      </c>
      <c r="L21" s="34">
        <f t="shared" si="5"/>
        <v>1.4555275421762961E-3</v>
      </c>
      <c r="M21" s="18">
        <f>IF(OR(H21="",H22=""),0,IF(AND(H21&gt;=Parametri!$B$11,I21&gt;=Parametri!$B$10,I22&lt;Parametri!$B$10),ROW(),0))</f>
        <v>0</v>
      </c>
      <c r="O21" s="41">
        <v>0.39127679999999998</v>
      </c>
      <c r="P21" s="41">
        <v>1.227662679</v>
      </c>
      <c r="Q21" s="13">
        <f t="shared" si="6"/>
        <v>0.51405919067672601</v>
      </c>
      <c r="R21" s="23">
        <f t="shared" si="7"/>
        <v>-1.0398210920723179</v>
      </c>
      <c r="S21" s="34">
        <f t="shared" si="8"/>
        <v>1.9214236980741887E-3</v>
      </c>
      <c r="T21" s="18">
        <f>IF(OR(O21="",O22=""),0,IF(AND(O21&gt;=Parametri!$B$11,P21&gt;=Parametri!$B$10,P22&lt;Parametri!$B$10),ROW(),0))</f>
        <v>0</v>
      </c>
      <c r="V21" s="41">
        <v>0.39201599999999998</v>
      </c>
      <c r="W21" s="41">
        <v>1.46452</v>
      </c>
      <c r="X21" s="13">
        <f t="shared" si="9"/>
        <v>0.50714530094481147</v>
      </c>
      <c r="Y21" s="23">
        <f t="shared" si="10"/>
        <v>-1.0719924270536034</v>
      </c>
      <c r="Z21" s="34">
        <f t="shared" si="11"/>
        <v>1.9137175744000001E-3</v>
      </c>
      <c r="AA21" s="18">
        <f>IF(OR(V21="",V22=""),0,IF(AND(V21&gt;=Parametri!$B$11,W21&gt;=Parametri!$B$10,W22&lt;Parametri!$B$10),ROW(),0))</f>
        <v>0</v>
      </c>
      <c r="AC21" s="41"/>
      <c r="AD21" s="41"/>
      <c r="AE21" s="13" t="str">
        <f t="shared" si="12"/>
        <v/>
      </c>
      <c r="AF21" s="23" t="str">
        <f t="shared" si="13"/>
        <v/>
      </c>
      <c r="AG21" s="34" t="str">
        <f t="shared" si="14"/>
        <v/>
      </c>
      <c r="AH21" s="18">
        <f>IF(OR(AC21="",AC22=""),0,IF(AND(AC21&gt;=Parametri!$B$11,AD21&gt;=Parametri!$B$10,AD22&lt;Parametri!$B$10),ROW(),0))</f>
        <v>0</v>
      </c>
    </row>
    <row r="22" spans="1:34" x14ac:dyDescent="0.25">
      <c r="A22" s="41">
        <v>0.39201570000000002</v>
      </c>
      <c r="B22" s="41">
        <v>0.36902011899999998</v>
      </c>
      <c r="C22" s="13">
        <f t="shared" si="0"/>
        <v>0.47688325143966948</v>
      </c>
      <c r="D22" s="23">
        <f t="shared" si="1"/>
        <v>-1.1227427688071616</v>
      </c>
      <c r="E22" s="34">
        <f t="shared" si="2"/>
        <v>1.8082710032983537E-3</v>
      </c>
      <c r="F22" s="18">
        <f>IF(OR(A22="",A23=""),0,IF(AND(A22&gt;=Parametri!$B$11,B22&gt;=Parametri!$B$10,B23&lt;Parametri!$B$10),ROW(),0))</f>
        <v>0</v>
      </c>
      <c r="H22" s="41">
        <v>0.3580275</v>
      </c>
      <c r="I22" s="41">
        <v>0.68167848600000003</v>
      </c>
      <c r="J22" s="13">
        <f t="shared" si="3"/>
        <v>0.48129612509696368</v>
      </c>
      <c r="K22" s="23">
        <f t="shared" si="4"/>
        <v>-0.450626225685687</v>
      </c>
      <c r="L22" s="34">
        <f t="shared" si="5"/>
        <v>1.6270642943091E-3</v>
      </c>
      <c r="M22" s="18">
        <f>IF(OR(H22="",H23=""),0,IF(AND(H22&gt;=Parametri!$B$11,I22&gt;=Parametri!$B$10,I23&lt;Parametri!$B$10),ROW(),0))</f>
        <v>0</v>
      </c>
      <c r="O22" s="41">
        <v>0.40309879999999998</v>
      </c>
      <c r="P22" s="41">
        <v>1.1902463619999999</v>
      </c>
      <c r="Q22" s="13">
        <f t="shared" si="6"/>
        <v>0.49839185634773003</v>
      </c>
      <c r="R22" s="23">
        <f t="shared" si="7"/>
        <v>-1.8157465811357707</v>
      </c>
      <c r="S22" s="34">
        <f t="shared" si="8"/>
        <v>1.9191475209062621E-3</v>
      </c>
      <c r="T22" s="18">
        <f>IF(OR(O22="",O23=""),0,IF(AND(O22&gt;=Parametri!$B$11,P22&gt;=Parametri!$B$10,P23&lt;Parametri!$B$10),ROW(),0))</f>
        <v>0</v>
      </c>
      <c r="V22" s="41">
        <v>0.40309899999999999</v>
      </c>
      <c r="W22" s="41">
        <v>1.4213979999999999</v>
      </c>
      <c r="X22" s="13">
        <f t="shared" si="9"/>
        <v>0.49221268161059806</v>
      </c>
      <c r="Y22" s="23">
        <f t="shared" si="10"/>
        <v>-1.8288220388790168</v>
      </c>
      <c r="Z22" s="34">
        <f t="shared" si="11"/>
        <v>1.9098803746733332E-3</v>
      </c>
      <c r="AA22" s="18">
        <f>IF(OR(V22="",V23=""),0,IF(AND(V22&gt;=Parametri!$B$11,W22&gt;=Parametri!$B$10,W23&lt;Parametri!$B$10),ROW(),0))</f>
        <v>0</v>
      </c>
      <c r="AC22" s="41"/>
      <c r="AD22" s="41"/>
      <c r="AE22" s="13" t="str">
        <f t="shared" si="12"/>
        <v/>
      </c>
      <c r="AF22" s="23" t="str">
        <f t="shared" si="13"/>
        <v/>
      </c>
      <c r="AG22" s="34" t="str">
        <f t="shared" si="14"/>
        <v/>
      </c>
      <c r="AH22" s="18">
        <f>IF(OR(AC22="",AC23=""),0,IF(AND(AC22&gt;=Parametri!$B$11,AD22&gt;=Parametri!$B$10,AD23&lt;Parametri!$B$10),ROW(),0))</f>
        <v>0</v>
      </c>
    </row>
    <row r="23" spans="1:34" x14ac:dyDescent="0.25">
      <c r="A23" s="41">
        <v>0.40605429999999998</v>
      </c>
      <c r="B23" s="41">
        <v>0.35472663700000001</v>
      </c>
      <c r="C23" s="13">
        <f t="shared" si="0"/>
        <v>0.45841184075066482</v>
      </c>
      <c r="D23" s="23">
        <f t="shared" si="1"/>
        <v>-1.7712150553687289</v>
      </c>
      <c r="E23" s="34">
        <f t="shared" si="2"/>
        <v>1.8004784534798638E-3</v>
      </c>
      <c r="F23" s="18">
        <f>IF(OR(A23="",A24=""),0,IF(AND(A23&gt;=Parametri!$B$11,B23&gt;=Parametri!$B$10,B24&lt;Parametri!$B$10),ROW(),0))</f>
        <v>0</v>
      </c>
      <c r="H23" s="41">
        <v>0.39275460000000001</v>
      </c>
      <c r="I23" s="41">
        <v>0.653826032</v>
      </c>
      <c r="J23" s="13">
        <f t="shared" si="3"/>
        <v>0.46163102129810119</v>
      </c>
      <c r="K23" s="23">
        <f t="shared" si="4"/>
        <v>-0.96166953808526057</v>
      </c>
      <c r="L23" s="34">
        <f t="shared" si="5"/>
        <v>1.7119545444516482E-3</v>
      </c>
      <c r="M23" s="18">
        <f>IF(OR(H23="",H24=""),0,IF(AND(H23&gt;=Parametri!$B$11,I23&gt;=Parametri!$B$10,I24&lt;Parametri!$B$10),ROW(),0))</f>
        <v>0</v>
      </c>
      <c r="O23" s="41">
        <v>0.46516420000000003</v>
      </c>
      <c r="P23" s="41">
        <v>0.91771305000000003</v>
      </c>
      <c r="Q23" s="13">
        <f t="shared" si="6"/>
        <v>0.38427398325796125</v>
      </c>
      <c r="R23" s="23">
        <f t="shared" si="7"/>
        <v>-1.9919290345113634</v>
      </c>
      <c r="S23" s="34">
        <f t="shared" si="8"/>
        <v>1.7075490269312401E-3</v>
      </c>
      <c r="T23" s="18">
        <f>IF(OR(O23="",O24=""),0,IF(AND(O23&gt;=Parametri!$B$11,P23&gt;=Parametri!$B$10,P24&lt;Parametri!$B$10),ROW(),0))</f>
        <v>0</v>
      </c>
      <c r="V23" s="41">
        <v>0.46516400000000002</v>
      </c>
      <c r="W23" s="41">
        <v>1.0938889999999999</v>
      </c>
      <c r="X23" s="13">
        <f t="shared" si="9"/>
        <v>0.37880033465245866</v>
      </c>
      <c r="Y23" s="23">
        <f t="shared" si="10"/>
        <v>-1.9984274565431757</v>
      </c>
      <c r="Z23" s="34">
        <f t="shared" si="11"/>
        <v>1.6961259426533334E-3</v>
      </c>
      <c r="AA23" s="18">
        <f>IF(OR(V23="",V24=""),0,IF(AND(V23&gt;=Parametri!$B$11,W23&gt;=Parametri!$B$10,W24&lt;Parametri!$B$10),ROW(),0))</f>
        <v>0</v>
      </c>
      <c r="AC23" s="41"/>
      <c r="AD23" s="41"/>
      <c r="AE23" s="13" t="str">
        <f t="shared" si="12"/>
        <v/>
      </c>
      <c r="AF23" s="23" t="str">
        <f t="shared" si="13"/>
        <v/>
      </c>
      <c r="AG23" s="34" t="str">
        <f t="shared" si="14"/>
        <v/>
      </c>
      <c r="AH23" s="18">
        <f>IF(OR(AC23="",AC24=""),0,IF(AND(AC23&gt;=Parametri!$B$11,AD23&gt;=Parametri!$B$10,AD24&lt;Parametri!$B$10),ROW(),0))</f>
        <v>0</v>
      </c>
    </row>
    <row r="24" spans="1:34" x14ac:dyDescent="0.25">
      <c r="A24" s="41">
        <v>0.46516420000000003</v>
      </c>
      <c r="B24" s="41">
        <v>0.27883857000000001</v>
      </c>
      <c r="C24" s="13">
        <f t="shared" si="0"/>
        <v>0.36034198961490199</v>
      </c>
      <c r="D24" s="23">
        <f t="shared" si="1"/>
        <v>-1.9231082465468505</v>
      </c>
      <c r="E24" s="34">
        <f t="shared" si="2"/>
        <v>1.6213215042899249E-3</v>
      </c>
      <c r="F24" s="18">
        <f>IF(OR(A24="",A25=""),0,IF(AND(A24&gt;=Parametri!$B$11,B24&gt;=Parametri!$B$10,B25&lt;Parametri!$B$10),ROW(),0))</f>
        <v>24</v>
      </c>
      <c r="H24" s="41">
        <v>0.40605429999999998</v>
      </c>
      <c r="I24" s="41">
        <v>0.63321871399999996</v>
      </c>
      <c r="J24" s="13">
        <f t="shared" si="3"/>
        <v>0.44708131420636099</v>
      </c>
      <c r="K24" s="23">
        <f t="shared" si="4"/>
        <v>-1.342496420600694</v>
      </c>
      <c r="L24" s="34">
        <f t="shared" si="5"/>
        <v>1.7141412110678012E-3</v>
      </c>
      <c r="M24" s="18">
        <f>IF(OR(H24="",H25=""),0,IF(AND(H24&gt;=Parametri!$B$11,I24&gt;=Parametri!$B$10,I25&lt;Parametri!$B$10),ROW(),0))</f>
        <v>0</v>
      </c>
      <c r="O24" s="41">
        <v>0.54791809999999996</v>
      </c>
      <c r="P24" s="41">
        <v>0.66231120200000004</v>
      </c>
      <c r="Q24" s="13">
        <f t="shared" si="6"/>
        <v>0.27732956804843101</v>
      </c>
      <c r="R24" s="23">
        <f t="shared" si="7"/>
        <v>-1.079403548580913</v>
      </c>
      <c r="S24" s="34">
        <f t="shared" si="8"/>
        <v>1.4515691816342248E-3</v>
      </c>
      <c r="T24" s="18">
        <f>IF(OR(O24="",O25=""),0,IF(AND(O24&gt;=Parametri!$B$11,P24&gt;=Parametri!$B$10,P25&lt;Parametri!$B$10),ROW(),0))</f>
        <v>0</v>
      </c>
      <c r="V24" s="41">
        <v>0.54791800000000002</v>
      </c>
      <c r="W24" s="41">
        <v>0.78861700000000001</v>
      </c>
      <c r="X24" s="13">
        <f t="shared" si="9"/>
        <v>0.27308838786441592</v>
      </c>
      <c r="Y24" s="23">
        <f t="shared" si="10"/>
        <v>-1.0911013417625992</v>
      </c>
      <c r="Z24" s="34">
        <f t="shared" si="11"/>
        <v>1.4403248313533334E-3</v>
      </c>
      <c r="AA24" s="18">
        <f>IF(OR(V24="",V25=""),0,IF(AND(V24&gt;=Parametri!$B$11,W24&gt;=Parametri!$B$10,W25&lt;Parametri!$B$10),ROW(),0))</f>
        <v>0</v>
      </c>
      <c r="AC24" s="41"/>
      <c r="AD24" s="41"/>
      <c r="AE24" s="13" t="str">
        <f t="shared" si="12"/>
        <v/>
      </c>
      <c r="AF24" s="23" t="str">
        <f t="shared" si="13"/>
        <v/>
      </c>
      <c r="AG24" s="34" t="str">
        <f t="shared" si="14"/>
        <v/>
      </c>
      <c r="AH24" s="18">
        <f>IF(OR(AC24="",AC25=""),0,IF(AND(AC24&gt;=Parametri!$B$11,AD24&gt;=Parametri!$B$10,AD25&lt;Parametri!$B$10),ROW(),0))</f>
        <v>0</v>
      </c>
    </row>
    <row r="25" spans="1:34" x14ac:dyDescent="0.25">
      <c r="A25" s="41">
        <v>0.54791809999999996</v>
      </c>
      <c r="B25" s="41">
        <v>0.203517539</v>
      </c>
      <c r="C25" s="13">
        <f t="shared" si="0"/>
        <v>0.26300491687641492</v>
      </c>
      <c r="D25" s="23">
        <f t="shared" si="1"/>
        <v>-1.0477135046883772</v>
      </c>
      <c r="E25" s="34">
        <f t="shared" si="2"/>
        <v>1.3938867910694487E-3</v>
      </c>
      <c r="F25" s="18">
        <f>IF(OR(A25="",A26=""),0,IF(AND(A25&gt;=Parametri!$B$11,B25&gt;=Parametri!$B$10,B26&lt;Parametri!$B$10),ROW(),0))</f>
        <v>0</v>
      </c>
      <c r="H25" s="41">
        <v>0.42969829999999998</v>
      </c>
      <c r="I25" s="41">
        <v>0.58688879999999999</v>
      </c>
      <c r="J25" s="13">
        <f t="shared" si="3"/>
        <v>0.41437028027727268</v>
      </c>
      <c r="K25" s="23">
        <f t="shared" si="4"/>
        <v>-1.7487327527836494</v>
      </c>
      <c r="L25" s="34">
        <f t="shared" si="5"/>
        <v>1.6812341309936001E-3</v>
      </c>
      <c r="M25" s="18">
        <f>IF(OR(H25="",H26=""),0,IF(AND(H25&gt;=Parametri!$B$11,I25&gt;=Parametri!$B$10,I26&lt;Parametri!$B$10),ROW(),0))</f>
        <v>0</v>
      </c>
      <c r="O25" s="41">
        <v>0.71342589999999995</v>
      </c>
      <c r="P25" s="41">
        <v>0.49811152600000003</v>
      </c>
      <c r="Q25" s="13">
        <f t="shared" si="6"/>
        <v>0.20857423810495179</v>
      </c>
      <c r="R25" s="23">
        <f t="shared" si="7"/>
        <v>-8.9217123473223067E-2</v>
      </c>
      <c r="S25" s="34">
        <f t="shared" si="8"/>
        <v>1.4214626549476936E-3</v>
      </c>
      <c r="T25" s="18">
        <f>IF(OR(O25="",O26=""),0,IF(AND(O25&gt;=Parametri!$B$11,P25&gt;=Parametri!$B$10,P26&lt;Parametri!$B$10),ROW(),0))</f>
        <v>0</v>
      </c>
      <c r="V25" s="41">
        <v>0.713426</v>
      </c>
      <c r="W25" s="41">
        <v>0.591275</v>
      </c>
      <c r="X25" s="13">
        <f t="shared" si="9"/>
        <v>0.20475127537769602</v>
      </c>
      <c r="Y25" s="23">
        <f t="shared" si="10"/>
        <v>-0.14423431206789628</v>
      </c>
      <c r="Z25" s="34">
        <f t="shared" si="11"/>
        <v>1.4061031938333334E-3</v>
      </c>
      <c r="AA25" s="18">
        <f>IF(OR(V25="",V26=""),0,IF(AND(V25&gt;=Parametri!$B$11,W25&gt;=Parametri!$B$10,W26&lt;Parametri!$B$10),ROW(),0))</f>
        <v>0</v>
      </c>
      <c r="AC25" s="41"/>
      <c r="AD25" s="41"/>
      <c r="AE25" s="13" t="str">
        <f t="shared" si="12"/>
        <v/>
      </c>
      <c r="AF25" s="23" t="str">
        <f t="shared" si="13"/>
        <v/>
      </c>
      <c r="AG25" s="34" t="str">
        <f t="shared" si="14"/>
        <v/>
      </c>
      <c r="AH25" s="18">
        <f>IF(OR(AC25="",AC26=""),0,IF(AND(AC25&gt;=Parametri!$B$11,AD25&gt;=Parametri!$B$10,AD26&lt;Parametri!$B$10),ROW(),0))</f>
        <v>0</v>
      </c>
    </row>
    <row r="26" spans="1:34" x14ac:dyDescent="0.25">
      <c r="A26" s="41">
        <v>0.71342589999999995</v>
      </c>
      <c r="B26" s="41">
        <v>0.15434730999999999</v>
      </c>
      <c r="C26" s="13">
        <f t="shared" si="0"/>
        <v>0.19946242292487745</v>
      </c>
      <c r="D26" s="23">
        <f t="shared" si="1"/>
        <v>-0.14302274416408584</v>
      </c>
      <c r="E26" s="34">
        <f t="shared" si="2"/>
        <v>1.3764421068666122E-3</v>
      </c>
      <c r="F26" s="18">
        <f>IF(OR(A26="",A27=""),0,IF(AND(A26&gt;=Parametri!$B$11,B26&gt;=Parametri!$B$10,B27&lt;Parametri!$B$10),ROW(),0))</f>
        <v>0</v>
      </c>
      <c r="H26" s="41">
        <v>0.46516420000000003</v>
      </c>
      <c r="I26" s="41">
        <v>0.51088698099999996</v>
      </c>
      <c r="J26" s="13">
        <f t="shared" si="3"/>
        <v>0.36070952709777332</v>
      </c>
      <c r="K26" s="23">
        <f t="shared" si="4"/>
        <v>-1.846887087635569</v>
      </c>
      <c r="L26" s="34">
        <f t="shared" si="5"/>
        <v>1.5843088920485346E-3</v>
      </c>
      <c r="M26" s="18">
        <f>IF(OR(H26="",H27=""),0,IF(AND(H26&gt;=Parametri!$B$11,I26&gt;=Parametri!$B$10,I27&lt;Parametri!$B$10),ROW(),0))</f>
        <v>0</v>
      </c>
      <c r="O26" s="41">
        <v>0.90257759999999998</v>
      </c>
      <c r="P26" s="41">
        <v>0.48776916199999998</v>
      </c>
      <c r="Q26" s="13">
        <f t="shared" si="6"/>
        <v>0.20424358005167056</v>
      </c>
      <c r="R26" s="23">
        <f t="shared" si="7"/>
        <v>-0.29243706829837057</v>
      </c>
      <c r="S26" s="34">
        <f t="shared" si="8"/>
        <v>1.7609980783678846E-3</v>
      </c>
      <c r="T26" s="18">
        <f>IF(OR(O26="",O27=""),0,IF(AND(O26&gt;=Parametri!$B$11,P26&gt;=Parametri!$B$10,P27&lt;Parametri!$B$10),ROW(),0))</f>
        <v>0</v>
      </c>
      <c r="V26" s="41">
        <v>0.90257799999999999</v>
      </c>
      <c r="W26" s="41">
        <v>0.57155500000000004</v>
      </c>
      <c r="X26" s="13">
        <f t="shared" si="9"/>
        <v>0.19792248141473773</v>
      </c>
      <c r="Y26" s="23">
        <f t="shared" si="10"/>
        <v>-0.34521508323869954</v>
      </c>
      <c r="Z26" s="34">
        <f t="shared" si="11"/>
        <v>1.7195765626333334E-3</v>
      </c>
      <c r="AA26" s="18">
        <f>IF(OR(V26="",V27=""),0,IF(AND(V26&gt;=Parametri!$B$11,W26&gt;=Parametri!$B$10,W27&lt;Parametri!$B$10),ROW(),0))</f>
        <v>0</v>
      </c>
      <c r="AC26" s="41"/>
      <c r="AD26" s="41"/>
      <c r="AE26" s="13" t="str">
        <f t="shared" si="12"/>
        <v/>
      </c>
      <c r="AF26" s="23" t="str">
        <f t="shared" si="13"/>
        <v/>
      </c>
      <c r="AG26" s="34" t="str">
        <f t="shared" si="14"/>
        <v/>
      </c>
      <c r="AH26" s="18">
        <f>IF(OR(AC26="",AC27=""),0,IF(AND(AC26&gt;=Parametri!$B$11,AD26&gt;=Parametri!$B$10,AD27&lt;Parametri!$B$10),ROW(),0))</f>
        <v>0</v>
      </c>
    </row>
    <row r="27" spans="1:34" x14ac:dyDescent="0.25">
      <c r="A27" s="41">
        <v>0.90257759999999998</v>
      </c>
      <c r="B27" s="41">
        <v>0.14924209599999999</v>
      </c>
      <c r="C27" s="13">
        <f t="shared" si="0"/>
        <v>0.19286497490981322</v>
      </c>
      <c r="D27" s="23">
        <f t="shared" si="1"/>
        <v>-0.33806869080885549</v>
      </c>
      <c r="E27" s="34">
        <f t="shared" si="2"/>
        <v>1.68378216033312E-3</v>
      </c>
      <c r="F27" s="18">
        <f>IF(OR(A27="",A28=""),0,IF(AND(A27&gt;=Parametri!$B$11,B27&gt;=Parametri!$B$10,B28&lt;Parametri!$B$10),ROW(),0))</f>
        <v>0</v>
      </c>
      <c r="H27" s="41">
        <v>0.54791809999999996</v>
      </c>
      <c r="I27" s="41">
        <v>0.37756686099999998</v>
      </c>
      <c r="J27" s="13">
        <f t="shared" si="3"/>
        <v>0.26657943722214505</v>
      </c>
      <c r="K27" s="23">
        <f t="shared" si="4"/>
        <v>-1.038660204088643</v>
      </c>
      <c r="L27" s="34">
        <f t="shared" si="5"/>
        <v>1.3791714473472272E-3</v>
      </c>
      <c r="M27" s="18">
        <f>IF(OR(H27="",H28=""),0,IF(AND(H27&gt;=Parametri!$B$11,I27&gt;=Parametri!$B$10,I28&lt;Parametri!$B$10),ROW(),0))</f>
        <v>0</v>
      </c>
      <c r="O27" s="41">
        <v>1.2335932000000001</v>
      </c>
      <c r="P27" s="41">
        <v>0.44517863099999999</v>
      </c>
      <c r="Q27" s="13">
        <f t="shared" si="6"/>
        <v>0.1864096471066812</v>
      </c>
      <c r="R27" s="23">
        <f t="shared" si="7"/>
        <v>-0.27451749667804959</v>
      </c>
      <c r="S27" s="34">
        <f t="shared" si="8"/>
        <v>2.1966773279476367E-3</v>
      </c>
      <c r="T27" s="18">
        <f>IF(OR(O27="",O28=""),0,IF(AND(O27&gt;=Parametri!$B$11,P27&gt;=Parametri!$B$10,P28&lt;Parametri!$B$10),ROW(),0))</f>
        <v>0</v>
      </c>
      <c r="V27" s="41">
        <v>1.2099489999999999</v>
      </c>
      <c r="W27" s="41">
        <v>0.51655700000000004</v>
      </c>
      <c r="X27" s="13">
        <f t="shared" si="9"/>
        <v>0.17887734904279148</v>
      </c>
      <c r="Y27" s="23">
        <f t="shared" si="10"/>
        <v>-0.30428308239182805</v>
      </c>
      <c r="Z27" s="34">
        <f t="shared" si="11"/>
        <v>2.0833587519766667E-3</v>
      </c>
      <c r="AA27" s="18">
        <f>IF(OR(V27="",V28=""),0,IF(AND(V27&gt;=Parametri!$B$11,W27&gt;=Parametri!$B$10,W28&lt;Parametri!$B$10),ROW(),0))</f>
        <v>0</v>
      </c>
      <c r="AC27" s="41"/>
      <c r="AD27" s="41"/>
      <c r="AE27" s="13" t="str">
        <f t="shared" si="12"/>
        <v/>
      </c>
      <c r="AF27" s="23" t="str">
        <f t="shared" si="13"/>
        <v/>
      </c>
      <c r="AG27" s="34" t="str">
        <f t="shared" si="14"/>
        <v/>
      </c>
      <c r="AH27" s="18">
        <f>IF(OR(AC27="",AC28=""),0,IF(AND(AC27&gt;=Parametri!$B$11,AD27&gt;=Parametri!$B$10,AD28&lt;Parametri!$B$10),ROW(),0))</f>
        <v>0</v>
      </c>
    </row>
    <row r="28" spans="1:34" x14ac:dyDescent="0.25">
      <c r="A28" s="41">
        <v>1.2572371</v>
      </c>
      <c r="B28" s="41">
        <v>0.13342346699999999</v>
      </c>
      <c r="C28" s="13">
        <f t="shared" si="0"/>
        <v>0.17242262273866277</v>
      </c>
      <c r="D28" s="23">
        <f t="shared" si="1"/>
        <v>-0.31773505375193128</v>
      </c>
      <c r="E28" s="34">
        <f t="shared" si="2"/>
        <v>2.0968116590378209E-3</v>
      </c>
      <c r="F28" s="18">
        <f>IF(OR(A28="",A29=""),0,IF(AND(A28&gt;=Parametri!$B$11,B28&gt;=Parametri!$B$10,B29&lt;Parametri!$B$10),ROW(),0))</f>
        <v>0</v>
      </c>
      <c r="H28" s="41">
        <v>0.71342589999999995</v>
      </c>
      <c r="I28" s="41">
        <v>0.287031064</v>
      </c>
      <c r="J28" s="13">
        <f t="shared" si="3"/>
        <v>0.20265703219751985</v>
      </c>
      <c r="K28" s="23">
        <f t="shared" si="4"/>
        <v>-0.11837807023164879</v>
      </c>
      <c r="L28" s="34">
        <f t="shared" si="5"/>
        <v>1.3651693010810506E-3</v>
      </c>
      <c r="M28" s="18">
        <f>IF(OR(H28="",H29=""),0,IF(AND(H28&gt;=Parametri!$B$11,I28&gt;=Parametri!$B$10,I29&lt;Parametri!$B$10),ROW(),0))</f>
        <v>0</v>
      </c>
      <c r="O28" s="41">
        <v>1.6355405999999999</v>
      </c>
      <c r="P28" s="41">
        <v>0.412011024</v>
      </c>
      <c r="Q28" s="13">
        <f t="shared" si="6"/>
        <v>0.17252137510594565</v>
      </c>
      <c r="R28" s="23">
        <f t="shared" si="7"/>
        <v>-0.17889752322354502</v>
      </c>
      <c r="S28" s="34">
        <f t="shared" si="8"/>
        <v>2.6954430295982978E-3</v>
      </c>
      <c r="T28" s="18">
        <f>IF(OR(O28="",O29=""),0,IF(AND(O28&gt;=Parametri!$B$11,P28&gt;=Parametri!$B$10,P29&lt;Parametri!$B$10),ROW(),0))</f>
        <v>0</v>
      </c>
      <c r="V28" s="41">
        <v>1.5409649999999999</v>
      </c>
      <c r="W28" s="41">
        <v>0.47991099999999998</v>
      </c>
      <c r="X28" s="13">
        <f t="shared" si="9"/>
        <v>0.16618728902420274</v>
      </c>
      <c r="Y28" s="23">
        <f t="shared" si="10"/>
        <v>-0.16611259666073394</v>
      </c>
      <c r="Z28" s="34">
        <f t="shared" si="11"/>
        <v>2.4650868470499996E-3</v>
      </c>
      <c r="AA28" s="18">
        <f>IF(OR(V28="",V29=""),0,IF(AND(V28&gt;=Parametri!$B$11,W28&gt;=Parametri!$B$10,W29&lt;Parametri!$B$10),ROW(),0))</f>
        <v>0</v>
      </c>
      <c r="AC28" s="41"/>
      <c r="AD28" s="41"/>
      <c r="AE28" s="13" t="str">
        <f t="shared" si="12"/>
        <v/>
      </c>
      <c r="AF28" s="23" t="str">
        <f t="shared" si="13"/>
        <v/>
      </c>
      <c r="AG28" s="34" t="str">
        <f t="shared" si="14"/>
        <v/>
      </c>
      <c r="AH28" s="18">
        <f>IF(OR(AC28="",AC29=""),0,IF(AND(AC28&gt;=Parametri!$B$11,AD28&gt;=Parametri!$B$10,AD29&lt;Parametri!$B$10),ROW(),0))</f>
        <v>0</v>
      </c>
    </row>
    <row r="29" spans="1:34" x14ac:dyDescent="0.25">
      <c r="A29" s="41">
        <v>1.5882527</v>
      </c>
      <c r="B29" s="41">
        <v>0.123874338</v>
      </c>
      <c r="C29" s="13">
        <f t="shared" si="0"/>
        <v>0.16008232081074314</v>
      </c>
      <c r="D29" s="23">
        <f t="shared" si="1"/>
        <v>-0.17951830777747604</v>
      </c>
      <c r="E29" s="34">
        <f t="shared" si="2"/>
        <v>2.4592968973651576E-3</v>
      </c>
      <c r="F29" s="18">
        <f>IF(OR(A29="",A30=""),0,IF(AND(A29&gt;=Parametri!$B$11,B29&gt;=Parametri!$B$10,B30&lt;Parametri!$B$10),ROW(),0))</f>
        <v>0</v>
      </c>
      <c r="H29" s="41">
        <v>0.90257759999999998</v>
      </c>
      <c r="I29" s="41">
        <v>0.27915041400000001</v>
      </c>
      <c r="J29" s="13">
        <f t="shared" si="3"/>
        <v>0.19709293359951102</v>
      </c>
      <c r="K29" s="23">
        <f t="shared" si="4"/>
        <v>-0.31920237909284116</v>
      </c>
      <c r="L29" s="34">
        <f t="shared" si="5"/>
        <v>1.679699404714176E-3</v>
      </c>
      <c r="M29" s="18">
        <f>IF(OR(H29="",H30=""),0,IF(AND(H29&gt;=Parametri!$B$11,I29&gt;=Parametri!$B$10,I30&lt;Parametri!$B$10),ROW(),0))</f>
        <v>29</v>
      </c>
      <c r="O29" s="41">
        <v>2.0611320000000002</v>
      </c>
      <c r="P29" s="41">
        <v>0.39531160900000001</v>
      </c>
      <c r="Q29" s="13">
        <f t="shared" si="6"/>
        <v>0.16552882910245606</v>
      </c>
      <c r="R29" s="23">
        <f t="shared" si="7"/>
        <v>-0.12803544946125497</v>
      </c>
      <c r="S29" s="34">
        <f t="shared" si="8"/>
        <v>3.2591576291255524E-3</v>
      </c>
      <c r="T29" s="18">
        <f>IF(OR(O29="",O30=""),0,IF(AND(O29&gt;=Parametri!$B$11,P29&gt;=Parametri!$B$10,P30&lt;Parametri!$B$10),ROW(),0))</f>
        <v>0</v>
      </c>
      <c r="V29" s="41">
        <v>1.966556</v>
      </c>
      <c r="W29" s="41">
        <v>0.46085799999999999</v>
      </c>
      <c r="X29" s="13">
        <f t="shared" si="9"/>
        <v>0.15958946897469745</v>
      </c>
      <c r="Y29" s="23">
        <f t="shared" si="10"/>
        <v>-0.11701108111110231</v>
      </c>
      <c r="Z29" s="34">
        <f t="shared" si="11"/>
        <v>3.0210102168266666E-3</v>
      </c>
      <c r="AA29" s="18">
        <f>IF(OR(V29="",V30=""),0,IF(AND(V29&gt;=Parametri!$B$11,W29&gt;=Parametri!$B$10,W30&lt;Parametri!$B$10),ROW(),0))</f>
        <v>0</v>
      </c>
      <c r="AC29" s="41"/>
      <c r="AD29" s="41"/>
      <c r="AE29" s="13" t="str">
        <f t="shared" si="12"/>
        <v/>
      </c>
      <c r="AF29" s="23" t="str">
        <f t="shared" si="13"/>
        <v/>
      </c>
      <c r="AG29" s="34" t="str">
        <f t="shared" si="14"/>
        <v/>
      </c>
      <c r="AH29" s="18">
        <f>IF(OR(AC29="",AC30=""),0,IF(AND(AC29&gt;=Parametri!$B$11,AD29&gt;=Parametri!$B$10,AD30&lt;Parametri!$B$10),ROW(),0))</f>
        <v>0</v>
      </c>
    </row>
    <row r="30" spans="1:34" x14ac:dyDescent="0.25">
      <c r="A30" s="41">
        <v>2.0138441</v>
      </c>
      <c r="B30" s="41">
        <v>0.11870578599999999</v>
      </c>
      <c r="C30" s="13">
        <f t="shared" si="0"/>
        <v>0.15340302134687026</v>
      </c>
      <c r="D30" s="23">
        <f t="shared" si="1"/>
        <v>-0.10231714193034305</v>
      </c>
      <c r="E30" s="34">
        <f t="shared" si="2"/>
        <v>2.9881868346495325E-3</v>
      </c>
      <c r="F30" s="18">
        <f>IF(OR(A30="",A31=""),0,IF(AND(A30&gt;=Parametri!$B$11,B30&gt;=Parametri!$B$10,B31&lt;Parametri!$B$10),ROW(),0))</f>
        <v>0</v>
      </c>
      <c r="H30" s="41">
        <v>1.3281689999999999</v>
      </c>
      <c r="I30" s="41">
        <v>0.24676643100000001</v>
      </c>
      <c r="J30" s="13">
        <f t="shared" si="3"/>
        <v>0.17422836349320736</v>
      </c>
      <c r="K30" s="23">
        <f t="shared" si="4"/>
        <v>-0.29262303508531096</v>
      </c>
      <c r="L30" s="34">
        <f t="shared" si="5"/>
        <v>2.1849834926322602E-3</v>
      </c>
      <c r="M30" s="18">
        <f>IF(OR(H30="",H31=""),0,IF(AND(H30&gt;=Parametri!$B$11,I30&gt;=Parametri!$B$10,I31&lt;Parametri!$B$10),ROW(),0))</f>
        <v>0</v>
      </c>
      <c r="O30" s="41">
        <v>3.4561261000000001</v>
      </c>
      <c r="P30" s="41">
        <v>0.369996561</v>
      </c>
      <c r="Q30" s="13">
        <f t="shared" si="6"/>
        <v>0.15492865911323503</v>
      </c>
      <c r="R30" s="23">
        <f t="shared" si="7"/>
        <v>-0.3851057123921352</v>
      </c>
      <c r="S30" s="34">
        <f t="shared" si="8"/>
        <v>5.1150190855293685E-3</v>
      </c>
      <c r="T30" s="18">
        <f>IF(OR(O30="",O31=""),0,IF(AND(O30&gt;=Parametri!$B$11,P30&gt;=Parametri!$B$10,P31&lt;Parametri!$B$10),ROW(),0))</f>
        <v>0</v>
      </c>
      <c r="V30" s="41">
        <v>3.2196859999999998</v>
      </c>
      <c r="W30" s="41">
        <v>0.435025</v>
      </c>
      <c r="X30" s="13">
        <f t="shared" si="9"/>
        <v>0.15064381814076735</v>
      </c>
      <c r="Y30" s="23">
        <f t="shared" si="10"/>
        <v>-0.37036147888627541</v>
      </c>
      <c r="Z30" s="34">
        <f t="shared" si="11"/>
        <v>4.6688130071666665E-3</v>
      </c>
      <c r="AA30" s="18">
        <f>IF(OR(V30="",V31=""),0,IF(AND(V30&gt;=Parametri!$B$11,W30&gt;=Parametri!$B$10,W31&lt;Parametri!$B$10),ROW(),0))</f>
        <v>0</v>
      </c>
      <c r="AC30" s="41"/>
      <c r="AD30" s="41"/>
      <c r="AE30" s="13" t="str">
        <f t="shared" si="12"/>
        <v/>
      </c>
      <c r="AF30" s="23" t="str">
        <f t="shared" si="13"/>
        <v/>
      </c>
      <c r="AG30" s="34" t="str">
        <f t="shared" si="14"/>
        <v/>
      </c>
      <c r="AH30" s="18">
        <f>IF(OR(AC30="",AC31=""),0,IF(AND(AC30&gt;=Parametri!$B$11,AD30&gt;=Parametri!$B$10,AD31&lt;Parametri!$B$10),ROW(),0))</f>
        <v>0</v>
      </c>
    </row>
    <row r="31" spans="1:34" x14ac:dyDescent="0.25">
      <c r="A31" s="41">
        <v>3.4088381999999999</v>
      </c>
      <c r="B31" s="41">
        <v>0.11248229799999999</v>
      </c>
      <c r="C31" s="13">
        <f t="shared" si="0"/>
        <v>0.14536043223064982</v>
      </c>
      <c r="D31" s="23">
        <f t="shared" si="1"/>
        <v>-0.33491468246257938</v>
      </c>
      <c r="E31" s="34">
        <f t="shared" si="2"/>
        <v>4.7929244280772946E-3</v>
      </c>
      <c r="F31" s="18">
        <f>IF(OR(A31="",A32=""),0,IF(AND(A31&gt;=Parametri!$B$11,B31&gt;=Parametri!$B$10,B32&lt;Parametri!$B$10),ROW(),0))</f>
        <v>0</v>
      </c>
      <c r="H31" s="41">
        <v>1.6591845999999999</v>
      </c>
      <c r="I31" s="41">
        <v>0.23120998700000001</v>
      </c>
      <c r="J31" s="13">
        <f t="shared" si="3"/>
        <v>0.1632448039834711</v>
      </c>
      <c r="K31" s="23">
        <f t="shared" si="4"/>
        <v>-0.16177747904221756</v>
      </c>
      <c r="L31" s="34">
        <f t="shared" si="5"/>
        <v>2.5574669986440013E-3</v>
      </c>
      <c r="M31" s="18">
        <f>IF(OR(H31="",H32=""),0,IF(AND(H31&gt;=Parametri!$B$11,I31&gt;=Parametri!$B$10,I32&lt;Parametri!$B$10),ROW(),0))</f>
        <v>0</v>
      </c>
      <c r="O31" s="41">
        <v>4.9858326000000002</v>
      </c>
      <c r="P31" s="41">
        <v>0.32129860500000001</v>
      </c>
      <c r="Q31" s="13">
        <f t="shared" si="6"/>
        <v>0.13453736411242742</v>
      </c>
      <c r="R31" s="23">
        <f t="shared" si="7"/>
        <v>-0.79645102243255617</v>
      </c>
      <c r="S31" s="34">
        <f t="shared" si="8"/>
        <v>6.4077642365740917E-3</v>
      </c>
      <c r="T31" s="18">
        <f>IF(OR(O31="",O32=""),0,IF(AND(O31&gt;=Parametri!$B$11,P31&gt;=Parametri!$B$10,P32&lt;Parametri!$B$10),ROW(),0))</f>
        <v>31</v>
      </c>
      <c r="V31" s="41">
        <v>4.963381</v>
      </c>
      <c r="W31" s="41">
        <v>0.37059500000000001</v>
      </c>
      <c r="X31" s="13">
        <f t="shared" si="9"/>
        <v>0.12833249993420534</v>
      </c>
      <c r="Y31" s="23">
        <f t="shared" si="10"/>
        <v>-0.57109901920643413</v>
      </c>
      <c r="Z31" s="34">
        <f t="shared" si="11"/>
        <v>6.1313472723166663E-3</v>
      </c>
      <c r="AA31" s="18">
        <f>IF(OR(V31="",V32=""),0,IF(AND(V31&gt;=Parametri!$B$11,W31&gt;=Parametri!$B$10,W32&lt;Parametri!$B$10),ROW(),0))</f>
        <v>0</v>
      </c>
      <c r="AC31" s="41"/>
      <c r="AD31" s="41"/>
      <c r="AE31" s="13" t="str">
        <f t="shared" si="12"/>
        <v/>
      </c>
      <c r="AF31" s="23" t="str">
        <f t="shared" si="13"/>
        <v/>
      </c>
      <c r="AG31" s="34" t="str">
        <f t="shared" si="14"/>
        <v/>
      </c>
      <c r="AH31" s="18">
        <f>IF(OR(AC31="",AC32=""),0,IF(AND(AC31&gt;=Parametri!$B$11,AD31&gt;=Parametri!$B$10,AD32&lt;Parametri!$B$10),ROW(),0))</f>
        <v>0</v>
      </c>
    </row>
    <row r="32" spans="1:34" x14ac:dyDescent="0.25">
      <c r="A32" s="41">
        <v>4.9184764000000003</v>
      </c>
      <c r="B32" s="41">
        <v>9.9485011999999998E-2</v>
      </c>
      <c r="C32" s="13">
        <f t="shared" si="0"/>
        <v>0.12856409054508633</v>
      </c>
      <c r="D32" s="23">
        <f t="shared" si="1"/>
        <v>-0.53112050650259379</v>
      </c>
      <c r="E32" s="34">
        <f t="shared" si="2"/>
        <v>6.1164335459464609E-3</v>
      </c>
      <c r="F32" s="18">
        <f>IF(OR(A32="",A33=""),0,IF(AND(A32&gt;=Parametri!$B$11,B32&gt;=Parametri!$B$10,B33&lt;Parametri!$B$10),ROW(),0))</f>
        <v>0</v>
      </c>
      <c r="H32" s="41">
        <v>2.0847760000000002</v>
      </c>
      <c r="I32" s="41">
        <v>0.22282503100000001</v>
      </c>
      <c r="J32" s="13">
        <f t="shared" si="3"/>
        <v>0.15732464233132745</v>
      </c>
      <c r="K32" s="23">
        <f t="shared" si="4"/>
        <v>-8.8024484856634902E-2</v>
      </c>
      <c r="L32" s="34">
        <f t="shared" si="5"/>
        <v>3.0969351788537069E-3</v>
      </c>
      <c r="M32" s="18">
        <f>IF(OR(H32="",H33=""),0,IF(AND(H32&gt;=Parametri!$B$11,I32&gt;=Parametri!$B$10,I33&lt;Parametri!$B$10),ROW(),0))</f>
        <v>0</v>
      </c>
      <c r="O32" s="41">
        <v>7.5465325999999999</v>
      </c>
      <c r="P32" s="41">
        <v>0.23096165499999999</v>
      </c>
      <c r="Q32" s="13">
        <f t="shared" si="6"/>
        <v>9.6710573252391921E-2</v>
      </c>
      <c r="R32" s="23">
        <f t="shared" si="7"/>
        <v>-1.338836058461631</v>
      </c>
      <c r="S32" s="34">
        <f t="shared" si="8"/>
        <v>6.9718386352298116E-3</v>
      </c>
      <c r="T32" s="18">
        <f>IF(OR(O32="",O33=""),0,IF(AND(O32&gt;=Parametri!$B$11,P32&gt;=Parametri!$B$10,P33&lt;Parametri!$B$10),ROW(),0))</f>
        <v>0</v>
      </c>
      <c r="V32" s="41">
        <v>4.9858330000000004</v>
      </c>
      <c r="W32" s="41">
        <v>0.369641</v>
      </c>
      <c r="X32" s="13">
        <f t="shared" si="9"/>
        <v>0.12800214144329955</v>
      </c>
      <c r="Y32" s="23">
        <f t="shared" si="10"/>
        <v>-0.79985780667113604</v>
      </c>
      <c r="Z32" s="34">
        <f t="shared" si="11"/>
        <v>6.1432276531766666E-3</v>
      </c>
      <c r="AA32" s="18">
        <f>IF(OR(V32="",V33=""),0,IF(AND(V32&gt;=Parametri!$B$11,W32&gt;=Parametri!$B$10,W33&lt;Parametri!$B$10),ROW(),0))</f>
        <v>0</v>
      </c>
      <c r="AC32" s="41"/>
      <c r="AD32" s="41"/>
      <c r="AE32" s="13" t="str">
        <f t="shared" si="12"/>
        <v/>
      </c>
      <c r="AF32" s="23" t="str">
        <f t="shared" si="13"/>
        <v/>
      </c>
      <c r="AG32" s="34" t="str">
        <f t="shared" si="14"/>
        <v/>
      </c>
      <c r="AH32" s="18">
        <f>IF(OR(AC32="",AC33=""),0,IF(AND(AC32&gt;=Parametri!$B$11,AD32&gt;=Parametri!$B$10,AD33&lt;Parametri!$B$10),ROW(),0))</f>
        <v>0</v>
      </c>
    </row>
    <row r="33" spans="1:34" x14ac:dyDescent="0.25">
      <c r="A33" s="41">
        <v>4.9858326000000002</v>
      </c>
      <c r="B33" s="41">
        <v>9.8768913E-2</v>
      </c>
      <c r="C33" s="13">
        <f t="shared" si="0"/>
        <v>0.12763867861795861</v>
      </c>
      <c r="D33" s="23">
        <f t="shared" si="1"/>
        <v>-0.73866075613680282</v>
      </c>
      <c r="E33" s="34">
        <f t="shared" si="2"/>
        <v>6.1555658287745481E-3</v>
      </c>
      <c r="F33" s="18">
        <f>IF(OR(A33="",A34=""),0,IF(AND(A33&gt;=Parametri!$B$11,B33&gt;=Parametri!$B$10,B34&lt;Parametri!$B$10),ROW(),0))</f>
        <v>0</v>
      </c>
      <c r="H33" s="41">
        <v>3.5979899999999998</v>
      </c>
      <c r="I33" s="41">
        <v>0.21237438</v>
      </c>
      <c r="J33" s="13">
        <f t="shared" si="3"/>
        <v>0.14994600572427352</v>
      </c>
      <c r="K33" s="23">
        <f t="shared" si="4"/>
        <v>-0.32130467033172316</v>
      </c>
      <c r="L33" s="34">
        <f t="shared" si="5"/>
        <v>5.0941393033080004E-3</v>
      </c>
      <c r="M33" s="18">
        <f>IF(OR(H33="",H34=""),0,IF(AND(H33&gt;=Parametri!$B$11,I33&gt;=Parametri!$B$10,I34&lt;Parametri!$B$10),ROW(),0))</f>
        <v>0</v>
      </c>
      <c r="O33" s="41">
        <v>8.6577990000000007</v>
      </c>
      <c r="P33" s="41">
        <v>0.19216082800000001</v>
      </c>
      <c r="Q33" s="13">
        <f t="shared" si="6"/>
        <v>8.0463503054367558E-2</v>
      </c>
      <c r="R33" s="23">
        <f t="shared" si="7"/>
        <v>-3.4579880409892234</v>
      </c>
      <c r="S33" s="34">
        <f t="shared" si="8"/>
        <v>6.6547592979902884E-3</v>
      </c>
      <c r="T33" s="18">
        <f>IF(OR(O33="",O34=""),0,IF(AND(O33&gt;=Parametri!$B$11,P33&gt;=Parametri!$B$10,P34&lt;Parametri!$B$10),ROW(),0))</f>
        <v>0</v>
      </c>
      <c r="V33" s="41">
        <v>7.5701770000000002</v>
      </c>
      <c r="W33" s="41">
        <v>0.26467400000000002</v>
      </c>
      <c r="X33" s="13">
        <f t="shared" si="9"/>
        <v>9.1653357675051922E-2</v>
      </c>
      <c r="Y33" s="23">
        <f t="shared" si="10"/>
        <v>-1.3648474298682396</v>
      </c>
      <c r="Z33" s="34">
        <f t="shared" si="11"/>
        <v>6.6787634243266683E-3</v>
      </c>
      <c r="AA33" s="18">
        <f>IF(OR(V33="",V34=""),0,IF(AND(V33&gt;=Parametri!$B$11,W33&gt;=Parametri!$B$10,W34&lt;Parametri!$B$10),ROW(),0))</f>
        <v>33</v>
      </c>
      <c r="AC33" s="41"/>
      <c r="AD33" s="41"/>
      <c r="AE33" s="13" t="str">
        <f t="shared" si="12"/>
        <v/>
      </c>
      <c r="AF33" s="23" t="str">
        <f t="shared" si="13"/>
        <v/>
      </c>
      <c r="AG33" s="34" t="str">
        <f t="shared" si="14"/>
        <v/>
      </c>
      <c r="AH33" s="18">
        <f>IF(OR(AC33="",AC34=""),0,IF(AND(AC33&gt;=Parametri!$B$11,AD33&gt;=Parametri!$B$10,AD34&lt;Parametri!$B$10),ROW(),0))</f>
        <v>0</v>
      </c>
    </row>
    <row r="34" spans="1:34" x14ac:dyDescent="0.25">
      <c r="A34" s="41">
        <v>7.3337368999999999</v>
      </c>
      <c r="B34" s="41">
        <v>7.4272811999999994E-2</v>
      </c>
      <c r="C34" s="13">
        <f t="shared" si="0"/>
        <v>9.5982463438876342E-2</v>
      </c>
      <c r="D34" s="23">
        <f t="shared" si="1"/>
        <v>-1.1311708110895839</v>
      </c>
      <c r="E34" s="34">
        <f t="shared" si="2"/>
        <v>6.8087157753895346E-3</v>
      </c>
      <c r="F34" s="18">
        <f>IF(OR(A34="",A35=""),0,IF(AND(A34&gt;=Parametri!$B$11,B34&gt;=Parametri!$B$10,B35&lt;Parametri!$B$10),ROW(),0))</f>
        <v>0</v>
      </c>
      <c r="H34" s="41">
        <v>4.9858326000000002</v>
      </c>
      <c r="I34" s="41">
        <v>0.191240735</v>
      </c>
      <c r="J34" s="13">
        <f t="shared" si="3"/>
        <v>0.13502468774728982</v>
      </c>
      <c r="K34" s="23">
        <f t="shared" si="4"/>
        <v>-0.80486497190422301</v>
      </c>
      <c r="L34" s="34">
        <f t="shared" si="5"/>
        <v>6.3566286067397405E-3</v>
      </c>
      <c r="M34" s="18">
        <f>IF(OR(H34="",H35=""),0,IF(AND(H34&gt;=Parametri!$B$11,I34&gt;=Parametri!$B$10,I35&lt;Parametri!$B$10),ROW(),0))</f>
        <v>0</v>
      </c>
      <c r="O34" s="41">
        <v>9.1070343999999999</v>
      </c>
      <c r="P34" s="41">
        <v>0.16132239800000001</v>
      </c>
      <c r="Q34" s="13">
        <f t="shared" si="6"/>
        <v>6.7550527333338189E-2</v>
      </c>
      <c r="R34" s="23">
        <f t="shared" si="7"/>
        <v>-7.5134017690955677</v>
      </c>
      <c r="S34" s="34">
        <f t="shared" si="8"/>
        <v>5.8766745123059651E-3</v>
      </c>
      <c r="T34" s="18">
        <f>IF(OR(O34="",O35=""),0,IF(AND(O34&gt;=Parametri!$B$11,P34&gt;=Parametri!$B$10,P35&lt;Parametri!$B$10),ROW(),0))</f>
        <v>0</v>
      </c>
      <c r="V34" s="41">
        <v>8.6577990000000007</v>
      </c>
      <c r="W34" s="41">
        <v>0.220363</v>
      </c>
      <c r="X34" s="13">
        <f t="shared" si="9"/>
        <v>7.6309002234248413E-2</v>
      </c>
      <c r="Y34" s="23">
        <f t="shared" si="10"/>
        <v>-3.5319093744088437</v>
      </c>
      <c r="Z34" s="34">
        <f t="shared" si="11"/>
        <v>6.359528536790001E-3</v>
      </c>
      <c r="AA34" s="18">
        <f>IF(OR(V34="",V35=""),0,IF(AND(V34&gt;=Parametri!$B$11,W34&gt;=Parametri!$B$10,W35&lt;Parametri!$B$10),ROW(),0))</f>
        <v>0</v>
      </c>
      <c r="AC34" s="41"/>
      <c r="AD34" s="41"/>
      <c r="AE34" s="13" t="str">
        <f t="shared" si="12"/>
        <v/>
      </c>
      <c r="AF34" s="23" t="str">
        <f t="shared" si="13"/>
        <v/>
      </c>
      <c r="AG34" s="34" t="str">
        <f t="shared" si="14"/>
        <v/>
      </c>
      <c r="AH34" s="18">
        <f>IF(OR(AC34="",AC35=""),0,IF(AND(AC34&gt;=Parametri!$B$11,AD34&gt;=Parametri!$B$10,AD35&lt;Parametri!$B$10),ROW(),0))</f>
        <v>0</v>
      </c>
    </row>
    <row r="35" spans="1:34" x14ac:dyDescent="0.25">
      <c r="A35" s="41">
        <v>8.6341550999999992</v>
      </c>
      <c r="B35" s="41">
        <v>6.1749870999999998E-2</v>
      </c>
      <c r="C35" s="13">
        <f t="shared" si="0"/>
        <v>7.979911593508579E-2</v>
      </c>
      <c r="D35" s="23">
        <f t="shared" si="1"/>
        <v>-3.0694917313562518</v>
      </c>
      <c r="E35" s="34">
        <f t="shared" si="2"/>
        <v>6.6644745452374005E-3</v>
      </c>
      <c r="F35" s="18">
        <f>IF(OR(A35="",A36=""),0,IF(AND(A35&gt;=Parametri!$B$11,B35&gt;=Parametri!$B$10,B36&lt;Parametri!$B$10),ROW(),0))</f>
        <v>0</v>
      </c>
      <c r="H35" s="41">
        <v>8.1139878000000003</v>
      </c>
      <c r="I35" s="41">
        <v>0.12922726500000001</v>
      </c>
      <c r="J35" s="13">
        <f t="shared" si="3"/>
        <v>9.1240347434668023E-2</v>
      </c>
      <c r="K35" s="23">
        <f t="shared" si="4"/>
        <v>-1.7694564216664548</v>
      </c>
      <c r="L35" s="34">
        <f t="shared" si="5"/>
        <v>6.990323010915781E-3</v>
      </c>
      <c r="M35" s="18">
        <f>IF(OR(H35="",H36=""),0,IF(AND(H35&gt;=Parametri!$B$11,I35&gt;=Parametri!$B$10,I36&lt;Parametri!$B$10),ROW(),0))</f>
        <v>0</v>
      </c>
      <c r="O35" s="41">
        <v>9.4380500000000005</v>
      </c>
      <c r="P35" s="41">
        <v>0.123366472</v>
      </c>
      <c r="Q35" s="13">
        <f t="shared" si="6"/>
        <v>5.1657242529047333E-2</v>
      </c>
      <c r="R35" s="23">
        <f t="shared" si="7"/>
        <v>-11.735127620876995</v>
      </c>
      <c r="S35" s="34">
        <f t="shared" si="8"/>
        <v>4.6573557242384003E-3</v>
      </c>
      <c r="T35" s="18">
        <f>IF(OR(O35="",O36=""),0,IF(AND(O35&gt;=Parametri!$B$11,P35&gt;=Parametri!$B$10,P36&lt;Parametri!$B$10),ROW(),0))</f>
        <v>0</v>
      </c>
      <c r="V35" s="41">
        <v>9.1306779999999996</v>
      </c>
      <c r="W35" s="41">
        <v>0.18262800000000001</v>
      </c>
      <c r="X35" s="13">
        <f t="shared" si="9"/>
        <v>6.3241834881701195E-2</v>
      </c>
      <c r="Y35" s="23">
        <f t="shared" si="10"/>
        <v>-8.1095017128850486</v>
      </c>
      <c r="Z35" s="34">
        <f t="shared" si="11"/>
        <v>5.5583915392800002E-3</v>
      </c>
      <c r="AA35" s="18">
        <f>IF(OR(V35="",V36=""),0,IF(AND(V35&gt;=Parametri!$B$11,W35&gt;=Parametri!$B$10,W36&lt;Parametri!$B$10),ROW(),0))</f>
        <v>0</v>
      </c>
      <c r="AC35" s="41"/>
      <c r="AD35" s="41"/>
      <c r="AE35" s="13" t="str">
        <f t="shared" si="12"/>
        <v/>
      </c>
      <c r="AF35" s="23" t="str">
        <f t="shared" si="13"/>
        <v/>
      </c>
      <c r="AG35" s="34" t="str">
        <f t="shared" si="14"/>
        <v/>
      </c>
      <c r="AH35" s="18">
        <f>IF(OR(AC35="",AC36=""),0,IF(AND(AC35&gt;=Parametri!$B$11,AD35&gt;=Parametri!$B$10,AD36&lt;Parametri!$B$10),ROW(),0))</f>
        <v>0</v>
      </c>
    </row>
    <row r="36" spans="1:34" x14ac:dyDescent="0.25">
      <c r="A36" s="41">
        <v>9.0597464999999993</v>
      </c>
      <c r="B36" s="41">
        <v>5.3271551E-2</v>
      </c>
      <c r="C36" s="13">
        <f t="shared" si="0"/>
        <v>6.8842616275114732E-2</v>
      </c>
      <c r="D36" s="23">
        <f t="shared" si="1"/>
        <v>-6.7747899421205098</v>
      </c>
      <c r="E36" s="34">
        <f t="shared" si="2"/>
        <v>6.0328343465227679E-3</v>
      </c>
      <c r="F36" s="18">
        <f>IF(OR(A36="",A37=""),0,IF(AND(A36&gt;=Parametri!$B$11,B36&gt;=Parametri!$B$10,B37&lt;Parametri!$B$10),ROW(),0))</f>
        <v>0</v>
      </c>
      <c r="H36" s="41">
        <v>8.7760189000000004</v>
      </c>
      <c r="I36" s="41">
        <v>0.112481424</v>
      </c>
      <c r="J36" s="13">
        <f t="shared" si="3"/>
        <v>7.9417019355057961E-2</v>
      </c>
      <c r="K36" s="23">
        <f t="shared" si="4"/>
        <v>-4.012566589924444</v>
      </c>
      <c r="L36" s="34">
        <f t="shared" si="5"/>
        <v>6.5809273528194242E-3</v>
      </c>
      <c r="M36" s="18">
        <f>IF(OR(H36="",H37=""),0,IF(AND(H36&gt;=Parametri!$B$11,I36&gt;=Parametri!$B$10,I37&lt;Parametri!$B$10),ROW(),0))</f>
        <v>0</v>
      </c>
      <c r="O36" s="41">
        <v>9.7335995999999998</v>
      </c>
      <c r="P36" s="41">
        <v>8.5911176000000006E-2</v>
      </c>
      <c r="Q36" s="13">
        <f t="shared" si="6"/>
        <v>3.5973586523473502E-2</v>
      </c>
      <c r="R36" s="23">
        <f t="shared" si="7"/>
        <v>-3.0807633260954286</v>
      </c>
      <c r="S36" s="34">
        <f t="shared" si="8"/>
        <v>3.3448999533965186E-3</v>
      </c>
      <c r="T36" s="18">
        <f>IF(OR(O36="",O37=""),0,IF(AND(O36&gt;=Parametri!$B$11,P36&gt;=Parametri!$B$10,P37&lt;Parametri!$B$10),ROW(),0))</f>
        <v>0</v>
      </c>
      <c r="V36" s="41">
        <v>9.5089819999999996</v>
      </c>
      <c r="W36" s="41">
        <v>0.13139799999999999</v>
      </c>
      <c r="X36" s="13">
        <f t="shared" si="9"/>
        <v>4.5501514662514904E-2</v>
      </c>
      <c r="Y36" s="23">
        <f t="shared" si="10"/>
        <v>-11.122002361882927</v>
      </c>
      <c r="Z36" s="34">
        <f t="shared" si="11"/>
        <v>4.1648707227866658E-3</v>
      </c>
      <c r="AA36" s="18">
        <f>IF(OR(V36="",V37=""),0,IF(AND(V36&gt;=Parametri!$B$11,W36&gt;=Parametri!$B$10,W37&lt;Parametri!$B$10),ROW(),0))</f>
        <v>0</v>
      </c>
      <c r="AC36" s="41"/>
      <c r="AD36" s="41"/>
      <c r="AE36" s="13" t="str">
        <f t="shared" si="12"/>
        <v/>
      </c>
      <c r="AF36" s="23" t="str">
        <f t="shared" si="13"/>
        <v/>
      </c>
      <c r="AG36" s="34" t="str">
        <f t="shared" si="14"/>
        <v/>
      </c>
      <c r="AH36" s="18">
        <f>IF(OR(AC36="",AC37=""),0,IF(AND(AC36&gt;=Parametri!$B$11,AD36&gt;=Parametri!$B$10,AD37&lt;Parametri!$B$10),ROW(),0))</f>
        <v>0</v>
      </c>
    </row>
    <row r="37" spans="1:34" x14ac:dyDescent="0.25">
      <c r="A37" s="41">
        <v>9.3907620000000005</v>
      </c>
      <c r="B37" s="41">
        <v>4.1774539999999999E-2</v>
      </c>
      <c r="C37" s="13">
        <f t="shared" si="0"/>
        <v>5.3985074083715556E-2</v>
      </c>
      <c r="D37" s="23">
        <f t="shared" si="1"/>
        <v>-11.311331908479543</v>
      </c>
      <c r="E37" s="34">
        <f t="shared" si="2"/>
        <v>4.9036845349935002E-3</v>
      </c>
      <c r="F37" s="18">
        <f>IF(OR(A37="",A38=""),0,IF(AND(A37&gt;=Parametri!$B$11,B37&gt;=Parametri!$B$10,B38&lt;Parametri!$B$10),ROW(),0))</f>
        <v>0</v>
      </c>
      <c r="H37" s="41">
        <v>9.1543223999999999</v>
      </c>
      <c r="I37" s="41">
        <v>9.4958941000000005E-2</v>
      </c>
      <c r="J37" s="13">
        <f t="shared" si="3"/>
        <v>6.704534657502921E-2</v>
      </c>
      <c r="K37" s="23">
        <f t="shared" si="4"/>
        <v>-8.4873064162113554</v>
      </c>
      <c r="L37" s="34">
        <f t="shared" si="5"/>
        <v>5.795231737843856E-3</v>
      </c>
      <c r="M37" s="18">
        <f>IF(OR(H37="",H38=""),0,IF(AND(H37&gt;=Parametri!$B$11,I37&gt;=Parametri!$B$10,I38&lt;Parametri!$B$10),ROW(),0))</f>
        <v>0</v>
      </c>
      <c r="O37" s="41">
        <v>9.8163535</v>
      </c>
      <c r="P37" s="41">
        <v>8.3699445999999997E-2</v>
      </c>
      <c r="Q37" s="13">
        <f t="shared" si="6"/>
        <v>3.5047468825799774E-2</v>
      </c>
      <c r="R37" s="23">
        <f t="shared" si="7"/>
        <v>3.1277615452977292</v>
      </c>
      <c r="S37" s="34">
        <f t="shared" si="8"/>
        <v>3.2864933987606436E-3</v>
      </c>
      <c r="T37" s="18">
        <f>IF(OR(O37="",O38=""),0,IF(AND(O37&gt;=Parametri!$B$11,P37&gt;=Parametri!$B$10,P38&lt;Parametri!$B$10),ROW(),0))</f>
        <v>0</v>
      </c>
      <c r="V37" s="41">
        <v>9.6922230000000003</v>
      </c>
      <c r="W37" s="41">
        <v>0.106266</v>
      </c>
      <c r="X37" s="13">
        <f t="shared" si="9"/>
        <v>3.6798611524732565E-2</v>
      </c>
      <c r="Y37" s="23">
        <f t="shared" si="10"/>
        <v>-4.2681409723154324</v>
      </c>
      <c r="Z37" s="34">
        <f t="shared" si="11"/>
        <v>3.4331792310600003E-3</v>
      </c>
      <c r="AA37" s="18">
        <f>IF(OR(V37="",V38=""),0,IF(AND(V37&gt;=Parametri!$B$11,W37&gt;=Parametri!$B$10,W38&lt;Parametri!$B$10),ROW(),0))</f>
        <v>0</v>
      </c>
      <c r="AC37" s="41"/>
      <c r="AD37" s="41"/>
      <c r="AE37" s="13" t="str">
        <f t="shared" si="12"/>
        <v/>
      </c>
      <c r="AF37" s="23" t="str">
        <f t="shared" si="13"/>
        <v/>
      </c>
      <c r="AG37" s="34" t="str">
        <f t="shared" si="14"/>
        <v/>
      </c>
      <c r="AH37" s="18">
        <f>IF(OR(AC37="",AC38=""),0,IF(AND(AC37&gt;=Parametri!$B$11,AD37&gt;=Parametri!$B$10,AD38&lt;Parametri!$B$10),ROW(),0))</f>
        <v>0</v>
      </c>
    </row>
    <row r="38" spans="1:34" x14ac:dyDescent="0.25">
      <c r="A38" s="41">
        <v>9.6922225999999991</v>
      </c>
      <c r="B38" s="41">
        <v>2.9220752999999999E-2</v>
      </c>
      <c r="C38" s="13">
        <f t="shared" si="0"/>
        <v>3.7761864415190534E-2</v>
      </c>
      <c r="D38" s="23">
        <f t="shared" si="1"/>
        <v>-4.7049299787083445</v>
      </c>
      <c r="E38" s="34">
        <f t="shared" si="2"/>
        <v>3.5401755326952221E-3</v>
      </c>
      <c r="F38" s="18">
        <f>IF(OR(A38="",A39=""),0,IF(AND(A38&gt;=Parametri!$B$11,B38&gt;=Parametri!$B$10,B39&lt;Parametri!$B$10),ROW(),0))</f>
        <v>0</v>
      </c>
      <c r="H38" s="41">
        <v>9.4853378999999993</v>
      </c>
      <c r="I38" s="41">
        <v>7.0243404999999995E-2</v>
      </c>
      <c r="J38" s="13">
        <f t="shared" si="3"/>
        <v>4.9595050063112427E-2</v>
      </c>
      <c r="K38" s="23">
        <f t="shared" si="4"/>
        <v>-13.196825036223505</v>
      </c>
      <c r="L38" s="34">
        <f t="shared" si="5"/>
        <v>4.4418828778103299E-3</v>
      </c>
      <c r="M38" s="18">
        <f>IF(OR(H38="",H39=""),0,IF(AND(H38&gt;=Parametri!$B$11,I38&gt;=Parametri!$B$10,I39&lt;Parametri!$B$10),ROW(),0))</f>
        <v>0</v>
      </c>
      <c r="O38" s="41">
        <v>9.8940093000000005</v>
      </c>
      <c r="P38" s="41">
        <v>8.5787927E-2</v>
      </c>
      <c r="Q38" s="13">
        <f t="shared" si="6"/>
        <v>3.5921978469994731E-2</v>
      </c>
      <c r="R38" s="23">
        <f t="shared" si="7"/>
        <v>-158.98723898166918</v>
      </c>
      <c r="S38" s="34">
        <f t="shared" si="8"/>
        <v>3.3951461902628844E-3</v>
      </c>
      <c r="T38" s="18">
        <f>IF(OR(O38="",O39=""),0,IF(AND(O38&gt;=Parametri!$B$11,P38&gt;=Parametri!$B$10,P39&lt;Parametri!$B$10),ROW(),0))</f>
        <v>0</v>
      </c>
      <c r="V38" s="41">
        <v>9.7749769999999998</v>
      </c>
      <c r="W38" s="41">
        <v>0.102479</v>
      </c>
      <c r="X38" s="13">
        <f t="shared" si="9"/>
        <v>3.5487219905172569E-2</v>
      </c>
      <c r="Y38" s="23">
        <f t="shared" si="10"/>
        <v>3.7264439019193052</v>
      </c>
      <c r="Z38" s="34">
        <f t="shared" si="11"/>
        <v>3.3390995599433333E-3</v>
      </c>
      <c r="AA38" s="18">
        <f>IF(OR(V38="",V39=""),0,IF(AND(V38&gt;=Parametri!$B$11,W38&gt;=Parametri!$B$10,W39&lt;Parametri!$B$10),ROW(),0))</f>
        <v>0</v>
      </c>
      <c r="AC38" s="41"/>
      <c r="AD38" s="41"/>
      <c r="AE38" s="13" t="str">
        <f t="shared" si="12"/>
        <v/>
      </c>
      <c r="AF38" s="23" t="str">
        <f t="shared" si="13"/>
        <v/>
      </c>
      <c r="AG38" s="34" t="str">
        <f t="shared" si="14"/>
        <v/>
      </c>
      <c r="AH38" s="18">
        <f>IF(OR(AC38="",AC39=""),0,IF(AND(AC38&gt;=Parametri!$B$11,AD38&gt;=Parametri!$B$10,AD39&lt;Parametri!$B$10),ROW(),0))</f>
        <v>0</v>
      </c>
    </row>
    <row r="39" spans="1:34" x14ac:dyDescent="0.25">
      <c r="A39" s="41">
        <v>9.7749764999999993</v>
      </c>
      <c r="B39" s="41">
        <v>2.8074963000000001E-2</v>
      </c>
      <c r="C39" s="13">
        <f t="shared" si="0"/>
        <v>3.6281164495230188E-2</v>
      </c>
      <c r="D39" s="23">
        <f t="shared" si="1"/>
        <v>3.8632645402017367</v>
      </c>
      <c r="E39" s="34">
        <f t="shared" si="2"/>
        <v>3.4304012945421186E-3</v>
      </c>
      <c r="F39" s="18">
        <f>IF(OR(A39="",A40=""),0,IF(AND(A39&gt;=Parametri!$B$11,B39&gt;=Parametri!$B$10,B40&lt;Parametri!$B$10),ROW(),0))</f>
        <v>0</v>
      </c>
      <c r="H39" s="41">
        <v>9.7335995999999998</v>
      </c>
      <c r="I39" s="41">
        <v>4.9949175999999998E-2</v>
      </c>
      <c r="J39" s="13">
        <f t="shared" si="3"/>
        <v>3.5266398095753097E-2</v>
      </c>
      <c r="K39" s="23">
        <f t="shared" si="4"/>
        <v>-5.1747512749826745</v>
      </c>
      <c r="L39" s="34">
        <f t="shared" si="5"/>
        <v>3.2412351968928639E-3</v>
      </c>
      <c r="M39" s="18">
        <f>IF(OR(H39="",H40=""),0,IF(AND(H39&gt;=Parametri!$B$11,I39&gt;=Parametri!$B$10,I40&lt;Parametri!$B$10),ROW(),0))</f>
        <v>0</v>
      </c>
      <c r="O39" s="41">
        <v>9.9328372999999992</v>
      </c>
      <c r="P39" s="41">
        <v>4.6024351999999998E-2</v>
      </c>
      <c r="Q39" s="13">
        <f t="shared" si="6"/>
        <v>1.9271776804205314E-2</v>
      </c>
      <c r="R39" s="23" t="str">
        <f t="shared" si="7"/>
        <v/>
      </c>
      <c r="S39" s="34">
        <f t="shared" si="8"/>
        <v>1.8286096010157182E-3</v>
      </c>
      <c r="T39" s="18">
        <f>IF(OR(O39="",O40=""),0,IF(AND(O39&gt;=Parametri!$B$11,P39&gt;=Parametri!$B$10,P40&lt;Parametri!$B$10),ROW(),0))</f>
        <v>0</v>
      </c>
      <c r="V39" s="41">
        <v>9.8940090000000005</v>
      </c>
      <c r="W39" s="41">
        <v>0.107207</v>
      </c>
      <c r="X39" s="13">
        <f t="shared" si="9"/>
        <v>3.7124468275196242E-2</v>
      </c>
      <c r="Y39" s="23">
        <f t="shared" si="10"/>
        <v>-158.82511364054599</v>
      </c>
      <c r="Z39" s="34">
        <f t="shared" si="11"/>
        <v>3.5356900762099999E-3</v>
      </c>
      <c r="AA39" s="18">
        <f>IF(OR(V39="",V40=""),0,IF(AND(V39&gt;=Parametri!$B$11,W39&gt;=Parametri!$B$10,W40&lt;Parametri!$B$10),ROW(),0))</f>
        <v>0</v>
      </c>
      <c r="AC39" s="41"/>
      <c r="AD39" s="41"/>
      <c r="AE39" s="13" t="str">
        <f t="shared" si="12"/>
        <v/>
      </c>
      <c r="AF39" s="23" t="str">
        <f t="shared" si="13"/>
        <v/>
      </c>
      <c r="AG39" s="34" t="str">
        <f t="shared" si="14"/>
        <v/>
      </c>
      <c r="AH39" s="18">
        <f>IF(OR(AC39="",AC40=""),0,IF(AND(AC39&gt;=Parametri!$B$11,AD39&gt;=Parametri!$B$10,AD40&lt;Parametri!$B$10),ROW(),0))</f>
        <v>0</v>
      </c>
    </row>
    <row r="40" spans="1:34" x14ac:dyDescent="0.25">
      <c r="A40" s="41">
        <v>9.8940093000000005</v>
      </c>
      <c r="B40" s="41">
        <v>2.9418924999999999E-2</v>
      </c>
      <c r="C40" s="13">
        <f t="shared" si="0"/>
        <v>3.8017961312997624E-2</v>
      </c>
      <c r="D40" s="23">
        <f t="shared" si="1"/>
        <v>-158.78896756247207</v>
      </c>
      <c r="E40" s="34">
        <f t="shared" si="2"/>
        <v>3.6383889693250315E-3</v>
      </c>
      <c r="F40" s="18">
        <f>IF(OR(A40="",A41=""),0,IF(AND(A40&gt;=Parametri!$B$11,B40&gt;=Parametri!$B$10,B41&lt;Parametri!$B$10),ROW(),0))</f>
        <v>0</v>
      </c>
      <c r="H40" s="41">
        <v>9.8163535</v>
      </c>
      <c r="I40" s="41">
        <v>4.7808185000000003E-2</v>
      </c>
      <c r="J40" s="13">
        <f t="shared" si="3"/>
        <v>3.3754760728093129E-2</v>
      </c>
      <c r="K40" s="23">
        <f t="shared" si="4"/>
        <v>2.1078882521160023</v>
      </c>
      <c r="L40" s="34">
        <f t="shared" si="5"/>
        <v>3.1286802943559836E-3</v>
      </c>
      <c r="M40" s="18">
        <f>IF(OR(H40="",H41=""),0,IF(AND(H40&gt;=Parametri!$B$11,I40&gt;=Parametri!$B$10,I41&lt;Parametri!$B$10),ROW(),0))</f>
        <v>0</v>
      </c>
      <c r="O40" s="41"/>
      <c r="P40" s="41"/>
      <c r="Q40" s="13" t="str">
        <f t="shared" si="6"/>
        <v/>
      </c>
      <c r="R40" s="23" t="str">
        <f t="shared" si="7"/>
        <v/>
      </c>
      <c r="S40" s="34" t="str">
        <f t="shared" si="8"/>
        <v/>
      </c>
      <c r="T40" s="18">
        <f>IF(OR(O40="",O41=""),0,IF(AND(O40&gt;=Parametri!$B$11,P40&gt;=Parametri!$B$10,P41&lt;Parametri!$B$10),ROW(),0))</f>
        <v>0</v>
      </c>
      <c r="V40" s="41">
        <v>9.9328369999999993</v>
      </c>
      <c r="W40" s="41">
        <v>5.7551999999999999E-2</v>
      </c>
      <c r="X40" s="13">
        <f t="shared" si="9"/>
        <v>1.9929551224958202E-2</v>
      </c>
      <c r="Y40" s="23" t="str">
        <f t="shared" si="10"/>
        <v/>
      </c>
      <c r="Z40" s="34">
        <f t="shared" si="11"/>
        <v>1.9055154500799997E-3</v>
      </c>
      <c r="AA40" s="18">
        <f>IF(OR(V40="",V41=""),0,IF(AND(V40&gt;=Parametri!$B$11,W40&gt;=Parametri!$B$10,W41&lt;Parametri!$B$10),ROW(),0))</f>
        <v>0</v>
      </c>
      <c r="AC40" s="41"/>
      <c r="AD40" s="41"/>
      <c r="AE40" s="13" t="str">
        <f t="shared" si="12"/>
        <v/>
      </c>
      <c r="AF40" s="23" t="str">
        <f t="shared" si="13"/>
        <v/>
      </c>
      <c r="AG40" s="34" t="str">
        <f t="shared" si="14"/>
        <v/>
      </c>
      <c r="AH40" s="18">
        <f>IF(OR(AC40="",AC41=""),0,IF(AND(AC40&gt;=Parametri!$B$11,AD40&gt;=Parametri!$B$10,AD41&lt;Parametri!$B$10),ROW(),0))</f>
        <v>0</v>
      </c>
    </row>
    <row r="41" spans="1:34" x14ac:dyDescent="0.25">
      <c r="A41" s="41">
        <v>9.9328372999999992</v>
      </c>
      <c r="B41" s="41">
        <v>1.5795216000000001E-2</v>
      </c>
      <c r="C41" s="13">
        <f t="shared" ref="C41:C72" si="15">IF(OR(A41="",B$4=""),"",B41/B$4)</f>
        <v>2.0412095643142673E-2</v>
      </c>
      <c r="D41" s="23" t="str">
        <f t="shared" ref="D41:D72" si="16">IF(OR(A41="",A42="",A41&lt;=0),"",IFERROR(LN(B42/B41)/LN(A42/A41),""))</f>
        <v/>
      </c>
      <c r="E41" s="34">
        <f t="shared" ref="E41:E72" si="17">IF(OR(A41="",B$3="",A41&lt;=0),"",B41*A41/B$3)</f>
        <v>1.9611413830794601E-3</v>
      </c>
      <c r="F41" s="18">
        <f>IF(OR(A41="",A42=""),0,IF(AND(A41&gt;=Parametri!$B$11,B41&gt;=Parametri!$B$10,B42&lt;Parametri!$B$10),ROW(),0))</f>
        <v>0</v>
      </c>
      <c r="H41" s="41">
        <v>9.8940093000000005</v>
      </c>
      <c r="I41" s="41">
        <v>4.8608891000000001E-2</v>
      </c>
      <c r="J41" s="13">
        <f t="shared" ref="J41:J72" si="18">IF(OR(H41="",I$4=""),"",I41/I$4)</f>
        <v>3.4320095710869587E-2</v>
      </c>
      <c r="K41" s="23">
        <f t="shared" ref="K41:K72" si="19">IF(OR(H41="",H42="",H41&lt;=0),"",IFERROR(LN(I42/I41)/LN(H42/H41),""))</f>
        <v>-159.10502118869866</v>
      </c>
      <c r="L41" s="34">
        <f t="shared" ref="L41:L72" si="20">IF(OR(H41="",I$3="",H41&lt;=0),"",I41*H41/I$3)</f>
        <v>3.206245464111242E-3</v>
      </c>
      <c r="M41" s="18">
        <f>IF(OR(H41="",H42=""),0,IF(AND(H41&gt;=Parametri!$B$11,I41&gt;=Parametri!$B$10,I42&lt;Parametri!$B$10),ROW(),0))</f>
        <v>0</v>
      </c>
      <c r="O41" s="41"/>
      <c r="P41" s="41"/>
      <c r="Q41" s="13" t="str">
        <f t="shared" ref="Q41:Q72" si="21">IF(OR(O41="",P$4=""),"",P41/P$4)</f>
        <v/>
      </c>
      <c r="R41" s="23" t="str">
        <f t="shared" ref="R41:R72" si="22">IF(OR(O41="",O42="",O41&lt;=0),"",IFERROR(LN(P42/P41)/LN(O42/O41),""))</f>
        <v/>
      </c>
      <c r="S41" s="34" t="str">
        <f t="shared" ref="S41:S72" si="23">IF(OR(O41="",P$3="",O41&lt;=0),"",P41*O41/P$3)</f>
        <v/>
      </c>
      <c r="T41" s="18">
        <f>IF(OR(O41="",O42=""),0,IF(AND(O41&gt;=Parametri!$B$11,P41&gt;=Parametri!$B$10,P42&lt;Parametri!$B$10),ROW(),0))</f>
        <v>0</v>
      </c>
      <c r="V41" s="41"/>
      <c r="W41" s="41"/>
      <c r="X41" s="13" t="str">
        <f t="shared" ref="X41:X72" si="24">IF(OR(V41="",W$4=""),"",W41/W$4)</f>
        <v/>
      </c>
      <c r="Y41" s="23" t="str">
        <f t="shared" ref="Y41:Y72" si="25">IF(OR(V41="",V42="",V41&lt;=0),"",IFERROR(LN(W42/W41)/LN(V42/V41),""))</f>
        <v/>
      </c>
      <c r="Z41" s="34" t="str">
        <f t="shared" ref="Z41:Z72" si="26">IF(OR(V41="",W$3="",V41&lt;=0),"",W41*V41/W$3)</f>
        <v/>
      </c>
      <c r="AA41" s="18">
        <f>IF(OR(V41="",V42=""),0,IF(AND(V41&gt;=Parametri!$B$11,W41&gt;=Parametri!$B$10,W42&lt;Parametri!$B$10),ROW(),0))</f>
        <v>0</v>
      </c>
      <c r="AC41" s="41"/>
      <c r="AD41" s="41"/>
      <c r="AE41" s="13" t="str">
        <f t="shared" ref="AE41:AE72" si="27">IF(OR(AC41="",AD$4=""),"",AD41/AD$4)</f>
        <v/>
      </c>
      <c r="AF41" s="23" t="str">
        <f t="shared" ref="AF41:AF72" si="28">IF(OR(AC41="",AC42="",AC41&lt;=0),"",IFERROR(LN(AD42/AD41)/LN(AC42/AC41),""))</f>
        <v/>
      </c>
      <c r="AG41" s="34" t="str">
        <f t="shared" ref="AG41:AG72" si="29">IF(OR(AC41="",AD$3="",AC41&lt;=0),"",AD41*AC41/AD$3)</f>
        <v/>
      </c>
      <c r="AH41" s="18">
        <f>IF(OR(AC41="",AC42=""),0,IF(AND(AC41&gt;=Parametri!$B$11,AD41&gt;=Parametri!$B$10,AD42&lt;Parametri!$B$10),ROW(),0))</f>
        <v>0</v>
      </c>
    </row>
    <row r="42" spans="1:34" x14ac:dyDescent="0.25">
      <c r="A42" s="41"/>
      <c r="B42" s="41"/>
      <c r="C42" s="13" t="str">
        <f t="shared" si="15"/>
        <v/>
      </c>
      <c r="D42" s="23" t="str">
        <f t="shared" si="16"/>
        <v/>
      </c>
      <c r="E42" s="34" t="str">
        <f t="shared" si="17"/>
        <v/>
      </c>
      <c r="F42" s="18">
        <f>IF(OR(A42="",A43=""),0,IF(AND(A42&gt;=Parametri!$B$11,B42&gt;=Parametri!$B$10,B43&lt;Parametri!$B$10),ROW(),0))</f>
        <v>0</v>
      </c>
      <c r="H42" s="41">
        <v>9.9328372999999992</v>
      </c>
      <c r="I42" s="41">
        <v>2.6066149E-2</v>
      </c>
      <c r="J42" s="13">
        <f t="shared" si="18"/>
        <v>1.8403890936203163E-2</v>
      </c>
      <c r="K42" s="23" t="str">
        <f t="shared" si="19"/>
        <v/>
      </c>
      <c r="L42" s="34">
        <f t="shared" si="20"/>
        <v>1.7260721136970513E-3</v>
      </c>
      <c r="M42" s="18">
        <f>IF(OR(H42="",H43=""),0,IF(AND(H42&gt;=Parametri!$B$11,I42&gt;=Parametri!$B$10,I43&lt;Parametri!$B$10),ROW(),0))</f>
        <v>0</v>
      </c>
      <c r="O42" s="41"/>
      <c r="P42" s="41"/>
      <c r="Q42" s="13" t="str">
        <f t="shared" si="21"/>
        <v/>
      </c>
      <c r="R42" s="23" t="str">
        <f t="shared" si="22"/>
        <v/>
      </c>
      <c r="S42" s="34" t="str">
        <f t="shared" si="23"/>
        <v/>
      </c>
      <c r="T42" s="18">
        <f>IF(OR(O42="",O43=""),0,IF(AND(O42&gt;=Parametri!$B$11,P42&gt;=Parametri!$B$10,P43&lt;Parametri!$B$10),ROW(),0))</f>
        <v>0</v>
      </c>
      <c r="V42" s="41"/>
      <c r="W42" s="41"/>
      <c r="X42" s="13" t="str">
        <f t="shared" si="24"/>
        <v/>
      </c>
      <c r="Y42" s="23" t="str">
        <f t="shared" si="25"/>
        <v/>
      </c>
      <c r="Z42" s="34" t="str">
        <f t="shared" si="26"/>
        <v/>
      </c>
      <c r="AA42" s="18">
        <f>IF(OR(V42="",V43=""),0,IF(AND(V42&gt;=Parametri!$B$11,W42&gt;=Parametri!$B$10,W43&lt;Parametri!$B$10),ROW(),0))</f>
        <v>0</v>
      </c>
      <c r="AC42" s="41"/>
      <c r="AD42" s="41"/>
      <c r="AE42" s="13" t="str">
        <f t="shared" si="27"/>
        <v/>
      </c>
      <c r="AF42" s="23" t="str">
        <f t="shared" si="28"/>
        <v/>
      </c>
      <c r="AG42" s="34" t="str">
        <f t="shared" si="29"/>
        <v/>
      </c>
      <c r="AH42" s="18">
        <f>IF(OR(AC42="",AC43=""),0,IF(AND(AC42&gt;=Parametri!$B$11,AD42&gt;=Parametri!$B$10,AD43&lt;Parametri!$B$10),ROW(),0))</f>
        <v>0</v>
      </c>
    </row>
    <row r="43" spans="1:34" x14ac:dyDescent="0.25">
      <c r="A43" s="41"/>
      <c r="B43" s="41"/>
      <c r="C43" s="13" t="str">
        <f t="shared" si="15"/>
        <v/>
      </c>
      <c r="D43" s="23" t="str">
        <f t="shared" si="16"/>
        <v/>
      </c>
      <c r="E43" s="34" t="str">
        <f t="shared" si="17"/>
        <v/>
      </c>
      <c r="F43" s="18">
        <f>IF(OR(A43="",A44=""),0,IF(AND(A43&gt;=Parametri!$B$11,B43&gt;=Parametri!$B$10,B44&lt;Parametri!$B$10),ROW(),0))</f>
        <v>0</v>
      </c>
      <c r="H43" s="41"/>
      <c r="I43" s="41"/>
      <c r="J43" s="13" t="str">
        <f t="shared" si="18"/>
        <v/>
      </c>
      <c r="K43" s="23" t="str">
        <f t="shared" si="19"/>
        <v/>
      </c>
      <c r="L43" s="34" t="str">
        <f t="shared" si="20"/>
        <v/>
      </c>
      <c r="M43" s="18">
        <f>IF(OR(H43="",H44=""),0,IF(AND(H43&gt;=Parametri!$B$11,I43&gt;=Parametri!$B$10,I44&lt;Parametri!$B$10),ROW(),0))</f>
        <v>0</v>
      </c>
      <c r="O43" s="41"/>
      <c r="P43" s="41"/>
      <c r="Q43" s="13" t="str">
        <f t="shared" si="21"/>
        <v/>
      </c>
      <c r="R43" s="23" t="str">
        <f t="shared" si="22"/>
        <v/>
      </c>
      <c r="S43" s="34" t="str">
        <f t="shared" si="23"/>
        <v/>
      </c>
      <c r="T43" s="18">
        <f>IF(OR(O43="",O44=""),0,IF(AND(O43&gt;=Parametri!$B$11,P43&gt;=Parametri!$B$10,P44&lt;Parametri!$B$10),ROW(),0))</f>
        <v>0</v>
      </c>
      <c r="V43" s="41"/>
      <c r="W43" s="41"/>
      <c r="X43" s="13" t="str">
        <f t="shared" si="24"/>
        <v/>
      </c>
      <c r="Y43" s="23" t="str">
        <f t="shared" si="25"/>
        <v/>
      </c>
      <c r="Z43" s="34" t="str">
        <f t="shared" si="26"/>
        <v/>
      </c>
      <c r="AA43" s="18">
        <f>IF(OR(V43="",V44=""),0,IF(AND(V43&gt;=Parametri!$B$11,W43&gt;=Parametri!$B$10,W44&lt;Parametri!$B$10),ROW(),0))</f>
        <v>0</v>
      </c>
      <c r="AC43" s="41"/>
      <c r="AD43" s="41"/>
      <c r="AE43" s="13" t="str">
        <f t="shared" si="27"/>
        <v/>
      </c>
      <c r="AF43" s="23" t="str">
        <f t="shared" si="28"/>
        <v/>
      </c>
      <c r="AG43" s="34" t="str">
        <f t="shared" si="29"/>
        <v/>
      </c>
      <c r="AH43" s="18">
        <f>IF(OR(AC43="",AC44=""),0,IF(AND(AC43&gt;=Parametri!$B$11,AD43&gt;=Parametri!$B$10,AD44&lt;Parametri!$B$10),ROW(),0))</f>
        <v>0</v>
      </c>
    </row>
    <row r="44" spans="1:34" x14ac:dyDescent="0.25">
      <c r="A44" s="41"/>
      <c r="B44" s="41"/>
      <c r="C44" s="13" t="str">
        <f t="shared" si="15"/>
        <v/>
      </c>
      <c r="D44" s="23" t="str">
        <f t="shared" si="16"/>
        <v/>
      </c>
      <c r="E44" s="34" t="str">
        <f t="shared" si="17"/>
        <v/>
      </c>
      <c r="F44" s="18">
        <f>IF(OR(A44="",A45=""),0,IF(AND(A44&gt;=Parametri!$B$11,B44&gt;=Parametri!$B$10,B45&lt;Parametri!$B$10),ROW(),0))</f>
        <v>0</v>
      </c>
      <c r="H44" s="41"/>
      <c r="I44" s="41"/>
      <c r="J44" s="13" t="str">
        <f t="shared" si="18"/>
        <v/>
      </c>
      <c r="K44" s="23" t="str">
        <f t="shared" si="19"/>
        <v/>
      </c>
      <c r="L44" s="34" t="str">
        <f t="shared" si="20"/>
        <v/>
      </c>
      <c r="M44" s="18">
        <f>IF(OR(H44="",H45=""),0,IF(AND(H44&gt;=Parametri!$B$11,I44&gt;=Parametri!$B$10,I45&lt;Parametri!$B$10),ROW(),0))</f>
        <v>0</v>
      </c>
      <c r="O44" s="41"/>
      <c r="P44" s="41"/>
      <c r="Q44" s="13" t="str">
        <f t="shared" si="21"/>
        <v/>
      </c>
      <c r="R44" s="23" t="str">
        <f t="shared" si="22"/>
        <v/>
      </c>
      <c r="S44" s="34" t="str">
        <f t="shared" si="23"/>
        <v/>
      </c>
      <c r="T44" s="18">
        <f>IF(OR(O44="",O45=""),0,IF(AND(O44&gt;=Parametri!$B$11,P44&gt;=Parametri!$B$10,P45&lt;Parametri!$B$10),ROW(),0))</f>
        <v>0</v>
      </c>
      <c r="V44" s="41"/>
      <c r="W44" s="41"/>
      <c r="X44" s="13" t="str">
        <f t="shared" si="24"/>
        <v/>
      </c>
      <c r="Y44" s="23" t="str">
        <f t="shared" si="25"/>
        <v/>
      </c>
      <c r="Z44" s="34" t="str">
        <f t="shared" si="26"/>
        <v/>
      </c>
      <c r="AA44" s="18">
        <f>IF(OR(V44="",V45=""),0,IF(AND(V44&gt;=Parametri!$B$11,W44&gt;=Parametri!$B$10,W45&lt;Parametri!$B$10),ROW(),0))</f>
        <v>0</v>
      </c>
      <c r="AC44" s="41"/>
      <c r="AD44" s="41"/>
      <c r="AE44" s="13" t="str">
        <f t="shared" si="27"/>
        <v/>
      </c>
      <c r="AF44" s="23" t="str">
        <f t="shared" si="28"/>
        <v/>
      </c>
      <c r="AG44" s="34" t="str">
        <f t="shared" si="29"/>
        <v/>
      </c>
      <c r="AH44" s="18">
        <f>IF(OR(AC44="",AC45=""),0,IF(AND(AC44&gt;=Parametri!$B$11,AD44&gt;=Parametri!$B$10,AD45&lt;Parametri!$B$10),ROW(),0))</f>
        <v>0</v>
      </c>
    </row>
    <row r="45" spans="1:34" x14ac:dyDescent="0.25">
      <c r="A45" s="41"/>
      <c r="B45" s="41"/>
      <c r="C45" s="13" t="str">
        <f t="shared" si="15"/>
        <v/>
      </c>
      <c r="D45" s="23" t="str">
        <f t="shared" si="16"/>
        <v/>
      </c>
      <c r="E45" s="34" t="str">
        <f t="shared" si="17"/>
        <v/>
      </c>
      <c r="F45" s="18">
        <f>IF(OR(A45="",A46=""),0,IF(AND(A45&gt;=Parametri!$B$11,B45&gt;=Parametri!$B$10,B46&lt;Parametri!$B$10),ROW(),0))</f>
        <v>0</v>
      </c>
      <c r="H45" s="41"/>
      <c r="I45" s="41"/>
      <c r="J45" s="13" t="str">
        <f t="shared" si="18"/>
        <v/>
      </c>
      <c r="K45" s="23" t="str">
        <f t="shared" si="19"/>
        <v/>
      </c>
      <c r="L45" s="34" t="str">
        <f t="shared" si="20"/>
        <v/>
      </c>
      <c r="M45" s="18">
        <f>IF(OR(H45="",H46=""),0,IF(AND(H45&gt;=Parametri!$B$11,I45&gt;=Parametri!$B$10,I46&lt;Parametri!$B$10),ROW(),0))</f>
        <v>0</v>
      </c>
      <c r="O45" s="41"/>
      <c r="P45" s="41"/>
      <c r="Q45" s="13" t="str">
        <f t="shared" si="21"/>
        <v/>
      </c>
      <c r="R45" s="23" t="str">
        <f t="shared" si="22"/>
        <v/>
      </c>
      <c r="S45" s="34" t="str">
        <f t="shared" si="23"/>
        <v/>
      </c>
      <c r="T45" s="18">
        <f>IF(OR(O45="",O46=""),0,IF(AND(O45&gt;=Parametri!$B$11,P45&gt;=Parametri!$B$10,P46&lt;Parametri!$B$10),ROW(),0))</f>
        <v>0</v>
      </c>
      <c r="V45" s="41"/>
      <c r="W45" s="41"/>
      <c r="X45" s="13" t="str">
        <f t="shared" si="24"/>
        <v/>
      </c>
      <c r="Y45" s="23" t="str">
        <f t="shared" si="25"/>
        <v/>
      </c>
      <c r="Z45" s="34" t="str">
        <f t="shared" si="26"/>
        <v/>
      </c>
      <c r="AA45" s="18">
        <f>IF(OR(V45="",V46=""),0,IF(AND(V45&gt;=Parametri!$B$11,W45&gt;=Parametri!$B$10,W46&lt;Parametri!$B$10),ROW(),0))</f>
        <v>0</v>
      </c>
      <c r="AC45" s="41"/>
      <c r="AD45" s="41"/>
      <c r="AE45" s="13" t="str">
        <f t="shared" si="27"/>
        <v/>
      </c>
      <c r="AF45" s="23" t="str">
        <f t="shared" si="28"/>
        <v/>
      </c>
      <c r="AG45" s="34" t="str">
        <f t="shared" si="29"/>
        <v/>
      </c>
      <c r="AH45" s="18">
        <f>IF(OR(AC45="",AC46=""),0,IF(AND(AC45&gt;=Parametri!$B$11,AD45&gt;=Parametri!$B$10,AD46&lt;Parametri!$B$10),ROW(),0))</f>
        <v>0</v>
      </c>
    </row>
    <row r="46" spans="1:34" x14ac:dyDescent="0.25">
      <c r="A46" s="41"/>
      <c r="B46" s="41"/>
      <c r="C46" s="13" t="str">
        <f t="shared" si="15"/>
        <v/>
      </c>
      <c r="D46" s="23" t="str">
        <f t="shared" si="16"/>
        <v/>
      </c>
      <c r="E46" s="34" t="str">
        <f t="shared" si="17"/>
        <v/>
      </c>
      <c r="F46" s="18">
        <f>IF(OR(A46="",A47=""),0,IF(AND(A46&gt;=Parametri!$B$11,B46&gt;=Parametri!$B$10,B47&lt;Parametri!$B$10),ROW(),0))</f>
        <v>0</v>
      </c>
      <c r="H46" s="41"/>
      <c r="I46" s="41"/>
      <c r="J46" s="13" t="str">
        <f t="shared" si="18"/>
        <v/>
      </c>
      <c r="K46" s="23" t="str">
        <f t="shared" si="19"/>
        <v/>
      </c>
      <c r="L46" s="34" t="str">
        <f t="shared" si="20"/>
        <v/>
      </c>
      <c r="M46" s="18">
        <f>IF(OR(H46="",H47=""),0,IF(AND(H46&gt;=Parametri!$B$11,I46&gt;=Parametri!$B$10,I47&lt;Parametri!$B$10),ROW(),0))</f>
        <v>0</v>
      </c>
      <c r="O46" s="41"/>
      <c r="P46" s="41"/>
      <c r="Q46" s="13" t="str">
        <f t="shared" si="21"/>
        <v/>
      </c>
      <c r="R46" s="23" t="str">
        <f t="shared" si="22"/>
        <v/>
      </c>
      <c r="S46" s="34" t="str">
        <f t="shared" si="23"/>
        <v/>
      </c>
      <c r="T46" s="18">
        <f>IF(OR(O46="",O47=""),0,IF(AND(O46&gt;=Parametri!$B$11,P46&gt;=Parametri!$B$10,P47&lt;Parametri!$B$10),ROW(),0))</f>
        <v>0</v>
      </c>
      <c r="V46" s="41"/>
      <c r="W46" s="41"/>
      <c r="X46" s="13" t="str">
        <f t="shared" si="24"/>
        <v/>
      </c>
      <c r="Y46" s="23" t="str">
        <f t="shared" si="25"/>
        <v/>
      </c>
      <c r="Z46" s="34" t="str">
        <f t="shared" si="26"/>
        <v/>
      </c>
      <c r="AA46" s="18">
        <f>IF(OR(V46="",V47=""),0,IF(AND(V46&gt;=Parametri!$B$11,W46&gt;=Parametri!$B$10,W47&lt;Parametri!$B$10),ROW(),0))</f>
        <v>0</v>
      </c>
      <c r="AC46" s="41"/>
      <c r="AD46" s="41"/>
      <c r="AE46" s="13" t="str">
        <f t="shared" si="27"/>
        <v/>
      </c>
      <c r="AF46" s="23" t="str">
        <f t="shared" si="28"/>
        <v/>
      </c>
      <c r="AG46" s="34" t="str">
        <f t="shared" si="29"/>
        <v/>
      </c>
      <c r="AH46" s="18">
        <f>IF(OR(AC46="",AC47=""),0,IF(AND(AC46&gt;=Parametri!$B$11,AD46&gt;=Parametri!$B$10,AD47&lt;Parametri!$B$10),ROW(),0))</f>
        <v>0</v>
      </c>
    </row>
    <row r="47" spans="1:34" x14ac:dyDescent="0.25">
      <c r="A47" s="41"/>
      <c r="B47" s="41"/>
      <c r="C47" s="13" t="str">
        <f t="shared" si="15"/>
        <v/>
      </c>
      <c r="D47" s="23" t="str">
        <f t="shared" si="16"/>
        <v/>
      </c>
      <c r="E47" s="34" t="str">
        <f t="shared" si="17"/>
        <v/>
      </c>
      <c r="F47" s="18">
        <f>IF(OR(A47="",A48=""),0,IF(AND(A47&gt;=Parametri!$B$11,B47&gt;=Parametri!$B$10,B48&lt;Parametri!$B$10),ROW(),0))</f>
        <v>0</v>
      </c>
      <c r="H47" s="41"/>
      <c r="I47" s="41"/>
      <c r="J47" s="13" t="str">
        <f t="shared" si="18"/>
        <v/>
      </c>
      <c r="K47" s="23" t="str">
        <f t="shared" si="19"/>
        <v/>
      </c>
      <c r="L47" s="34" t="str">
        <f t="shared" si="20"/>
        <v/>
      </c>
      <c r="M47" s="18">
        <f>IF(OR(H47="",H48=""),0,IF(AND(H47&gt;=Parametri!$B$11,I47&gt;=Parametri!$B$10,I48&lt;Parametri!$B$10),ROW(),0))</f>
        <v>0</v>
      </c>
      <c r="O47" s="41"/>
      <c r="P47" s="41"/>
      <c r="Q47" s="13" t="str">
        <f t="shared" si="21"/>
        <v/>
      </c>
      <c r="R47" s="23" t="str">
        <f t="shared" si="22"/>
        <v/>
      </c>
      <c r="S47" s="34" t="str">
        <f t="shared" si="23"/>
        <v/>
      </c>
      <c r="T47" s="18">
        <f>IF(OR(O47="",O48=""),0,IF(AND(O47&gt;=Parametri!$B$11,P47&gt;=Parametri!$B$10,P48&lt;Parametri!$B$10),ROW(),0))</f>
        <v>0</v>
      </c>
      <c r="V47" s="41"/>
      <c r="W47" s="41"/>
      <c r="X47" s="13" t="str">
        <f t="shared" si="24"/>
        <v/>
      </c>
      <c r="Y47" s="23" t="str">
        <f t="shared" si="25"/>
        <v/>
      </c>
      <c r="Z47" s="34" t="str">
        <f t="shared" si="26"/>
        <v/>
      </c>
      <c r="AA47" s="18">
        <f>IF(OR(V47="",V48=""),0,IF(AND(V47&gt;=Parametri!$B$11,W47&gt;=Parametri!$B$10,W48&lt;Parametri!$B$10),ROW(),0))</f>
        <v>0</v>
      </c>
      <c r="AC47" s="41"/>
      <c r="AD47" s="41"/>
      <c r="AE47" s="13" t="str">
        <f t="shared" si="27"/>
        <v/>
      </c>
      <c r="AF47" s="23" t="str">
        <f t="shared" si="28"/>
        <v/>
      </c>
      <c r="AG47" s="34" t="str">
        <f t="shared" si="29"/>
        <v/>
      </c>
      <c r="AH47" s="18">
        <f>IF(OR(AC47="",AC48=""),0,IF(AND(AC47&gt;=Parametri!$B$11,AD47&gt;=Parametri!$B$10,AD48&lt;Parametri!$B$10),ROW(),0))</f>
        <v>0</v>
      </c>
    </row>
    <row r="48" spans="1:34" x14ac:dyDescent="0.25">
      <c r="A48" s="41"/>
      <c r="B48" s="41"/>
      <c r="C48" s="13" t="str">
        <f t="shared" si="15"/>
        <v/>
      </c>
      <c r="D48" s="23" t="str">
        <f t="shared" si="16"/>
        <v/>
      </c>
      <c r="E48" s="34" t="str">
        <f t="shared" si="17"/>
        <v/>
      </c>
      <c r="F48" s="18">
        <f>IF(OR(A48="",A49=""),0,IF(AND(A48&gt;=Parametri!$B$11,B48&gt;=Parametri!$B$10,B49&lt;Parametri!$B$10),ROW(),0))</f>
        <v>0</v>
      </c>
      <c r="H48" s="41"/>
      <c r="I48" s="41"/>
      <c r="J48" s="13" t="str">
        <f t="shared" si="18"/>
        <v/>
      </c>
      <c r="K48" s="23" t="str">
        <f t="shared" si="19"/>
        <v/>
      </c>
      <c r="L48" s="34" t="str">
        <f t="shared" si="20"/>
        <v/>
      </c>
      <c r="M48" s="18">
        <f>IF(OR(H48="",H49=""),0,IF(AND(H48&gt;=Parametri!$B$11,I48&gt;=Parametri!$B$10,I49&lt;Parametri!$B$10),ROW(),0))</f>
        <v>0</v>
      </c>
      <c r="O48" s="41"/>
      <c r="P48" s="41"/>
      <c r="Q48" s="13" t="str">
        <f t="shared" si="21"/>
        <v/>
      </c>
      <c r="R48" s="23" t="str">
        <f t="shared" si="22"/>
        <v/>
      </c>
      <c r="S48" s="34" t="str">
        <f t="shared" si="23"/>
        <v/>
      </c>
      <c r="T48" s="18">
        <f>IF(OR(O48="",O49=""),0,IF(AND(O48&gt;=Parametri!$B$11,P48&gt;=Parametri!$B$10,P49&lt;Parametri!$B$10),ROW(),0))</f>
        <v>0</v>
      </c>
      <c r="V48" s="41"/>
      <c r="W48" s="41"/>
      <c r="X48" s="13" t="str">
        <f t="shared" si="24"/>
        <v/>
      </c>
      <c r="Y48" s="23" t="str">
        <f t="shared" si="25"/>
        <v/>
      </c>
      <c r="Z48" s="34" t="str">
        <f t="shared" si="26"/>
        <v/>
      </c>
      <c r="AA48" s="18">
        <f>IF(OR(V48="",V49=""),0,IF(AND(V48&gt;=Parametri!$B$11,W48&gt;=Parametri!$B$10,W49&lt;Parametri!$B$10),ROW(),0))</f>
        <v>0</v>
      </c>
      <c r="AC48" s="41"/>
      <c r="AD48" s="41"/>
      <c r="AE48" s="13" t="str">
        <f t="shared" si="27"/>
        <v/>
      </c>
      <c r="AF48" s="23" t="str">
        <f t="shared" si="28"/>
        <v/>
      </c>
      <c r="AG48" s="34" t="str">
        <f t="shared" si="29"/>
        <v/>
      </c>
      <c r="AH48" s="18">
        <f>IF(OR(AC48="",AC49=""),0,IF(AND(AC48&gt;=Parametri!$B$11,AD48&gt;=Parametri!$B$10,AD49&lt;Parametri!$B$10),ROW(),0))</f>
        <v>0</v>
      </c>
    </row>
    <row r="49" spans="1:34" x14ac:dyDescent="0.25">
      <c r="A49" s="41"/>
      <c r="B49" s="41"/>
      <c r="C49" s="13" t="str">
        <f t="shared" si="15"/>
        <v/>
      </c>
      <c r="D49" s="23" t="str">
        <f t="shared" si="16"/>
        <v/>
      </c>
      <c r="E49" s="34" t="str">
        <f t="shared" si="17"/>
        <v/>
      </c>
      <c r="F49" s="18">
        <f>IF(OR(A49="",A50=""),0,IF(AND(A49&gt;=Parametri!$B$11,B49&gt;=Parametri!$B$10,B50&lt;Parametri!$B$10),ROW(),0))</f>
        <v>0</v>
      </c>
      <c r="H49" s="41"/>
      <c r="I49" s="41"/>
      <c r="J49" s="13" t="str">
        <f t="shared" si="18"/>
        <v/>
      </c>
      <c r="K49" s="23" t="str">
        <f t="shared" si="19"/>
        <v/>
      </c>
      <c r="L49" s="34" t="str">
        <f t="shared" si="20"/>
        <v/>
      </c>
      <c r="M49" s="18">
        <f>IF(OR(H49="",H50=""),0,IF(AND(H49&gt;=Parametri!$B$11,I49&gt;=Parametri!$B$10,I50&lt;Parametri!$B$10),ROW(),0))</f>
        <v>0</v>
      </c>
      <c r="O49" s="41"/>
      <c r="P49" s="41"/>
      <c r="Q49" s="13" t="str">
        <f t="shared" si="21"/>
        <v/>
      </c>
      <c r="R49" s="23" t="str">
        <f t="shared" si="22"/>
        <v/>
      </c>
      <c r="S49" s="34" t="str">
        <f t="shared" si="23"/>
        <v/>
      </c>
      <c r="T49" s="18">
        <f>IF(OR(O49="",O50=""),0,IF(AND(O49&gt;=Parametri!$B$11,P49&gt;=Parametri!$B$10,P50&lt;Parametri!$B$10),ROW(),0))</f>
        <v>0</v>
      </c>
      <c r="V49" s="41"/>
      <c r="W49" s="41"/>
      <c r="X49" s="13" t="str">
        <f t="shared" si="24"/>
        <v/>
      </c>
      <c r="Y49" s="23" t="str">
        <f t="shared" si="25"/>
        <v/>
      </c>
      <c r="Z49" s="34" t="str">
        <f t="shared" si="26"/>
        <v/>
      </c>
      <c r="AA49" s="18">
        <f>IF(OR(V49="",V50=""),0,IF(AND(V49&gt;=Parametri!$B$11,W49&gt;=Parametri!$B$10,W50&lt;Parametri!$B$10),ROW(),0))</f>
        <v>0</v>
      </c>
      <c r="AC49" s="41"/>
      <c r="AD49" s="41"/>
      <c r="AE49" s="13" t="str">
        <f t="shared" si="27"/>
        <v/>
      </c>
      <c r="AF49" s="23" t="str">
        <f t="shared" si="28"/>
        <v/>
      </c>
      <c r="AG49" s="34" t="str">
        <f t="shared" si="29"/>
        <v/>
      </c>
      <c r="AH49" s="18">
        <f>IF(OR(AC49="",AC50=""),0,IF(AND(AC49&gt;=Parametri!$B$11,AD49&gt;=Parametri!$B$10,AD50&lt;Parametri!$B$10),ROW(),0))</f>
        <v>0</v>
      </c>
    </row>
    <row r="50" spans="1:34" x14ac:dyDescent="0.25">
      <c r="A50" s="41"/>
      <c r="B50" s="41"/>
      <c r="C50" s="13" t="str">
        <f t="shared" si="15"/>
        <v/>
      </c>
      <c r="D50" s="23" t="str">
        <f t="shared" si="16"/>
        <v/>
      </c>
      <c r="E50" s="34" t="str">
        <f t="shared" si="17"/>
        <v/>
      </c>
      <c r="F50" s="18">
        <f>IF(OR(A50="",A51=""),0,IF(AND(A50&gt;=Parametri!$B$11,B50&gt;=Parametri!$B$10,B51&lt;Parametri!$B$10),ROW(),0))</f>
        <v>0</v>
      </c>
      <c r="H50" s="41"/>
      <c r="I50" s="41"/>
      <c r="J50" s="13" t="str">
        <f t="shared" si="18"/>
        <v/>
      </c>
      <c r="K50" s="23" t="str">
        <f t="shared" si="19"/>
        <v/>
      </c>
      <c r="L50" s="34" t="str">
        <f t="shared" si="20"/>
        <v/>
      </c>
      <c r="M50" s="18">
        <f>IF(OR(H50="",H51=""),0,IF(AND(H50&gt;=Parametri!$B$11,I50&gt;=Parametri!$B$10,I51&lt;Parametri!$B$10),ROW(),0))</f>
        <v>0</v>
      </c>
      <c r="O50" s="41"/>
      <c r="P50" s="41"/>
      <c r="Q50" s="13" t="str">
        <f t="shared" si="21"/>
        <v/>
      </c>
      <c r="R50" s="23" t="str">
        <f t="shared" si="22"/>
        <v/>
      </c>
      <c r="S50" s="34" t="str">
        <f t="shared" si="23"/>
        <v/>
      </c>
      <c r="T50" s="18">
        <f>IF(OR(O50="",O51=""),0,IF(AND(O50&gt;=Parametri!$B$11,P50&gt;=Parametri!$B$10,P51&lt;Parametri!$B$10),ROW(),0))</f>
        <v>0</v>
      </c>
      <c r="V50" s="41"/>
      <c r="W50" s="41"/>
      <c r="X50" s="13" t="str">
        <f t="shared" si="24"/>
        <v/>
      </c>
      <c r="Y50" s="23" t="str">
        <f t="shared" si="25"/>
        <v/>
      </c>
      <c r="Z50" s="34" t="str">
        <f t="shared" si="26"/>
        <v/>
      </c>
      <c r="AA50" s="18">
        <f>IF(OR(V50="",V51=""),0,IF(AND(V50&gt;=Parametri!$B$11,W50&gt;=Parametri!$B$10,W51&lt;Parametri!$B$10),ROW(),0))</f>
        <v>0</v>
      </c>
      <c r="AC50" s="41"/>
      <c r="AD50" s="41"/>
      <c r="AE50" s="13" t="str">
        <f t="shared" si="27"/>
        <v/>
      </c>
      <c r="AF50" s="23" t="str">
        <f t="shared" si="28"/>
        <v/>
      </c>
      <c r="AG50" s="34" t="str">
        <f t="shared" si="29"/>
        <v/>
      </c>
      <c r="AH50" s="18">
        <f>IF(OR(AC50="",AC51=""),0,IF(AND(AC50&gt;=Parametri!$B$11,AD50&gt;=Parametri!$B$10,AD51&lt;Parametri!$B$10),ROW(),0))</f>
        <v>0</v>
      </c>
    </row>
    <row r="51" spans="1:34" x14ac:dyDescent="0.25">
      <c r="A51" s="41"/>
      <c r="B51" s="41"/>
      <c r="C51" s="13" t="str">
        <f t="shared" si="15"/>
        <v/>
      </c>
      <c r="D51" s="23" t="str">
        <f t="shared" si="16"/>
        <v/>
      </c>
      <c r="E51" s="34" t="str">
        <f t="shared" si="17"/>
        <v/>
      </c>
      <c r="F51" s="18">
        <f>IF(OR(A51="",A52=""),0,IF(AND(A51&gt;=Parametri!$B$11,B51&gt;=Parametri!$B$10,B52&lt;Parametri!$B$10),ROW(),0))</f>
        <v>0</v>
      </c>
      <c r="H51" s="41"/>
      <c r="I51" s="41"/>
      <c r="J51" s="13" t="str">
        <f t="shared" si="18"/>
        <v/>
      </c>
      <c r="K51" s="23" t="str">
        <f t="shared" si="19"/>
        <v/>
      </c>
      <c r="L51" s="34" t="str">
        <f t="shared" si="20"/>
        <v/>
      </c>
      <c r="M51" s="18">
        <f>IF(OR(H51="",H52=""),0,IF(AND(H51&gt;=Parametri!$B$11,I51&gt;=Parametri!$B$10,I52&lt;Parametri!$B$10),ROW(),0))</f>
        <v>0</v>
      </c>
      <c r="O51" s="41"/>
      <c r="P51" s="41"/>
      <c r="Q51" s="13" t="str">
        <f t="shared" si="21"/>
        <v/>
      </c>
      <c r="R51" s="23" t="str">
        <f t="shared" si="22"/>
        <v/>
      </c>
      <c r="S51" s="34" t="str">
        <f t="shared" si="23"/>
        <v/>
      </c>
      <c r="T51" s="18">
        <f>IF(OR(O51="",O52=""),0,IF(AND(O51&gt;=Parametri!$B$11,P51&gt;=Parametri!$B$10,P52&lt;Parametri!$B$10),ROW(),0))</f>
        <v>0</v>
      </c>
      <c r="V51" s="41"/>
      <c r="W51" s="41"/>
      <c r="X51" s="13" t="str">
        <f t="shared" si="24"/>
        <v/>
      </c>
      <c r="Y51" s="23" t="str">
        <f t="shared" si="25"/>
        <v/>
      </c>
      <c r="Z51" s="34" t="str">
        <f t="shared" si="26"/>
        <v/>
      </c>
      <c r="AA51" s="18">
        <f>IF(OR(V51="",V52=""),0,IF(AND(V51&gt;=Parametri!$B$11,W51&gt;=Parametri!$B$10,W52&lt;Parametri!$B$10),ROW(),0))</f>
        <v>0</v>
      </c>
      <c r="AC51" s="41"/>
      <c r="AD51" s="41"/>
      <c r="AE51" s="13" t="str">
        <f t="shared" si="27"/>
        <v/>
      </c>
      <c r="AF51" s="23" t="str">
        <f t="shared" si="28"/>
        <v/>
      </c>
      <c r="AG51" s="34" t="str">
        <f t="shared" si="29"/>
        <v/>
      </c>
      <c r="AH51" s="18">
        <f>IF(OR(AC51="",AC52=""),0,IF(AND(AC51&gt;=Parametri!$B$11,AD51&gt;=Parametri!$B$10,AD52&lt;Parametri!$B$10),ROW(),0))</f>
        <v>0</v>
      </c>
    </row>
    <row r="52" spans="1:34" x14ac:dyDescent="0.25">
      <c r="A52" s="41"/>
      <c r="B52" s="41"/>
      <c r="C52" s="13" t="str">
        <f t="shared" si="15"/>
        <v/>
      </c>
      <c r="D52" s="23" t="str">
        <f t="shared" si="16"/>
        <v/>
      </c>
      <c r="E52" s="34" t="str">
        <f t="shared" si="17"/>
        <v/>
      </c>
      <c r="F52" s="18">
        <f>IF(OR(A52="",A53=""),0,IF(AND(A52&gt;=Parametri!$B$11,B52&gt;=Parametri!$B$10,B53&lt;Parametri!$B$10),ROW(),0))</f>
        <v>0</v>
      </c>
      <c r="H52" s="41"/>
      <c r="I52" s="41"/>
      <c r="J52" s="13" t="str">
        <f t="shared" si="18"/>
        <v/>
      </c>
      <c r="K52" s="23" t="str">
        <f t="shared" si="19"/>
        <v/>
      </c>
      <c r="L52" s="34" t="str">
        <f t="shared" si="20"/>
        <v/>
      </c>
      <c r="M52" s="18">
        <f>IF(OR(H52="",H53=""),0,IF(AND(H52&gt;=Parametri!$B$11,I52&gt;=Parametri!$B$10,I53&lt;Parametri!$B$10),ROW(),0))</f>
        <v>0</v>
      </c>
      <c r="O52" s="41"/>
      <c r="P52" s="41"/>
      <c r="Q52" s="13" t="str">
        <f t="shared" si="21"/>
        <v/>
      </c>
      <c r="R52" s="23" t="str">
        <f t="shared" si="22"/>
        <v/>
      </c>
      <c r="S52" s="34" t="str">
        <f t="shared" si="23"/>
        <v/>
      </c>
      <c r="T52" s="18">
        <f>IF(OR(O52="",O53=""),0,IF(AND(O52&gt;=Parametri!$B$11,P52&gt;=Parametri!$B$10,P53&lt;Parametri!$B$10),ROW(),0))</f>
        <v>0</v>
      </c>
      <c r="V52" s="41"/>
      <c r="W52" s="41"/>
      <c r="X52" s="13" t="str">
        <f t="shared" si="24"/>
        <v/>
      </c>
      <c r="Y52" s="23" t="str">
        <f t="shared" si="25"/>
        <v/>
      </c>
      <c r="Z52" s="34" t="str">
        <f t="shared" si="26"/>
        <v/>
      </c>
      <c r="AA52" s="18">
        <f>IF(OR(V52="",V53=""),0,IF(AND(V52&gt;=Parametri!$B$11,W52&gt;=Parametri!$B$10,W53&lt;Parametri!$B$10),ROW(),0))</f>
        <v>0</v>
      </c>
      <c r="AC52" s="41"/>
      <c r="AD52" s="41"/>
      <c r="AE52" s="13" t="str">
        <f t="shared" si="27"/>
        <v/>
      </c>
      <c r="AF52" s="23" t="str">
        <f t="shared" si="28"/>
        <v/>
      </c>
      <c r="AG52" s="34" t="str">
        <f t="shared" si="29"/>
        <v/>
      </c>
      <c r="AH52" s="18">
        <f>IF(OR(AC52="",AC53=""),0,IF(AND(AC52&gt;=Parametri!$B$11,AD52&gt;=Parametri!$B$10,AD53&lt;Parametri!$B$10),ROW(),0))</f>
        <v>0</v>
      </c>
    </row>
    <row r="53" spans="1:34" x14ac:dyDescent="0.25">
      <c r="A53" s="41"/>
      <c r="B53" s="41"/>
      <c r="C53" s="13" t="str">
        <f t="shared" si="15"/>
        <v/>
      </c>
      <c r="D53" s="23" t="str">
        <f t="shared" si="16"/>
        <v/>
      </c>
      <c r="E53" s="34" t="str">
        <f t="shared" si="17"/>
        <v/>
      </c>
      <c r="F53" s="18">
        <f>IF(OR(A53="",A54=""),0,IF(AND(A53&gt;=Parametri!$B$11,B53&gt;=Parametri!$B$10,B54&lt;Parametri!$B$10),ROW(),0))</f>
        <v>0</v>
      </c>
      <c r="H53" s="41"/>
      <c r="I53" s="41"/>
      <c r="J53" s="13" t="str">
        <f t="shared" si="18"/>
        <v/>
      </c>
      <c r="K53" s="23" t="str">
        <f t="shared" si="19"/>
        <v/>
      </c>
      <c r="L53" s="34" t="str">
        <f t="shared" si="20"/>
        <v/>
      </c>
      <c r="M53" s="18">
        <f>IF(OR(H53="",H54=""),0,IF(AND(H53&gt;=Parametri!$B$11,I53&gt;=Parametri!$B$10,I54&lt;Parametri!$B$10),ROW(),0))</f>
        <v>0</v>
      </c>
      <c r="O53" s="41"/>
      <c r="P53" s="41"/>
      <c r="Q53" s="13" t="str">
        <f t="shared" si="21"/>
        <v/>
      </c>
      <c r="R53" s="23" t="str">
        <f t="shared" si="22"/>
        <v/>
      </c>
      <c r="S53" s="34" t="str">
        <f t="shared" si="23"/>
        <v/>
      </c>
      <c r="T53" s="18">
        <f>IF(OR(O53="",O54=""),0,IF(AND(O53&gt;=Parametri!$B$11,P53&gt;=Parametri!$B$10,P54&lt;Parametri!$B$10),ROW(),0))</f>
        <v>0</v>
      </c>
      <c r="V53" s="41"/>
      <c r="W53" s="41"/>
      <c r="X53" s="13" t="str">
        <f t="shared" si="24"/>
        <v/>
      </c>
      <c r="Y53" s="23" t="str">
        <f t="shared" si="25"/>
        <v/>
      </c>
      <c r="Z53" s="34" t="str">
        <f t="shared" si="26"/>
        <v/>
      </c>
      <c r="AA53" s="18">
        <f>IF(OR(V53="",V54=""),0,IF(AND(V53&gt;=Parametri!$B$11,W53&gt;=Parametri!$B$10,W54&lt;Parametri!$B$10),ROW(),0))</f>
        <v>0</v>
      </c>
      <c r="AC53" s="41"/>
      <c r="AD53" s="41"/>
      <c r="AE53" s="13" t="str">
        <f t="shared" si="27"/>
        <v/>
      </c>
      <c r="AF53" s="23" t="str">
        <f t="shared" si="28"/>
        <v/>
      </c>
      <c r="AG53" s="34" t="str">
        <f t="shared" si="29"/>
        <v/>
      </c>
      <c r="AH53" s="18">
        <f>IF(OR(AC53="",AC54=""),0,IF(AND(AC53&gt;=Parametri!$B$11,AD53&gt;=Parametri!$B$10,AD54&lt;Parametri!$B$10),ROW(),0))</f>
        <v>0</v>
      </c>
    </row>
    <row r="54" spans="1:34" x14ac:dyDescent="0.25">
      <c r="A54" s="41"/>
      <c r="B54" s="41"/>
      <c r="C54" s="13" t="str">
        <f t="shared" si="15"/>
        <v/>
      </c>
      <c r="D54" s="23" t="str">
        <f t="shared" si="16"/>
        <v/>
      </c>
      <c r="E54" s="34" t="str">
        <f t="shared" si="17"/>
        <v/>
      </c>
      <c r="F54" s="18">
        <f>IF(OR(A54="",A55=""),0,IF(AND(A54&gt;=Parametri!$B$11,B54&gt;=Parametri!$B$10,B55&lt;Parametri!$B$10),ROW(),0))</f>
        <v>0</v>
      </c>
      <c r="H54" s="41"/>
      <c r="I54" s="41"/>
      <c r="J54" s="13" t="str">
        <f t="shared" si="18"/>
        <v/>
      </c>
      <c r="K54" s="23" t="str">
        <f t="shared" si="19"/>
        <v/>
      </c>
      <c r="L54" s="34" t="str">
        <f t="shared" si="20"/>
        <v/>
      </c>
      <c r="M54" s="18">
        <f>IF(OR(H54="",H55=""),0,IF(AND(H54&gt;=Parametri!$B$11,I54&gt;=Parametri!$B$10,I55&lt;Parametri!$B$10),ROW(),0))</f>
        <v>0</v>
      </c>
      <c r="O54" s="41"/>
      <c r="P54" s="41"/>
      <c r="Q54" s="13" t="str">
        <f t="shared" si="21"/>
        <v/>
      </c>
      <c r="R54" s="23" t="str">
        <f t="shared" si="22"/>
        <v/>
      </c>
      <c r="S54" s="34" t="str">
        <f t="shared" si="23"/>
        <v/>
      </c>
      <c r="T54" s="18">
        <f>IF(OR(O54="",O55=""),0,IF(AND(O54&gt;=Parametri!$B$11,P54&gt;=Parametri!$B$10,P55&lt;Parametri!$B$10),ROW(),0))</f>
        <v>0</v>
      </c>
      <c r="V54" s="41"/>
      <c r="W54" s="41"/>
      <c r="X54" s="13" t="str">
        <f t="shared" si="24"/>
        <v/>
      </c>
      <c r="Y54" s="23" t="str">
        <f t="shared" si="25"/>
        <v/>
      </c>
      <c r="Z54" s="34" t="str">
        <f t="shared" si="26"/>
        <v/>
      </c>
      <c r="AA54" s="18">
        <f>IF(OR(V54="",V55=""),0,IF(AND(V54&gt;=Parametri!$B$11,W54&gt;=Parametri!$B$10,W55&lt;Parametri!$B$10),ROW(),0))</f>
        <v>0</v>
      </c>
      <c r="AC54" s="41"/>
      <c r="AD54" s="41"/>
      <c r="AE54" s="13" t="str">
        <f t="shared" si="27"/>
        <v/>
      </c>
      <c r="AF54" s="23" t="str">
        <f t="shared" si="28"/>
        <v/>
      </c>
      <c r="AG54" s="34" t="str">
        <f t="shared" si="29"/>
        <v/>
      </c>
      <c r="AH54" s="18">
        <f>IF(OR(AC54="",AC55=""),0,IF(AND(AC54&gt;=Parametri!$B$11,AD54&gt;=Parametri!$B$10,AD55&lt;Parametri!$B$10),ROW(),0))</f>
        <v>0</v>
      </c>
    </row>
    <row r="55" spans="1:34" x14ac:dyDescent="0.25">
      <c r="A55" s="41"/>
      <c r="B55" s="41"/>
      <c r="C55" s="13" t="str">
        <f t="shared" si="15"/>
        <v/>
      </c>
      <c r="D55" s="23" t="str">
        <f t="shared" si="16"/>
        <v/>
      </c>
      <c r="E55" s="34" t="str">
        <f t="shared" si="17"/>
        <v/>
      </c>
      <c r="F55" s="18">
        <f>IF(OR(A55="",A56=""),0,IF(AND(A55&gt;=Parametri!$B$11,B55&gt;=Parametri!$B$10,B56&lt;Parametri!$B$10),ROW(),0))</f>
        <v>0</v>
      </c>
      <c r="H55" s="41"/>
      <c r="I55" s="41"/>
      <c r="J55" s="13" t="str">
        <f t="shared" si="18"/>
        <v/>
      </c>
      <c r="K55" s="23" t="str">
        <f t="shared" si="19"/>
        <v/>
      </c>
      <c r="L55" s="34" t="str">
        <f t="shared" si="20"/>
        <v/>
      </c>
      <c r="M55" s="18">
        <f>IF(OR(H55="",H56=""),0,IF(AND(H55&gt;=Parametri!$B$11,I55&gt;=Parametri!$B$10,I56&lt;Parametri!$B$10),ROW(),0))</f>
        <v>0</v>
      </c>
      <c r="O55" s="41"/>
      <c r="P55" s="41"/>
      <c r="Q55" s="13" t="str">
        <f t="shared" si="21"/>
        <v/>
      </c>
      <c r="R55" s="23" t="str">
        <f t="shared" si="22"/>
        <v/>
      </c>
      <c r="S55" s="34" t="str">
        <f t="shared" si="23"/>
        <v/>
      </c>
      <c r="T55" s="18">
        <f>IF(OR(O55="",O56=""),0,IF(AND(O55&gt;=Parametri!$B$11,P55&gt;=Parametri!$B$10,P56&lt;Parametri!$B$10),ROW(),0))</f>
        <v>0</v>
      </c>
      <c r="V55" s="41"/>
      <c r="W55" s="41"/>
      <c r="X55" s="13" t="str">
        <f t="shared" si="24"/>
        <v/>
      </c>
      <c r="Y55" s="23" t="str">
        <f t="shared" si="25"/>
        <v/>
      </c>
      <c r="Z55" s="34" t="str">
        <f t="shared" si="26"/>
        <v/>
      </c>
      <c r="AA55" s="18">
        <f>IF(OR(V55="",V56=""),0,IF(AND(V55&gt;=Parametri!$B$11,W55&gt;=Parametri!$B$10,W56&lt;Parametri!$B$10),ROW(),0))</f>
        <v>0</v>
      </c>
      <c r="AC55" s="41"/>
      <c r="AD55" s="41"/>
      <c r="AE55" s="13" t="str">
        <f t="shared" si="27"/>
        <v/>
      </c>
      <c r="AF55" s="23" t="str">
        <f t="shared" si="28"/>
        <v/>
      </c>
      <c r="AG55" s="34" t="str">
        <f t="shared" si="29"/>
        <v/>
      </c>
      <c r="AH55" s="18">
        <f>IF(OR(AC55="",AC56=""),0,IF(AND(AC55&gt;=Parametri!$B$11,AD55&gt;=Parametri!$B$10,AD56&lt;Parametri!$B$10),ROW(),0))</f>
        <v>0</v>
      </c>
    </row>
    <row r="56" spans="1:34" x14ac:dyDescent="0.25">
      <c r="A56" s="41"/>
      <c r="B56" s="41"/>
      <c r="C56" s="13" t="str">
        <f t="shared" si="15"/>
        <v/>
      </c>
      <c r="D56" s="23" t="str">
        <f t="shared" si="16"/>
        <v/>
      </c>
      <c r="E56" s="34" t="str">
        <f t="shared" si="17"/>
        <v/>
      </c>
      <c r="F56" s="18">
        <f>IF(OR(A56="",A57=""),0,IF(AND(A56&gt;=Parametri!$B$11,B56&gt;=Parametri!$B$10,B57&lt;Parametri!$B$10),ROW(),0))</f>
        <v>0</v>
      </c>
      <c r="H56" s="41"/>
      <c r="I56" s="41"/>
      <c r="J56" s="13" t="str">
        <f t="shared" si="18"/>
        <v/>
      </c>
      <c r="K56" s="23" t="str">
        <f t="shared" si="19"/>
        <v/>
      </c>
      <c r="L56" s="34" t="str">
        <f t="shared" si="20"/>
        <v/>
      </c>
      <c r="M56" s="18">
        <f>IF(OR(H56="",H57=""),0,IF(AND(H56&gt;=Parametri!$B$11,I56&gt;=Parametri!$B$10,I57&lt;Parametri!$B$10),ROW(),0))</f>
        <v>0</v>
      </c>
      <c r="O56" s="41"/>
      <c r="P56" s="41"/>
      <c r="Q56" s="13" t="str">
        <f t="shared" si="21"/>
        <v/>
      </c>
      <c r="R56" s="23" t="str">
        <f t="shared" si="22"/>
        <v/>
      </c>
      <c r="S56" s="34" t="str">
        <f t="shared" si="23"/>
        <v/>
      </c>
      <c r="T56" s="18">
        <f>IF(OR(O56="",O57=""),0,IF(AND(O56&gt;=Parametri!$B$11,P56&gt;=Parametri!$B$10,P57&lt;Parametri!$B$10),ROW(),0))</f>
        <v>0</v>
      </c>
      <c r="V56" s="41"/>
      <c r="W56" s="41"/>
      <c r="X56" s="13" t="str">
        <f t="shared" si="24"/>
        <v/>
      </c>
      <c r="Y56" s="23" t="str">
        <f t="shared" si="25"/>
        <v/>
      </c>
      <c r="Z56" s="34" t="str">
        <f t="shared" si="26"/>
        <v/>
      </c>
      <c r="AA56" s="18">
        <f>IF(OR(V56="",V57=""),0,IF(AND(V56&gt;=Parametri!$B$11,W56&gt;=Parametri!$B$10,W57&lt;Parametri!$B$10),ROW(),0))</f>
        <v>0</v>
      </c>
      <c r="AC56" s="41"/>
      <c r="AD56" s="41"/>
      <c r="AE56" s="13" t="str">
        <f t="shared" si="27"/>
        <v/>
      </c>
      <c r="AF56" s="23" t="str">
        <f t="shared" si="28"/>
        <v/>
      </c>
      <c r="AG56" s="34" t="str">
        <f t="shared" si="29"/>
        <v/>
      </c>
      <c r="AH56" s="18">
        <f>IF(OR(AC56="",AC57=""),0,IF(AND(AC56&gt;=Parametri!$B$11,AD56&gt;=Parametri!$B$10,AD57&lt;Parametri!$B$10),ROW(),0))</f>
        <v>0</v>
      </c>
    </row>
    <row r="57" spans="1:34" x14ac:dyDescent="0.25">
      <c r="A57" s="41"/>
      <c r="B57" s="41"/>
      <c r="C57" s="13" t="str">
        <f t="shared" si="15"/>
        <v/>
      </c>
      <c r="D57" s="23" t="str">
        <f t="shared" si="16"/>
        <v/>
      </c>
      <c r="E57" s="34" t="str">
        <f t="shared" si="17"/>
        <v/>
      </c>
      <c r="F57" s="18">
        <f>IF(OR(A57="",A58=""),0,IF(AND(A57&gt;=Parametri!$B$11,B57&gt;=Parametri!$B$10,B58&lt;Parametri!$B$10),ROW(),0))</f>
        <v>0</v>
      </c>
      <c r="H57" s="41"/>
      <c r="I57" s="41"/>
      <c r="J57" s="13" t="str">
        <f t="shared" si="18"/>
        <v/>
      </c>
      <c r="K57" s="23" t="str">
        <f t="shared" si="19"/>
        <v/>
      </c>
      <c r="L57" s="34" t="str">
        <f t="shared" si="20"/>
        <v/>
      </c>
      <c r="M57" s="18">
        <f>IF(OR(H57="",H58=""),0,IF(AND(H57&gt;=Parametri!$B$11,I57&gt;=Parametri!$B$10,I58&lt;Parametri!$B$10),ROW(),0))</f>
        <v>0</v>
      </c>
      <c r="O57" s="41"/>
      <c r="P57" s="41"/>
      <c r="Q57" s="13" t="str">
        <f t="shared" si="21"/>
        <v/>
      </c>
      <c r="R57" s="23" t="str">
        <f t="shared" si="22"/>
        <v/>
      </c>
      <c r="S57" s="34" t="str">
        <f t="shared" si="23"/>
        <v/>
      </c>
      <c r="T57" s="18">
        <f>IF(OR(O57="",O58=""),0,IF(AND(O57&gt;=Parametri!$B$11,P57&gt;=Parametri!$B$10,P58&lt;Parametri!$B$10),ROW(),0))</f>
        <v>0</v>
      </c>
      <c r="V57" s="41"/>
      <c r="W57" s="41"/>
      <c r="X57" s="13" t="str">
        <f t="shared" si="24"/>
        <v/>
      </c>
      <c r="Y57" s="23" t="str">
        <f t="shared" si="25"/>
        <v/>
      </c>
      <c r="Z57" s="34" t="str">
        <f t="shared" si="26"/>
        <v/>
      </c>
      <c r="AA57" s="18">
        <f>IF(OR(V57="",V58=""),0,IF(AND(V57&gt;=Parametri!$B$11,W57&gt;=Parametri!$B$10,W58&lt;Parametri!$B$10),ROW(),0))</f>
        <v>0</v>
      </c>
      <c r="AC57" s="41"/>
      <c r="AD57" s="41"/>
      <c r="AE57" s="13" t="str">
        <f t="shared" si="27"/>
        <v/>
      </c>
      <c r="AF57" s="23" t="str">
        <f t="shared" si="28"/>
        <v/>
      </c>
      <c r="AG57" s="34" t="str">
        <f t="shared" si="29"/>
        <v/>
      </c>
      <c r="AH57" s="18">
        <f>IF(OR(AC57="",AC58=""),0,IF(AND(AC57&gt;=Parametri!$B$11,AD57&gt;=Parametri!$B$10,AD58&lt;Parametri!$B$10),ROW(),0))</f>
        <v>0</v>
      </c>
    </row>
    <row r="58" spans="1:34" x14ac:dyDescent="0.25">
      <c r="A58" s="41"/>
      <c r="B58" s="41"/>
      <c r="C58" s="13" t="str">
        <f t="shared" si="15"/>
        <v/>
      </c>
      <c r="D58" s="23" t="str">
        <f t="shared" si="16"/>
        <v/>
      </c>
      <c r="E58" s="34" t="str">
        <f t="shared" si="17"/>
        <v/>
      </c>
      <c r="F58" s="18">
        <f>IF(OR(A58="",A59=""),0,IF(AND(A58&gt;=Parametri!$B$11,B58&gt;=Parametri!$B$10,B59&lt;Parametri!$B$10),ROW(),0))</f>
        <v>0</v>
      </c>
      <c r="H58" s="41"/>
      <c r="I58" s="41"/>
      <c r="J58" s="13" t="str">
        <f t="shared" si="18"/>
        <v/>
      </c>
      <c r="K58" s="23" t="str">
        <f t="shared" si="19"/>
        <v/>
      </c>
      <c r="L58" s="34" t="str">
        <f t="shared" si="20"/>
        <v/>
      </c>
      <c r="M58" s="18">
        <f>IF(OR(H58="",H59=""),0,IF(AND(H58&gt;=Parametri!$B$11,I58&gt;=Parametri!$B$10,I59&lt;Parametri!$B$10),ROW(),0))</f>
        <v>0</v>
      </c>
      <c r="O58" s="41"/>
      <c r="P58" s="41"/>
      <c r="Q58" s="13" t="str">
        <f t="shared" si="21"/>
        <v/>
      </c>
      <c r="R58" s="23" t="str">
        <f t="shared" si="22"/>
        <v/>
      </c>
      <c r="S58" s="34" t="str">
        <f t="shared" si="23"/>
        <v/>
      </c>
      <c r="T58" s="18">
        <f>IF(OR(O58="",O59=""),0,IF(AND(O58&gt;=Parametri!$B$11,P58&gt;=Parametri!$B$10,P59&lt;Parametri!$B$10),ROW(),0))</f>
        <v>0</v>
      </c>
      <c r="V58" s="41"/>
      <c r="W58" s="41"/>
      <c r="X58" s="13" t="str">
        <f t="shared" si="24"/>
        <v/>
      </c>
      <c r="Y58" s="23" t="str">
        <f t="shared" si="25"/>
        <v/>
      </c>
      <c r="Z58" s="34" t="str">
        <f t="shared" si="26"/>
        <v/>
      </c>
      <c r="AA58" s="18">
        <f>IF(OR(V58="",V59=""),0,IF(AND(V58&gt;=Parametri!$B$11,W58&gt;=Parametri!$B$10,W59&lt;Parametri!$B$10),ROW(),0))</f>
        <v>0</v>
      </c>
      <c r="AC58" s="41"/>
      <c r="AD58" s="41"/>
      <c r="AE58" s="13" t="str">
        <f t="shared" si="27"/>
        <v/>
      </c>
      <c r="AF58" s="23" t="str">
        <f t="shared" si="28"/>
        <v/>
      </c>
      <c r="AG58" s="34" t="str">
        <f t="shared" si="29"/>
        <v/>
      </c>
      <c r="AH58" s="18">
        <f>IF(OR(AC58="",AC59=""),0,IF(AND(AC58&gt;=Parametri!$B$11,AD58&gt;=Parametri!$B$10,AD59&lt;Parametri!$B$10),ROW(),0))</f>
        <v>0</v>
      </c>
    </row>
    <row r="59" spans="1:34" x14ac:dyDescent="0.25">
      <c r="A59" s="41"/>
      <c r="B59" s="41"/>
      <c r="C59" s="13" t="str">
        <f t="shared" si="15"/>
        <v/>
      </c>
      <c r="D59" s="23" t="str">
        <f t="shared" si="16"/>
        <v/>
      </c>
      <c r="E59" s="34" t="str">
        <f t="shared" si="17"/>
        <v/>
      </c>
      <c r="F59" s="18">
        <f>IF(OR(A59="",A60=""),0,IF(AND(A59&gt;=Parametri!$B$11,B59&gt;=Parametri!$B$10,B60&lt;Parametri!$B$10),ROW(),0))</f>
        <v>0</v>
      </c>
      <c r="H59" s="41"/>
      <c r="I59" s="41"/>
      <c r="J59" s="13" t="str">
        <f t="shared" si="18"/>
        <v/>
      </c>
      <c r="K59" s="23" t="str">
        <f t="shared" si="19"/>
        <v/>
      </c>
      <c r="L59" s="34" t="str">
        <f t="shared" si="20"/>
        <v/>
      </c>
      <c r="M59" s="18">
        <f>IF(OR(H59="",H60=""),0,IF(AND(H59&gt;=Parametri!$B$11,I59&gt;=Parametri!$B$10,I60&lt;Parametri!$B$10),ROW(),0))</f>
        <v>0</v>
      </c>
      <c r="O59" s="41"/>
      <c r="P59" s="41"/>
      <c r="Q59" s="13" t="str">
        <f t="shared" si="21"/>
        <v/>
      </c>
      <c r="R59" s="23" t="str">
        <f t="shared" si="22"/>
        <v/>
      </c>
      <c r="S59" s="34" t="str">
        <f t="shared" si="23"/>
        <v/>
      </c>
      <c r="T59" s="18">
        <f>IF(OR(O59="",O60=""),0,IF(AND(O59&gt;=Parametri!$B$11,P59&gt;=Parametri!$B$10,P60&lt;Parametri!$B$10),ROW(),0))</f>
        <v>0</v>
      </c>
      <c r="V59" s="41"/>
      <c r="W59" s="41"/>
      <c r="X59" s="13" t="str">
        <f t="shared" si="24"/>
        <v/>
      </c>
      <c r="Y59" s="23" t="str">
        <f t="shared" si="25"/>
        <v/>
      </c>
      <c r="Z59" s="34" t="str">
        <f t="shared" si="26"/>
        <v/>
      </c>
      <c r="AA59" s="18">
        <f>IF(OR(V59="",V60=""),0,IF(AND(V59&gt;=Parametri!$B$11,W59&gt;=Parametri!$B$10,W60&lt;Parametri!$B$10),ROW(),0))</f>
        <v>0</v>
      </c>
      <c r="AC59" s="41"/>
      <c r="AD59" s="41"/>
      <c r="AE59" s="13" t="str">
        <f t="shared" si="27"/>
        <v/>
      </c>
      <c r="AF59" s="23" t="str">
        <f t="shared" si="28"/>
        <v/>
      </c>
      <c r="AG59" s="34" t="str">
        <f t="shared" si="29"/>
        <v/>
      </c>
      <c r="AH59" s="18">
        <f>IF(OR(AC59="",AC60=""),0,IF(AND(AC59&gt;=Parametri!$B$11,AD59&gt;=Parametri!$B$10,AD60&lt;Parametri!$B$10),ROW(),0))</f>
        <v>0</v>
      </c>
    </row>
    <row r="60" spans="1:34" x14ac:dyDescent="0.25">
      <c r="A60" s="41"/>
      <c r="B60" s="41"/>
      <c r="C60" s="13" t="str">
        <f t="shared" si="15"/>
        <v/>
      </c>
      <c r="D60" s="23" t="str">
        <f t="shared" si="16"/>
        <v/>
      </c>
      <c r="E60" s="34" t="str">
        <f t="shared" si="17"/>
        <v/>
      </c>
      <c r="F60" s="18">
        <f>IF(OR(A60="",A61=""),0,IF(AND(A60&gt;=Parametri!$B$11,B60&gt;=Parametri!$B$10,B61&lt;Parametri!$B$10),ROW(),0))</f>
        <v>0</v>
      </c>
      <c r="H60" s="41"/>
      <c r="I60" s="41"/>
      <c r="J60" s="13" t="str">
        <f t="shared" si="18"/>
        <v/>
      </c>
      <c r="K60" s="23" t="str">
        <f t="shared" si="19"/>
        <v/>
      </c>
      <c r="L60" s="34" t="str">
        <f t="shared" si="20"/>
        <v/>
      </c>
      <c r="M60" s="18">
        <f>IF(OR(H60="",H61=""),0,IF(AND(H60&gt;=Parametri!$B$11,I60&gt;=Parametri!$B$10,I61&lt;Parametri!$B$10),ROW(),0))</f>
        <v>0</v>
      </c>
      <c r="O60" s="41"/>
      <c r="P60" s="41"/>
      <c r="Q60" s="13" t="str">
        <f t="shared" si="21"/>
        <v/>
      </c>
      <c r="R60" s="23" t="str">
        <f t="shared" si="22"/>
        <v/>
      </c>
      <c r="S60" s="34" t="str">
        <f t="shared" si="23"/>
        <v/>
      </c>
      <c r="T60" s="18">
        <f>IF(OR(O60="",O61=""),0,IF(AND(O60&gt;=Parametri!$B$11,P60&gt;=Parametri!$B$10,P61&lt;Parametri!$B$10),ROW(),0))</f>
        <v>0</v>
      </c>
      <c r="V60" s="41"/>
      <c r="W60" s="41"/>
      <c r="X60" s="13" t="str">
        <f t="shared" si="24"/>
        <v/>
      </c>
      <c r="Y60" s="23" t="str">
        <f t="shared" si="25"/>
        <v/>
      </c>
      <c r="Z60" s="34" t="str">
        <f t="shared" si="26"/>
        <v/>
      </c>
      <c r="AA60" s="18">
        <f>IF(OR(V60="",V61=""),0,IF(AND(V60&gt;=Parametri!$B$11,W60&gt;=Parametri!$B$10,W61&lt;Parametri!$B$10),ROW(),0))</f>
        <v>0</v>
      </c>
      <c r="AC60" s="41"/>
      <c r="AD60" s="41"/>
      <c r="AE60" s="13" t="str">
        <f t="shared" si="27"/>
        <v/>
      </c>
      <c r="AF60" s="23" t="str">
        <f t="shared" si="28"/>
        <v/>
      </c>
      <c r="AG60" s="34" t="str">
        <f t="shared" si="29"/>
        <v/>
      </c>
      <c r="AH60" s="18">
        <f>IF(OR(AC60="",AC61=""),0,IF(AND(AC60&gt;=Parametri!$B$11,AD60&gt;=Parametri!$B$10,AD61&lt;Parametri!$B$10),ROW(),0))</f>
        <v>0</v>
      </c>
    </row>
    <row r="61" spans="1:34" x14ac:dyDescent="0.25">
      <c r="A61" s="41"/>
      <c r="B61" s="41"/>
      <c r="C61" s="13" t="str">
        <f t="shared" si="15"/>
        <v/>
      </c>
      <c r="D61" s="23" t="str">
        <f t="shared" si="16"/>
        <v/>
      </c>
      <c r="E61" s="34" t="str">
        <f t="shared" si="17"/>
        <v/>
      </c>
      <c r="F61" s="18">
        <f>IF(OR(A61="",A62=""),0,IF(AND(A61&gt;=Parametri!$B$11,B61&gt;=Parametri!$B$10,B62&lt;Parametri!$B$10),ROW(),0))</f>
        <v>0</v>
      </c>
      <c r="H61" s="41"/>
      <c r="I61" s="41"/>
      <c r="J61" s="13" t="str">
        <f t="shared" si="18"/>
        <v/>
      </c>
      <c r="K61" s="23" t="str">
        <f t="shared" si="19"/>
        <v/>
      </c>
      <c r="L61" s="34" t="str">
        <f t="shared" si="20"/>
        <v/>
      </c>
      <c r="M61" s="18">
        <f>IF(OR(H61="",H62=""),0,IF(AND(H61&gt;=Parametri!$B$11,I61&gt;=Parametri!$B$10,I62&lt;Parametri!$B$10),ROW(),0))</f>
        <v>0</v>
      </c>
      <c r="O61" s="41"/>
      <c r="P61" s="41"/>
      <c r="Q61" s="13" t="str">
        <f t="shared" si="21"/>
        <v/>
      </c>
      <c r="R61" s="23" t="str">
        <f t="shared" si="22"/>
        <v/>
      </c>
      <c r="S61" s="34" t="str">
        <f t="shared" si="23"/>
        <v/>
      </c>
      <c r="T61" s="18">
        <f>IF(OR(O61="",O62=""),0,IF(AND(O61&gt;=Parametri!$B$11,P61&gt;=Parametri!$B$10,P62&lt;Parametri!$B$10),ROW(),0))</f>
        <v>0</v>
      </c>
      <c r="V61" s="41"/>
      <c r="W61" s="41"/>
      <c r="X61" s="13" t="str">
        <f t="shared" si="24"/>
        <v/>
      </c>
      <c r="Y61" s="23" t="str">
        <f t="shared" si="25"/>
        <v/>
      </c>
      <c r="Z61" s="34" t="str">
        <f t="shared" si="26"/>
        <v/>
      </c>
      <c r="AA61" s="18">
        <f>IF(OR(V61="",V62=""),0,IF(AND(V61&gt;=Parametri!$B$11,W61&gt;=Parametri!$B$10,W62&lt;Parametri!$B$10),ROW(),0))</f>
        <v>0</v>
      </c>
      <c r="AC61" s="41"/>
      <c r="AD61" s="41"/>
      <c r="AE61" s="13" t="str">
        <f t="shared" si="27"/>
        <v/>
      </c>
      <c r="AF61" s="23" t="str">
        <f t="shared" si="28"/>
        <v/>
      </c>
      <c r="AG61" s="34" t="str">
        <f t="shared" si="29"/>
        <v/>
      </c>
      <c r="AH61" s="18">
        <f>IF(OR(AC61="",AC62=""),0,IF(AND(AC61&gt;=Parametri!$B$11,AD61&gt;=Parametri!$B$10,AD62&lt;Parametri!$B$10),ROW(),0))</f>
        <v>0</v>
      </c>
    </row>
    <row r="62" spans="1:34" x14ac:dyDescent="0.25">
      <c r="A62" s="41"/>
      <c r="B62" s="41"/>
      <c r="C62" s="13" t="str">
        <f t="shared" si="15"/>
        <v/>
      </c>
      <c r="D62" s="23" t="str">
        <f t="shared" si="16"/>
        <v/>
      </c>
      <c r="E62" s="34" t="str">
        <f t="shared" si="17"/>
        <v/>
      </c>
      <c r="F62" s="18">
        <f>IF(OR(A62="",A63=""),0,IF(AND(A62&gt;=Parametri!$B$11,B62&gt;=Parametri!$B$10,B63&lt;Parametri!$B$10),ROW(),0))</f>
        <v>0</v>
      </c>
      <c r="H62" s="41"/>
      <c r="I62" s="41"/>
      <c r="J62" s="13" t="str">
        <f t="shared" si="18"/>
        <v/>
      </c>
      <c r="K62" s="23" t="str">
        <f t="shared" si="19"/>
        <v/>
      </c>
      <c r="L62" s="34" t="str">
        <f t="shared" si="20"/>
        <v/>
      </c>
      <c r="M62" s="18">
        <f>IF(OR(H62="",H63=""),0,IF(AND(H62&gt;=Parametri!$B$11,I62&gt;=Parametri!$B$10,I63&lt;Parametri!$B$10),ROW(),0))</f>
        <v>0</v>
      </c>
      <c r="O62" s="41"/>
      <c r="P62" s="41"/>
      <c r="Q62" s="13" t="str">
        <f t="shared" si="21"/>
        <v/>
      </c>
      <c r="R62" s="23" t="str">
        <f t="shared" si="22"/>
        <v/>
      </c>
      <c r="S62" s="34" t="str">
        <f t="shared" si="23"/>
        <v/>
      </c>
      <c r="T62" s="18">
        <f>IF(OR(O62="",O63=""),0,IF(AND(O62&gt;=Parametri!$B$11,P62&gt;=Parametri!$B$10,P63&lt;Parametri!$B$10),ROW(),0))</f>
        <v>0</v>
      </c>
      <c r="V62" s="41"/>
      <c r="W62" s="41"/>
      <c r="X62" s="13" t="str">
        <f t="shared" si="24"/>
        <v/>
      </c>
      <c r="Y62" s="23" t="str">
        <f t="shared" si="25"/>
        <v/>
      </c>
      <c r="Z62" s="34" t="str">
        <f t="shared" si="26"/>
        <v/>
      </c>
      <c r="AA62" s="18">
        <f>IF(OR(V62="",V63=""),0,IF(AND(V62&gt;=Parametri!$B$11,W62&gt;=Parametri!$B$10,W63&lt;Parametri!$B$10),ROW(),0))</f>
        <v>0</v>
      </c>
      <c r="AC62" s="41"/>
      <c r="AD62" s="41"/>
      <c r="AE62" s="13" t="str">
        <f t="shared" si="27"/>
        <v/>
      </c>
      <c r="AF62" s="23" t="str">
        <f t="shared" si="28"/>
        <v/>
      </c>
      <c r="AG62" s="34" t="str">
        <f t="shared" si="29"/>
        <v/>
      </c>
      <c r="AH62" s="18">
        <f>IF(OR(AC62="",AC63=""),0,IF(AND(AC62&gt;=Parametri!$B$11,AD62&gt;=Parametri!$B$10,AD63&lt;Parametri!$B$10),ROW(),0))</f>
        <v>0</v>
      </c>
    </row>
    <row r="63" spans="1:34" x14ac:dyDescent="0.25">
      <c r="A63" s="41"/>
      <c r="B63" s="41"/>
      <c r="C63" s="13" t="str">
        <f t="shared" si="15"/>
        <v/>
      </c>
      <c r="D63" s="23" t="str">
        <f t="shared" si="16"/>
        <v/>
      </c>
      <c r="E63" s="34" t="str">
        <f t="shared" si="17"/>
        <v/>
      </c>
      <c r="F63" s="18">
        <f>IF(OR(A63="",A64=""),0,IF(AND(A63&gt;=Parametri!$B$11,B63&gt;=Parametri!$B$10,B64&lt;Parametri!$B$10),ROW(),0))</f>
        <v>0</v>
      </c>
      <c r="H63" s="41"/>
      <c r="I63" s="41"/>
      <c r="J63" s="13" t="str">
        <f t="shared" si="18"/>
        <v/>
      </c>
      <c r="K63" s="23" t="str">
        <f t="shared" si="19"/>
        <v/>
      </c>
      <c r="L63" s="34" t="str">
        <f t="shared" si="20"/>
        <v/>
      </c>
      <c r="M63" s="18">
        <f>IF(OR(H63="",H64=""),0,IF(AND(H63&gt;=Parametri!$B$11,I63&gt;=Parametri!$B$10,I64&lt;Parametri!$B$10),ROW(),0))</f>
        <v>0</v>
      </c>
      <c r="O63" s="41"/>
      <c r="P63" s="41"/>
      <c r="Q63" s="13" t="str">
        <f t="shared" si="21"/>
        <v/>
      </c>
      <c r="R63" s="23" t="str">
        <f t="shared" si="22"/>
        <v/>
      </c>
      <c r="S63" s="34" t="str">
        <f t="shared" si="23"/>
        <v/>
      </c>
      <c r="T63" s="18">
        <f>IF(OR(O63="",O64=""),0,IF(AND(O63&gt;=Parametri!$B$11,P63&gt;=Parametri!$B$10,P64&lt;Parametri!$B$10),ROW(),0))</f>
        <v>0</v>
      </c>
      <c r="V63" s="41"/>
      <c r="W63" s="41"/>
      <c r="X63" s="13" t="str">
        <f t="shared" si="24"/>
        <v/>
      </c>
      <c r="Y63" s="23" t="str">
        <f t="shared" si="25"/>
        <v/>
      </c>
      <c r="Z63" s="34" t="str">
        <f t="shared" si="26"/>
        <v/>
      </c>
      <c r="AA63" s="18">
        <f>IF(OR(V63="",V64=""),0,IF(AND(V63&gt;=Parametri!$B$11,W63&gt;=Parametri!$B$10,W64&lt;Parametri!$B$10),ROW(),0))</f>
        <v>0</v>
      </c>
      <c r="AC63" s="41"/>
      <c r="AD63" s="41"/>
      <c r="AE63" s="13" t="str">
        <f t="shared" si="27"/>
        <v/>
      </c>
      <c r="AF63" s="23" t="str">
        <f t="shared" si="28"/>
        <v/>
      </c>
      <c r="AG63" s="34" t="str">
        <f t="shared" si="29"/>
        <v/>
      </c>
      <c r="AH63" s="18">
        <f>IF(OR(AC63="",AC64=""),0,IF(AND(AC63&gt;=Parametri!$B$11,AD63&gt;=Parametri!$B$10,AD64&lt;Parametri!$B$10),ROW(),0))</f>
        <v>0</v>
      </c>
    </row>
    <row r="64" spans="1:34" x14ac:dyDescent="0.25">
      <c r="A64" s="41"/>
      <c r="B64" s="41"/>
      <c r="C64" s="13" t="str">
        <f t="shared" si="15"/>
        <v/>
      </c>
      <c r="D64" s="23" t="str">
        <f t="shared" si="16"/>
        <v/>
      </c>
      <c r="E64" s="34" t="str">
        <f t="shared" si="17"/>
        <v/>
      </c>
      <c r="F64" s="18">
        <f>IF(OR(A64="",A65=""),0,IF(AND(A64&gt;=Parametri!$B$11,B64&gt;=Parametri!$B$10,B65&lt;Parametri!$B$10),ROW(),0))</f>
        <v>0</v>
      </c>
      <c r="H64" s="41"/>
      <c r="I64" s="41"/>
      <c r="J64" s="13" t="str">
        <f t="shared" si="18"/>
        <v/>
      </c>
      <c r="K64" s="23" t="str">
        <f t="shared" si="19"/>
        <v/>
      </c>
      <c r="L64" s="34" t="str">
        <f t="shared" si="20"/>
        <v/>
      </c>
      <c r="M64" s="18">
        <f>IF(OR(H64="",H65=""),0,IF(AND(H64&gt;=Parametri!$B$11,I64&gt;=Parametri!$B$10,I65&lt;Parametri!$B$10),ROW(),0))</f>
        <v>0</v>
      </c>
      <c r="O64" s="41"/>
      <c r="P64" s="41"/>
      <c r="Q64" s="13" t="str">
        <f t="shared" si="21"/>
        <v/>
      </c>
      <c r="R64" s="23" t="str">
        <f t="shared" si="22"/>
        <v/>
      </c>
      <c r="S64" s="34" t="str">
        <f t="shared" si="23"/>
        <v/>
      </c>
      <c r="T64" s="18">
        <f>IF(OR(O64="",O65=""),0,IF(AND(O64&gt;=Parametri!$B$11,P64&gt;=Parametri!$B$10,P65&lt;Parametri!$B$10),ROW(),0))</f>
        <v>0</v>
      </c>
      <c r="V64" s="41"/>
      <c r="W64" s="41"/>
      <c r="X64" s="13" t="str">
        <f t="shared" si="24"/>
        <v/>
      </c>
      <c r="Y64" s="23" t="str">
        <f t="shared" si="25"/>
        <v/>
      </c>
      <c r="Z64" s="34" t="str">
        <f t="shared" si="26"/>
        <v/>
      </c>
      <c r="AA64" s="18">
        <f>IF(OR(V64="",V65=""),0,IF(AND(V64&gt;=Parametri!$B$11,W64&gt;=Parametri!$B$10,W65&lt;Parametri!$B$10),ROW(),0))</f>
        <v>0</v>
      </c>
      <c r="AC64" s="41"/>
      <c r="AD64" s="41"/>
      <c r="AE64" s="13" t="str">
        <f t="shared" si="27"/>
        <v/>
      </c>
      <c r="AF64" s="23" t="str">
        <f t="shared" si="28"/>
        <v/>
      </c>
      <c r="AG64" s="34" t="str">
        <f t="shared" si="29"/>
        <v/>
      </c>
      <c r="AH64" s="18">
        <f>IF(OR(AC64="",AC65=""),0,IF(AND(AC64&gt;=Parametri!$B$11,AD64&gt;=Parametri!$B$10,AD65&lt;Parametri!$B$10),ROW(),0))</f>
        <v>0</v>
      </c>
    </row>
    <row r="65" spans="1:34" x14ac:dyDescent="0.25">
      <c r="A65" s="41"/>
      <c r="B65" s="41"/>
      <c r="C65" s="13" t="str">
        <f t="shared" si="15"/>
        <v/>
      </c>
      <c r="D65" s="23" t="str">
        <f t="shared" si="16"/>
        <v/>
      </c>
      <c r="E65" s="34" t="str">
        <f t="shared" si="17"/>
        <v/>
      </c>
      <c r="F65" s="18">
        <f>IF(OR(A65="",A66=""),0,IF(AND(A65&gt;=Parametri!$B$11,B65&gt;=Parametri!$B$10,B66&lt;Parametri!$B$10),ROW(),0))</f>
        <v>0</v>
      </c>
      <c r="H65" s="41"/>
      <c r="I65" s="41"/>
      <c r="J65" s="13" t="str">
        <f t="shared" si="18"/>
        <v/>
      </c>
      <c r="K65" s="23" t="str">
        <f t="shared" si="19"/>
        <v/>
      </c>
      <c r="L65" s="34" t="str">
        <f t="shared" si="20"/>
        <v/>
      </c>
      <c r="M65" s="18">
        <f>IF(OR(H65="",H66=""),0,IF(AND(H65&gt;=Parametri!$B$11,I65&gt;=Parametri!$B$10,I66&lt;Parametri!$B$10),ROW(),0))</f>
        <v>0</v>
      </c>
      <c r="O65" s="41"/>
      <c r="P65" s="41"/>
      <c r="Q65" s="13" t="str">
        <f t="shared" si="21"/>
        <v/>
      </c>
      <c r="R65" s="23" t="str">
        <f t="shared" si="22"/>
        <v/>
      </c>
      <c r="S65" s="34" t="str">
        <f t="shared" si="23"/>
        <v/>
      </c>
      <c r="T65" s="18">
        <f>IF(OR(O65="",O66=""),0,IF(AND(O65&gt;=Parametri!$B$11,P65&gt;=Parametri!$B$10,P66&lt;Parametri!$B$10),ROW(),0))</f>
        <v>0</v>
      </c>
      <c r="V65" s="41"/>
      <c r="W65" s="41"/>
      <c r="X65" s="13" t="str">
        <f t="shared" si="24"/>
        <v/>
      </c>
      <c r="Y65" s="23" t="str">
        <f t="shared" si="25"/>
        <v/>
      </c>
      <c r="Z65" s="34" t="str">
        <f t="shared" si="26"/>
        <v/>
      </c>
      <c r="AA65" s="18">
        <f>IF(OR(V65="",V66=""),0,IF(AND(V65&gt;=Parametri!$B$11,W65&gt;=Parametri!$B$10,W66&lt;Parametri!$B$10),ROW(),0))</f>
        <v>0</v>
      </c>
      <c r="AC65" s="41"/>
      <c r="AD65" s="41"/>
      <c r="AE65" s="13" t="str">
        <f t="shared" si="27"/>
        <v/>
      </c>
      <c r="AF65" s="23" t="str">
        <f t="shared" si="28"/>
        <v/>
      </c>
      <c r="AG65" s="34" t="str">
        <f t="shared" si="29"/>
        <v/>
      </c>
      <c r="AH65" s="18">
        <f>IF(OR(AC65="",AC66=""),0,IF(AND(AC65&gt;=Parametri!$B$11,AD65&gt;=Parametri!$B$10,AD66&lt;Parametri!$B$10),ROW(),0))</f>
        <v>0</v>
      </c>
    </row>
    <row r="66" spans="1:34" x14ac:dyDescent="0.25">
      <c r="A66" s="41"/>
      <c r="B66" s="41"/>
      <c r="C66" s="13" t="str">
        <f t="shared" si="15"/>
        <v/>
      </c>
      <c r="D66" s="23" t="str">
        <f t="shared" si="16"/>
        <v/>
      </c>
      <c r="E66" s="34" t="str">
        <f t="shared" si="17"/>
        <v/>
      </c>
      <c r="F66" s="18">
        <f>IF(OR(A66="",A67=""),0,IF(AND(A66&gt;=Parametri!$B$11,B66&gt;=Parametri!$B$10,B67&lt;Parametri!$B$10),ROW(),0))</f>
        <v>0</v>
      </c>
      <c r="H66" s="41"/>
      <c r="I66" s="41"/>
      <c r="J66" s="13" t="str">
        <f t="shared" si="18"/>
        <v/>
      </c>
      <c r="K66" s="23" t="str">
        <f t="shared" si="19"/>
        <v/>
      </c>
      <c r="L66" s="34" t="str">
        <f t="shared" si="20"/>
        <v/>
      </c>
      <c r="M66" s="18">
        <f>IF(OR(H66="",H67=""),0,IF(AND(H66&gt;=Parametri!$B$11,I66&gt;=Parametri!$B$10,I67&lt;Parametri!$B$10),ROW(),0))</f>
        <v>0</v>
      </c>
      <c r="O66" s="41"/>
      <c r="P66" s="41"/>
      <c r="Q66" s="13" t="str">
        <f t="shared" si="21"/>
        <v/>
      </c>
      <c r="R66" s="23" t="str">
        <f t="shared" si="22"/>
        <v/>
      </c>
      <c r="S66" s="34" t="str">
        <f t="shared" si="23"/>
        <v/>
      </c>
      <c r="T66" s="18">
        <f>IF(OR(O66="",O67=""),0,IF(AND(O66&gt;=Parametri!$B$11,P66&gt;=Parametri!$B$10,P67&lt;Parametri!$B$10),ROW(),0))</f>
        <v>0</v>
      </c>
      <c r="V66" s="41"/>
      <c r="W66" s="41"/>
      <c r="X66" s="13" t="str">
        <f t="shared" si="24"/>
        <v/>
      </c>
      <c r="Y66" s="23" t="str">
        <f t="shared" si="25"/>
        <v/>
      </c>
      <c r="Z66" s="34" t="str">
        <f t="shared" si="26"/>
        <v/>
      </c>
      <c r="AA66" s="18">
        <f>IF(OR(V66="",V67=""),0,IF(AND(V66&gt;=Parametri!$B$11,W66&gt;=Parametri!$B$10,W67&lt;Parametri!$B$10),ROW(),0))</f>
        <v>0</v>
      </c>
      <c r="AC66" s="41"/>
      <c r="AD66" s="41"/>
      <c r="AE66" s="13" t="str">
        <f t="shared" si="27"/>
        <v/>
      </c>
      <c r="AF66" s="23" t="str">
        <f t="shared" si="28"/>
        <v/>
      </c>
      <c r="AG66" s="34" t="str">
        <f t="shared" si="29"/>
        <v/>
      </c>
      <c r="AH66" s="18">
        <f>IF(OR(AC66="",AC67=""),0,IF(AND(AC66&gt;=Parametri!$B$11,AD66&gt;=Parametri!$B$10,AD67&lt;Parametri!$B$10),ROW(),0))</f>
        <v>0</v>
      </c>
    </row>
    <row r="67" spans="1:34" x14ac:dyDescent="0.25">
      <c r="A67" s="41"/>
      <c r="B67" s="41"/>
      <c r="C67" s="13" t="str">
        <f t="shared" si="15"/>
        <v/>
      </c>
      <c r="D67" s="23" t="str">
        <f t="shared" si="16"/>
        <v/>
      </c>
      <c r="E67" s="34" t="str">
        <f t="shared" si="17"/>
        <v/>
      </c>
      <c r="F67" s="18">
        <f>IF(OR(A67="",A68=""),0,IF(AND(A67&gt;=Parametri!$B$11,B67&gt;=Parametri!$B$10,B68&lt;Parametri!$B$10),ROW(),0))</f>
        <v>0</v>
      </c>
      <c r="H67" s="41"/>
      <c r="I67" s="41"/>
      <c r="J67" s="13" t="str">
        <f t="shared" si="18"/>
        <v/>
      </c>
      <c r="K67" s="23" t="str">
        <f t="shared" si="19"/>
        <v/>
      </c>
      <c r="L67" s="34" t="str">
        <f t="shared" si="20"/>
        <v/>
      </c>
      <c r="M67" s="18">
        <f>IF(OR(H67="",H68=""),0,IF(AND(H67&gt;=Parametri!$B$11,I67&gt;=Parametri!$B$10,I68&lt;Parametri!$B$10),ROW(),0))</f>
        <v>0</v>
      </c>
      <c r="O67" s="41"/>
      <c r="P67" s="41"/>
      <c r="Q67" s="13" t="str">
        <f t="shared" si="21"/>
        <v/>
      </c>
      <c r="R67" s="23" t="str">
        <f t="shared" si="22"/>
        <v/>
      </c>
      <c r="S67" s="34" t="str">
        <f t="shared" si="23"/>
        <v/>
      </c>
      <c r="T67" s="18">
        <f>IF(OR(O67="",O68=""),0,IF(AND(O67&gt;=Parametri!$B$11,P67&gt;=Parametri!$B$10,P68&lt;Parametri!$B$10),ROW(),0))</f>
        <v>0</v>
      </c>
      <c r="V67" s="41"/>
      <c r="W67" s="41"/>
      <c r="X67" s="13" t="str">
        <f t="shared" si="24"/>
        <v/>
      </c>
      <c r="Y67" s="23" t="str">
        <f t="shared" si="25"/>
        <v/>
      </c>
      <c r="Z67" s="34" t="str">
        <f t="shared" si="26"/>
        <v/>
      </c>
      <c r="AA67" s="18">
        <f>IF(OR(V67="",V68=""),0,IF(AND(V67&gt;=Parametri!$B$11,W67&gt;=Parametri!$B$10,W68&lt;Parametri!$B$10),ROW(),0))</f>
        <v>0</v>
      </c>
      <c r="AC67" s="41"/>
      <c r="AD67" s="41"/>
      <c r="AE67" s="13" t="str">
        <f t="shared" si="27"/>
        <v/>
      </c>
      <c r="AF67" s="23" t="str">
        <f t="shared" si="28"/>
        <v/>
      </c>
      <c r="AG67" s="34" t="str">
        <f t="shared" si="29"/>
        <v/>
      </c>
      <c r="AH67" s="18">
        <f>IF(OR(AC67="",AC68=""),0,IF(AND(AC67&gt;=Parametri!$B$11,AD67&gt;=Parametri!$B$10,AD68&lt;Parametri!$B$10),ROW(),0))</f>
        <v>0</v>
      </c>
    </row>
    <row r="68" spans="1:34" x14ac:dyDescent="0.25">
      <c r="A68" s="41"/>
      <c r="B68" s="41"/>
      <c r="C68" s="13" t="str">
        <f t="shared" si="15"/>
        <v/>
      </c>
      <c r="D68" s="23" t="str">
        <f t="shared" si="16"/>
        <v/>
      </c>
      <c r="E68" s="34" t="str">
        <f t="shared" si="17"/>
        <v/>
      </c>
      <c r="F68" s="18">
        <f>IF(OR(A68="",A69=""),0,IF(AND(A68&gt;=Parametri!$B$11,B68&gt;=Parametri!$B$10,B69&lt;Parametri!$B$10),ROW(),0))</f>
        <v>0</v>
      </c>
      <c r="H68" s="41"/>
      <c r="I68" s="41"/>
      <c r="J68" s="13" t="str">
        <f t="shared" si="18"/>
        <v/>
      </c>
      <c r="K68" s="23" t="str">
        <f t="shared" si="19"/>
        <v/>
      </c>
      <c r="L68" s="34" t="str">
        <f t="shared" si="20"/>
        <v/>
      </c>
      <c r="M68" s="18">
        <f>IF(OR(H68="",H69=""),0,IF(AND(H68&gt;=Parametri!$B$11,I68&gt;=Parametri!$B$10,I69&lt;Parametri!$B$10),ROW(),0))</f>
        <v>0</v>
      </c>
      <c r="O68" s="41"/>
      <c r="P68" s="41"/>
      <c r="Q68" s="13" t="str">
        <f t="shared" si="21"/>
        <v/>
      </c>
      <c r="R68" s="23" t="str">
        <f t="shared" si="22"/>
        <v/>
      </c>
      <c r="S68" s="34" t="str">
        <f t="shared" si="23"/>
        <v/>
      </c>
      <c r="T68" s="18">
        <f>IF(OR(O68="",O69=""),0,IF(AND(O68&gt;=Parametri!$B$11,P68&gt;=Parametri!$B$10,P69&lt;Parametri!$B$10),ROW(),0))</f>
        <v>0</v>
      </c>
      <c r="V68" s="41"/>
      <c r="W68" s="41"/>
      <c r="X68" s="13" t="str">
        <f t="shared" si="24"/>
        <v/>
      </c>
      <c r="Y68" s="23" t="str">
        <f t="shared" si="25"/>
        <v/>
      </c>
      <c r="Z68" s="34" t="str">
        <f t="shared" si="26"/>
        <v/>
      </c>
      <c r="AA68" s="18">
        <f>IF(OR(V68="",V69=""),0,IF(AND(V68&gt;=Parametri!$B$11,W68&gt;=Parametri!$B$10,W69&lt;Parametri!$B$10),ROW(),0))</f>
        <v>0</v>
      </c>
      <c r="AC68" s="41"/>
      <c r="AD68" s="41"/>
      <c r="AE68" s="13" t="str">
        <f t="shared" si="27"/>
        <v/>
      </c>
      <c r="AF68" s="23" t="str">
        <f t="shared" si="28"/>
        <v/>
      </c>
      <c r="AG68" s="34" t="str">
        <f t="shared" si="29"/>
        <v/>
      </c>
      <c r="AH68" s="18">
        <f>IF(OR(AC68="",AC69=""),0,IF(AND(AC68&gt;=Parametri!$B$11,AD68&gt;=Parametri!$B$10,AD69&lt;Parametri!$B$10),ROW(),0))</f>
        <v>0</v>
      </c>
    </row>
    <row r="69" spans="1:34" x14ac:dyDescent="0.25">
      <c r="A69" s="41"/>
      <c r="B69" s="41"/>
      <c r="C69" s="13" t="str">
        <f t="shared" si="15"/>
        <v/>
      </c>
      <c r="D69" s="23" t="str">
        <f t="shared" si="16"/>
        <v/>
      </c>
      <c r="E69" s="34" t="str">
        <f t="shared" si="17"/>
        <v/>
      </c>
      <c r="F69" s="18">
        <f>IF(OR(A69="",A70=""),0,IF(AND(A69&gt;=Parametri!$B$11,B69&gt;=Parametri!$B$10,B70&lt;Parametri!$B$10),ROW(),0))</f>
        <v>0</v>
      </c>
      <c r="H69" s="41"/>
      <c r="I69" s="41"/>
      <c r="J69" s="13" t="str">
        <f t="shared" si="18"/>
        <v/>
      </c>
      <c r="K69" s="23" t="str">
        <f t="shared" si="19"/>
        <v/>
      </c>
      <c r="L69" s="34" t="str">
        <f t="shared" si="20"/>
        <v/>
      </c>
      <c r="M69" s="18">
        <f>IF(OR(H69="",H70=""),0,IF(AND(H69&gt;=Parametri!$B$11,I69&gt;=Parametri!$B$10,I70&lt;Parametri!$B$10),ROW(),0))</f>
        <v>0</v>
      </c>
      <c r="O69" s="41"/>
      <c r="P69" s="41"/>
      <c r="Q69" s="13" t="str">
        <f t="shared" si="21"/>
        <v/>
      </c>
      <c r="R69" s="23" t="str">
        <f t="shared" si="22"/>
        <v/>
      </c>
      <c r="S69" s="34" t="str">
        <f t="shared" si="23"/>
        <v/>
      </c>
      <c r="T69" s="18">
        <f>IF(OR(O69="",O70=""),0,IF(AND(O69&gt;=Parametri!$B$11,P69&gt;=Parametri!$B$10,P70&lt;Parametri!$B$10),ROW(),0))</f>
        <v>0</v>
      </c>
      <c r="V69" s="41"/>
      <c r="W69" s="41"/>
      <c r="X69" s="13" t="str">
        <f t="shared" si="24"/>
        <v/>
      </c>
      <c r="Y69" s="23" t="str">
        <f t="shared" si="25"/>
        <v/>
      </c>
      <c r="Z69" s="34" t="str">
        <f t="shared" si="26"/>
        <v/>
      </c>
      <c r="AA69" s="18">
        <f>IF(OR(V69="",V70=""),0,IF(AND(V69&gt;=Parametri!$B$11,W69&gt;=Parametri!$B$10,W70&lt;Parametri!$B$10),ROW(),0))</f>
        <v>0</v>
      </c>
      <c r="AC69" s="41"/>
      <c r="AD69" s="41"/>
      <c r="AE69" s="13" t="str">
        <f t="shared" si="27"/>
        <v/>
      </c>
      <c r="AF69" s="23" t="str">
        <f t="shared" si="28"/>
        <v/>
      </c>
      <c r="AG69" s="34" t="str">
        <f t="shared" si="29"/>
        <v/>
      </c>
      <c r="AH69" s="18">
        <f>IF(OR(AC69="",AC70=""),0,IF(AND(AC69&gt;=Parametri!$B$11,AD69&gt;=Parametri!$B$10,AD70&lt;Parametri!$B$10),ROW(),0))</f>
        <v>0</v>
      </c>
    </row>
    <row r="70" spans="1:34" x14ac:dyDescent="0.25">
      <c r="A70" s="41"/>
      <c r="B70" s="41"/>
      <c r="C70" s="13" t="str">
        <f t="shared" si="15"/>
        <v/>
      </c>
      <c r="D70" s="23" t="str">
        <f t="shared" si="16"/>
        <v/>
      </c>
      <c r="E70" s="34" t="str">
        <f t="shared" si="17"/>
        <v/>
      </c>
      <c r="F70" s="18">
        <f>IF(OR(A70="",A71=""),0,IF(AND(A70&gt;=Parametri!$B$11,B70&gt;=Parametri!$B$10,B71&lt;Parametri!$B$10),ROW(),0))</f>
        <v>0</v>
      </c>
      <c r="H70" s="41"/>
      <c r="I70" s="41"/>
      <c r="J70" s="13" t="str">
        <f t="shared" si="18"/>
        <v/>
      </c>
      <c r="K70" s="23" t="str">
        <f t="shared" si="19"/>
        <v/>
      </c>
      <c r="L70" s="34" t="str">
        <f t="shared" si="20"/>
        <v/>
      </c>
      <c r="M70" s="18">
        <f>IF(OR(H70="",H71=""),0,IF(AND(H70&gt;=Parametri!$B$11,I70&gt;=Parametri!$B$10,I71&lt;Parametri!$B$10),ROW(),0))</f>
        <v>0</v>
      </c>
      <c r="O70" s="41"/>
      <c r="P70" s="41"/>
      <c r="Q70" s="13" t="str">
        <f t="shared" si="21"/>
        <v/>
      </c>
      <c r="R70" s="23" t="str">
        <f t="shared" si="22"/>
        <v/>
      </c>
      <c r="S70" s="34" t="str">
        <f t="shared" si="23"/>
        <v/>
      </c>
      <c r="T70" s="18">
        <f>IF(OR(O70="",O71=""),0,IF(AND(O70&gt;=Parametri!$B$11,P70&gt;=Parametri!$B$10,P71&lt;Parametri!$B$10),ROW(),0))</f>
        <v>0</v>
      </c>
      <c r="V70" s="41"/>
      <c r="W70" s="41"/>
      <c r="X70" s="13" t="str">
        <f t="shared" si="24"/>
        <v/>
      </c>
      <c r="Y70" s="23" t="str">
        <f t="shared" si="25"/>
        <v/>
      </c>
      <c r="Z70" s="34" t="str">
        <f t="shared" si="26"/>
        <v/>
      </c>
      <c r="AA70" s="18">
        <f>IF(OR(V70="",V71=""),0,IF(AND(V70&gt;=Parametri!$B$11,W70&gt;=Parametri!$B$10,W71&lt;Parametri!$B$10),ROW(),0))</f>
        <v>0</v>
      </c>
      <c r="AC70" s="41"/>
      <c r="AD70" s="41"/>
      <c r="AE70" s="13" t="str">
        <f t="shared" si="27"/>
        <v/>
      </c>
      <c r="AF70" s="23" t="str">
        <f t="shared" si="28"/>
        <v/>
      </c>
      <c r="AG70" s="34" t="str">
        <f t="shared" si="29"/>
        <v/>
      </c>
      <c r="AH70" s="18">
        <f>IF(OR(AC70="",AC71=""),0,IF(AND(AC70&gt;=Parametri!$B$11,AD70&gt;=Parametri!$B$10,AD71&lt;Parametri!$B$10),ROW(),0))</f>
        <v>0</v>
      </c>
    </row>
    <row r="71" spans="1:34" x14ac:dyDescent="0.25">
      <c r="A71" s="41"/>
      <c r="B71" s="41"/>
      <c r="C71" s="13" t="str">
        <f t="shared" si="15"/>
        <v/>
      </c>
      <c r="D71" s="23" t="str">
        <f t="shared" si="16"/>
        <v/>
      </c>
      <c r="E71" s="34" t="str">
        <f t="shared" si="17"/>
        <v/>
      </c>
      <c r="F71" s="18">
        <f>IF(OR(A71="",A72=""),0,IF(AND(A71&gt;=Parametri!$B$11,B71&gt;=Parametri!$B$10,B72&lt;Parametri!$B$10),ROW(),0))</f>
        <v>0</v>
      </c>
      <c r="H71" s="41"/>
      <c r="I71" s="41"/>
      <c r="J71" s="13" t="str">
        <f t="shared" si="18"/>
        <v/>
      </c>
      <c r="K71" s="23" t="str">
        <f t="shared" si="19"/>
        <v/>
      </c>
      <c r="L71" s="34" t="str">
        <f t="shared" si="20"/>
        <v/>
      </c>
      <c r="M71" s="18">
        <f>IF(OR(H71="",H72=""),0,IF(AND(H71&gt;=Parametri!$B$11,I71&gt;=Parametri!$B$10,I72&lt;Parametri!$B$10),ROW(),0))</f>
        <v>0</v>
      </c>
      <c r="O71" s="41"/>
      <c r="P71" s="41"/>
      <c r="Q71" s="13" t="str">
        <f t="shared" si="21"/>
        <v/>
      </c>
      <c r="R71" s="23" t="str">
        <f t="shared" si="22"/>
        <v/>
      </c>
      <c r="S71" s="34" t="str">
        <f t="shared" si="23"/>
        <v/>
      </c>
      <c r="T71" s="18">
        <f>IF(OR(O71="",O72=""),0,IF(AND(O71&gt;=Parametri!$B$11,P71&gt;=Parametri!$B$10,P72&lt;Parametri!$B$10),ROW(),0))</f>
        <v>0</v>
      </c>
      <c r="V71" s="41"/>
      <c r="W71" s="41"/>
      <c r="X71" s="13" t="str">
        <f t="shared" si="24"/>
        <v/>
      </c>
      <c r="Y71" s="23" t="str">
        <f t="shared" si="25"/>
        <v/>
      </c>
      <c r="Z71" s="34" t="str">
        <f t="shared" si="26"/>
        <v/>
      </c>
      <c r="AA71" s="18">
        <f>IF(OR(V71="",V72=""),0,IF(AND(V71&gt;=Parametri!$B$11,W71&gt;=Parametri!$B$10,W72&lt;Parametri!$B$10),ROW(),0))</f>
        <v>0</v>
      </c>
      <c r="AC71" s="41"/>
      <c r="AD71" s="41"/>
      <c r="AE71" s="13" t="str">
        <f t="shared" si="27"/>
        <v/>
      </c>
      <c r="AF71" s="23" t="str">
        <f t="shared" si="28"/>
        <v/>
      </c>
      <c r="AG71" s="34" t="str">
        <f t="shared" si="29"/>
        <v/>
      </c>
      <c r="AH71" s="18">
        <f>IF(OR(AC71="",AC72=""),0,IF(AND(AC71&gt;=Parametri!$B$11,AD71&gt;=Parametri!$B$10,AD72&lt;Parametri!$B$10),ROW(),0))</f>
        <v>0</v>
      </c>
    </row>
    <row r="72" spans="1:34" x14ac:dyDescent="0.25">
      <c r="A72" s="41"/>
      <c r="B72" s="41"/>
      <c r="C72" s="13" t="str">
        <f t="shared" si="15"/>
        <v/>
      </c>
      <c r="D72" s="23" t="str">
        <f t="shared" si="16"/>
        <v/>
      </c>
      <c r="E72" s="34" t="str">
        <f t="shared" si="17"/>
        <v/>
      </c>
      <c r="F72" s="18">
        <f>IF(OR(A72="",A73=""),0,IF(AND(A72&gt;=Parametri!$B$11,B72&gt;=Parametri!$B$10,B73&lt;Parametri!$B$10),ROW(),0))</f>
        <v>0</v>
      </c>
      <c r="H72" s="41"/>
      <c r="I72" s="41"/>
      <c r="J72" s="13" t="str">
        <f t="shared" si="18"/>
        <v/>
      </c>
      <c r="K72" s="23" t="str">
        <f t="shared" si="19"/>
        <v/>
      </c>
      <c r="L72" s="34" t="str">
        <f t="shared" si="20"/>
        <v/>
      </c>
      <c r="M72" s="18">
        <f>IF(OR(H72="",H73=""),0,IF(AND(H72&gt;=Parametri!$B$11,I72&gt;=Parametri!$B$10,I73&lt;Parametri!$B$10),ROW(),0))</f>
        <v>0</v>
      </c>
      <c r="O72" s="41"/>
      <c r="P72" s="41"/>
      <c r="Q72" s="13" t="str">
        <f t="shared" si="21"/>
        <v/>
      </c>
      <c r="R72" s="23" t="str">
        <f t="shared" si="22"/>
        <v/>
      </c>
      <c r="S72" s="34" t="str">
        <f t="shared" si="23"/>
        <v/>
      </c>
      <c r="T72" s="18">
        <f>IF(OR(O72="",O73=""),0,IF(AND(O72&gt;=Parametri!$B$11,P72&gt;=Parametri!$B$10,P73&lt;Parametri!$B$10),ROW(),0))</f>
        <v>0</v>
      </c>
      <c r="V72" s="41"/>
      <c r="W72" s="41"/>
      <c r="X72" s="13" t="str">
        <f t="shared" si="24"/>
        <v/>
      </c>
      <c r="Y72" s="23" t="str">
        <f t="shared" si="25"/>
        <v/>
      </c>
      <c r="Z72" s="34" t="str">
        <f t="shared" si="26"/>
        <v/>
      </c>
      <c r="AA72" s="18">
        <f>IF(OR(V72="",V73=""),0,IF(AND(V72&gt;=Parametri!$B$11,W72&gt;=Parametri!$B$10,W73&lt;Parametri!$B$10),ROW(),0))</f>
        <v>0</v>
      </c>
      <c r="AC72" s="41"/>
      <c r="AD72" s="41"/>
      <c r="AE72" s="13" t="str">
        <f t="shared" si="27"/>
        <v/>
      </c>
      <c r="AF72" s="23" t="str">
        <f t="shared" si="28"/>
        <v/>
      </c>
      <c r="AG72" s="34" t="str">
        <f t="shared" si="29"/>
        <v/>
      </c>
      <c r="AH72" s="18">
        <f>IF(OR(AC72="",AC73=""),0,IF(AND(AC72&gt;=Parametri!$B$11,AD72&gt;=Parametri!$B$10,AD73&lt;Parametri!$B$10),ROW(),0))</f>
        <v>0</v>
      </c>
    </row>
    <row r="73" spans="1:34" x14ac:dyDescent="0.25">
      <c r="A73" s="41"/>
      <c r="B73" s="41"/>
      <c r="C73" s="13" t="str">
        <f t="shared" ref="C73:C104" si="30">IF(OR(A73="",B$4=""),"",B73/B$4)</f>
        <v/>
      </c>
      <c r="D73" s="23" t="str">
        <f t="shared" ref="D73:D108" si="31">IF(OR(A73="",A74="",A73&lt;=0),"",IFERROR(LN(B74/B73)/LN(A74/A73),""))</f>
        <v/>
      </c>
      <c r="E73" s="34" t="str">
        <f t="shared" ref="E73:E108" si="32">IF(OR(A73="",B$3="",A73&lt;=0),"",B73*A73/B$3)</f>
        <v/>
      </c>
      <c r="F73" s="18">
        <f>IF(OR(A73="",A74=""),0,IF(AND(A73&gt;=Parametri!$B$11,B73&gt;=Parametri!$B$10,B74&lt;Parametri!$B$10),ROW(),0))</f>
        <v>0</v>
      </c>
      <c r="H73" s="41"/>
      <c r="I73" s="41"/>
      <c r="J73" s="13" t="str">
        <f t="shared" ref="J73:J104" si="33">IF(OR(H73="",I$4=""),"",I73/I$4)</f>
        <v/>
      </c>
      <c r="K73" s="23" t="str">
        <f t="shared" ref="K73:K108" si="34">IF(OR(H73="",H74="",H73&lt;=0),"",IFERROR(LN(I74/I73)/LN(H74/H73),""))</f>
        <v/>
      </c>
      <c r="L73" s="34" t="str">
        <f t="shared" ref="L73:L108" si="35">IF(OR(H73="",I$3="",H73&lt;=0),"",I73*H73/I$3)</f>
        <v/>
      </c>
      <c r="M73" s="18">
        <f>IF(OR(H73="",H74=""),0,IF(AND(H73&gt;=Parametri!$B$11,I73&gt;=Parametri!$B$10,I74&lt;Parametri!$B$10),ROW(),0))</f>
        <v>0</v>
      </c>
      <c r="O73" s="41"/>
      <c r="P73" s="41"/>
      <c r="Q73" s="13" t="str">
        <f t="shared" ref="Q73:Q104" si="36">IF(OR(O73="",P$4=""),"",P73/P$4)</f>
        <v/>
      </c>
      <c r="R73" s="23" t="str">
        <f t="shared" ref="R73:R108" si="37">IF(OR(O73="",O74="",O73&lt;=0),"",IFERROR(LN(P74/P73)/LN(O74/O73),""))</f>
        <v/>
      </c>
      <c r="S73" s="34" t="str">
        <f t="shared" ref="S73:S108" si="38">IF(OR(O73="",P$3="",O73&lt;=0),"",P73*O73/P$3)</f>
        <v/>
      </c>
      <c r="T73" s="18">
        <f>IF(OR(O73="",O74=""),0,IF(AND(O73&gt;=Parametri!$B$11,P73&gt;=Parametri!$B$10,P74&lt;Parametri!$B$10),ROW(),0))</f>
        <v>0</v>
      </c>
      <c r="V73" s="41"/>
      <c r="W73" s="41"/>
      <c r="X73" s="13" t="str">
        <f t="shared" ref="X73:X104" si="39">IF(OR(V73="",W$4=""),"",W73/W$4)</f>
        <v/>
      </c>
      <c r="Y73" s="23" t="str">
        <f t="shared" ref="Y73:Y108" si="40">IF(OR(V73="",V74="",V73&lt;=0),"",IFERROR(LN(W74/W73)/LN(V74/V73),""))</f>
        <v/>
      </c>
      <c r="Z73" s="34" t="str">
        <f t="shared" ref="Z73:Z108" si="41">IF(OR(V73="",W$3="",V73&lt;=0),"",W73*V73/W$3)</f>
        <v/>
      </c>
      <c r="AA73" s="18">
        <f>IF(OR(V73="",V74=""),0,IF(AND(V73&gt;=Parametri!$B$11,W73&gt;=Parametri!$B$10,W74&lt;Parametri!$B$10),ROW(),0))</f>
        <v>0</v>
      </c>
      <c r="AC73" s="41"/>
      <c r="AD73" s="41"/>
      <c r="AE73" s="13" t="str">
        <f t="shared" ref="AE73:AE104" si="42">IF(OR(AC73="",AD$4=""),"",AD73/AD$4)</f>
        <v/>
      </c>
      <c r="AF73" s="23" t="str">
        <f t="shared" ref="AF73:AF108" si="43">IF(OR(AC73="",AC74="",AC73&lt;=0),"",IFERROR(LN(AD74/AD73)/LN(AC74/AC73),""))</f>
        <v/>
      </c>
      <c r="AG73" s="34" t="str">
        <f t="shared" ref="AG73:AG108" si="44">IF(OR(AC73="",AD$3="",AC73&lt;=0),"",AD73*AC73/AD$3)</f>
        <v/>
      </c>
      <c r="AH73" s="18">
        <f>IF(OR(AC73="",AC74=""),0,IF(AND(AC73&gt;=Parametri!$B$11,AD73&gt;=Parametri!$B$10,AD74&lt;Parametri!$B$10),ROW(),0))</f>
        <v>0</v>
      </c>
    </row>
    <row r="74" spans="1:34" x14ac:dyDescent="0.25">
      <c r="A74" s="41"/>
      <c r="B74" s="41"/>
      <c r="C74" s="13" t="str">
        <f t="shared" si="30"/>
        <v/>
      </c>
      <c r="D74" s="23" t="str">
        <f t="shared" si="31"/>
        <v/>
      </c>
      <c r="E74" s="34" t="str">
        <f t="shared" si="32"/>
        <v/>
      </c>
      <c r="F74" s="18">
        <f>IF(OR(A74="",A75=""),0,IF(AND(A74&gt;=Parametri!$B$11,B74&gt;=Parametri!$B$10,B75&lt;Parametri!$B$10),ROW(),0))</f>
        <v>0</v>
      </c>
      <c r="H74" s="41"/>
      <c r="I74" s="41"/>
      <c r="J74" s="13" t="str">
        <f t="shared" si="33"/>
        <v/>
      </c>
      <c r="K74" s="23" t="str">
        <f t="shared" si="34"/>
        <v/>
      </c>
      <c r="L74" s="34" t="str">
        <f t="shared" si="35"/>
        <v/>
      </c>
      <c r="M74" s="18">
        <f>IF(OR(H74="",H75=""),0,IF(AND(H74&gt;=Parametri!$B$11,I74&gt;=Parametri!$B$10,I75&lt;Parametri!$B$10),ROW(),0))</f>
        <v>0</v>
      </c>
      <c r="O74" s="41"/>
      <c r="P74" s="41"/>
      <c r="Q74" s="13" t="str">
        <f t="shared" si="36"/>
        <v/>
      </c>
      <c r="R74" s="23" t="str">
        <f t="shared" si="37"/>
        <v/>
      </c>
      <c r="S74" s="34" t="str">
        <f t="shared" si="38"/>
        <v/>
      </c>
      <c r="T74" s="18">
        <f>IF(OR(O74="",O75=""),0,IF(AND(O74&gt;=Parametri!$B$11,P74&gt;=Parametri!$B$10,P75&lt;Parametri!$B$10),ROW(),0))</f>
        <v>0</v>
      </c>
      <c r="V74" s="41"/>
      <c r="W74" s="41"/>
      <c r="X74" s="13" t="str">
        <f t="shared" si="39"/>
        <v/>
      </c>
      <c r="Y74" s="23" t="str">
        <f t="shared" si="40"/>
        <v/>
      </c>
      <c r="Z74" s="34" t="str">
        <f t="shared" si="41"/>
        <v/>
      </c>
      <c r="AA74" s="18">
        <f>IF(OR(V74="",V75=""),0,IF(AND(V74&gt;=Parametri!$B$11,W74&gt;=Parametri!$B$10,W75&lt;Parametri!$B$10),ROW(),0))</f>
        <v>0</v>
      </c>
      <c r="AC74" s="41"/>
      <c r="AD74" s="41"/>
      <c r="AE74" s="13" t="str">
        <f t="shared" si="42"/>
        <v/>
      </c>
      <c r="AF74" s="23" t="str">
        <f t="shared" si="43"/>
        <v/>
      </c>
      <c r="AG74" s="34" t="str">
        <f t="shared" si="44"/>
        <v/>
      </c>
      <c r="AH74" s="18">
        <f>IF(OR(AC74="",AC75=""),0,IF(AND(AC74&gt;=Parametri!$B$11,AD74&gt;=Parametri!$B$10,AD75&lt;Parametri!$B$10),ROW(),0))</f>
        <v>0</v>
      </c>
    </row>
    <row r="75" spans="1:34" x14ac:dyDescent="0.25">
      <c r="A75" s="41"/>
      <c r="B75" s="41"/>
      <c r="C75" s="13" t="str">
        <f t="shared" si="30"/>
        <v/>
      </c>
      <c r="D75" s="23" t="str">
        <f t="shared" si="31"/>
        <v/>
      </c>
      <c r="E75" s="34" t="str">
        <f t="shared" si="32"/>
        <v/>
      </c>
      <c r="F75" s="18">
        <f>IF(OR(A75="",A76=""),0,IF(AND(A75&gt;=Parametri!$B$11,B75&gt;=Parametri!$B$10,B76&lt;Parametri!$B$10),ROW(),0))</f>
        <v>0</v>
      </c>
      <c r="H75" s="41"/>
      <c r="I75" s="41"/>
      <c r="J75" s="13" t="str">
        <f t="shared" si="33"/>
        <v/>
      </c>
      <c r="K75" s="23" t="str">
        <f t="shared" si="34"/>
        <v/>
      </c>
      <c r="L75" s="34" t="str">
        <f t="shared" si="35"/>
        <v/>
      </c>
      <c r="M75" s="18">
        <f>IF(OR(H75="",H76=""),0,IF(AND(H75&gt;=Parametri!$B$11,I75&gt;=Parametri!$B$10,I76&lt;Parametri!$B$10),ROW(),0))</f>
        <v>0</v>
      </c>
      <c r="O75" s="41"/>
      <c r="P75" s="41"/>
      <c r="Q75" s="13" t="str">
        <f t="shared" si="36"/>
        <v/>
      </c>
      <c r="R75" s="23" t="str">
        <f t="shared" si="37"/>
        <v/>
      </c>
      <c r="S75" s="34" t="str">
        <f t="shared" si="38"/>
        <v/>
      </c>
      <c r="T75" s="18">
        <f>IF(OR(O75="",O76=""),0,IF(AND(O75&gt;=Parametri!$B$11,P75&gt;=Parametri!$B$10,P76&lt;Parametri!$B$10),ROW(),0))</f>
        <v>0</v>
      </c>
      <c r="V75" s="41"/>
      <c r="W75" s="41"/>
      <c r="X75" s="13" t="str">
        <f t="shared" si="39"/>
        <v/>
      </c>
      <c r="Y75" s="23" t="str">
        <f t="shared" si="40"/>
        <v/>
      </c>
      <c r="Z75" s="34" t="str">
        <f t="shared" si="41"/>
        <v/>
      </c>
      <c r="AA75" s="18">
        <f>IF(OR(V75="",V76=""),0,IF(AND(V75&gt;=Parametri!$B$11,W75&gt;=Parametri!$B$10,W76&lt;Parametri!$B$10),ROW(),0))</f>
        <v>0</v>
      </c>
      <c r="AC75" s="41"/>
      <c r="AD75" s="41"/>
      <c r="AE75" s="13" t="str">
        <f t="shared" si="42"/>
        <v/>
      </c>
      <c r="AF75" s="23" t="str">
        <f t="shared" si="43"/>
        <v/>
      </c>
      <c r="AG75" s="34" t="str">
        <f t="shared" si="44"/>
        <v/>
      </c>
      <c r="AH75" s="18">
        <f>IF(OR(AC75="",AC76=""),0,IF(AND(AC75&gt;=Parametri!$B$11,AD75&gt;=Parametri!$B$10,AD76&lt;Parametri!$B$10),ROW(),0))</f>
        <v>0</v>
      </c>
    </row>
    <row r="76" spans="1:34" x14ac:dyDescent="0.25">
      <c r="A76" s="41"/>
      <c r="B76" s="41"/>
      <c r="C76" s="13" t="str">
        <f t="shared" si="30"/>
        <v/>
      </c>
      <c r="D76" s="23" t="str">
        <f t="shared" si="31"/>
        <v/>
      </c>
      <c r="E76" s="34" t="str">
        <f t="shared" si="32"/>
        <v/>
      </c>
      <c r="F76" s="18">
        <f>IF(OR(A76="",A77=""),0,IF(AND(A76&gt;=Parametri!$B$11,B76&gt;=Parametri!$B$10,B77&lt;Parametri!$B$10),ROW(),0))</f>
        <v>0</v>
      </c>
      <c r="H76" s="41"/>
      <c r="I76" s="41"/>
      <c r="J76" s="13" t="str">
        <f t="shared" si="33"/>
        <v/>
      </c>
      <c r="K76" s="23" t="str">
        <f t="shared" si="34"/>
        <v/>
      </c>
      <c r="L76" s="34" t="str">
        <f t="shared" si="35"/>
        <v/>
      </c>
      <c r="M76" s="18">
        <f>IF(OR(H76="",H77=""),0,IF(AND(H76&gt;=Parametri!$B$11,I76&gt;=Parametri!$B$10,I77&lt;Parametri!$B$10),ROW(),0))</f>
        <v>0</v>
      </c>
      <c r="O76" s="41"/>
      <c r="P76" s="41"/>
      <c r="Q76" s="13" t="str">
        <f t="shared" si="36"/>
        <v/>
      </c>
      <c r="R76" s="23" t="str">
        <f t="shared" si="37"/>
        <v/>
      </c>
      <c r="S76" s="34" t="str">
        <f t="shared" si="38"/>
        <v/>
      </c>
      <c r="T76" s="18">
        <f>IF(OR(O76="",O77=""),0,IF(AND(O76&gt;=Parametri!$B$11,P76&gt;=Parametri!$B$10,P77&lt;Parametri!$B$10),ROW(),0))</f>
        <v>0</v>
      </c>
      <c r="V76" s="41"/>
      <c r="W76" s="41"/>
      <c r="X76" s="13" t="str">
        <f t="shared" si="39"/>
        <v/>
      </c>
      <c r="Y76" s="23" t="str">
        <f t="shared" si="40"/>
        <v/>
      </c>
      <c r="Z76" s="34" t="str">
        <f t="shared" si="41"/>
        <v/>
      </c>
      <c r="AA76" s="18">
        <f>IF(OR(V76="",V77=""),0,IF(AND(V76&gt;=Parametri!$B$11,W76&gt;=Parametri!$B$10,W77&lt;Parametri!$B$10),ROW(),0))</f>
        <v>0</v>
      </c>
      <c r="AC76" s="41"/>
      <c r="AD76" s="41"/>
      <c r="AE76" s="13" t="str">
        <f t="shared" si="42"/>
        <v/>
      </c>
      <c r="AF76" s="23" t="str">
        <f t="shared" si="43"/>
        <v/>
      </c>
      <c r="AG76" s="34" t="str">
        <f t="shared" si="44"/>
        <v/>
      </c>
      <c r="AH76" s="18">
        <f>IF(OR(AC76="",AC77=""),0,IF(AND(AC76&gt;=Parametri!$B$11,AD76&gt;=Parametri!$B$10,AD77&lt;Parametri!$B$10),ROW(),0))</f>
        <v>0</v>
      </c>
    </row>
    <row r="77" spans="1:34" x14ac:dyDescent="0.25">
      <c r="A77" s="41"/>
      <c r="B77" s="41"/>
      <c r="C77" s="13" t="str">
        <f t="shared" si="30"/>
        <v/>
      </c>
      <c r="D77" s="23" t="str">
        <f t="shared" si="31"/>
        <v/>
      </c>
      <c r="E77" s="34" t="str">
        <f t="shared" si="32"/>
        <v/>
      </c>
      <c r="F77" s="18">
        <f>IF(OR(A77="",A78=""),0,IF(AND(A77&gt;=Parametri!$B$11,B77&gt;=Parametri!$B$10,B78&lt;Parametri!$B$10),ROW(),0))</f>
        <v>0</v>
      </c>
      <c r="H77" s="41"/>
      <c r="I77" s="41"/>
      <c r="J77" s="13" t="str">
        <f t="shared" si="33"/>
        <v/>
      </c>
      <c r="K77" s="23" t="str">
        <f t="shared" si="34"/>
        <v/>
      </c>
      <c r="L77" s="34" t="str">
        <f t="shared" si="35"/>
        <v/>
      </c>
      <c r="M77" s="18">
        <f>IF(OR(H77="",H78=""),0,IF(AND(H77&gt;=Parametri!$B$11,I77&gt;=Parametri!$B$10,I78&lt;Parametri!$B$10),ROW(),0))</f>
        <v>0</v>
      </c>
      <c r="O77" s="41"/>
      <c r="P77" s="41"/>
      <c r="Q77" s="13" t="str">
        <f t="shared" si="36"/>
        <v/>
      </c>
      <c r="R77" s="23" t="str">
        <f t="shared" si="37"/>
        <v/>
      </c>
      <c r="S77" s="34" t="str">
        <f t="shared" si="38"/>
        <v/>
      </c>
      <c r="T77" s="18">
        <f>IF(OR(O77="",O78=""),0,IF(AND(O77&gt;=Parametri!$B$11,P77&gt;=Parametri!$B$10,P78&lt;Parametri!$B$10),ROW(),0))</f>
        <v>0</v>
      </c>
      <c r="V77" s="41"/>
      <c r="W77" s="41"/>
      <c r="X77" s="13" t="str">
        <f t="shared" si="39"/>
        <v/>
      </c>
      <c r="Y77" s="23" t="str">
        <f t="shared" si="40"/>
        <v/>
      </c>
      <c r="Z77" s="34" t="str">
        <f t="shared" si="41"/>
        <v/>
      </c>
      <c r="AA77" s="18">
        <f>IF(OR(V77="",V78=""),0,IF(AND(V77&gt;=Parametri!$B$11,W77&gt;=Parametri!$B$10,W78&lt;Parametri!$B$10),ROW(),0))</f>
        <v>0</v>
      </c>
      <c r="AC77" s="41"/>
      <c r="AD77" s="41"/>
      <c r="AE77" s="13" t="str">
        <f t="shared" si="42"/>
        <v/>
      </c>
      <c r="AF77" s="23" t="str">
        <f t="shared" si="43"/>
        <v/>
      </c>
      <c r="AG77" s="34" t="str">
        <f t="shared" si="44"/>
        <v/>
      </c>
      <c r="AH77" s="18">
        <f>IF(OR(AC77="",AC78=""),0,IF(AND(AC77&gt;=Parametri!$B$11,AD77&gt;=Parametri!$B$10,AD78&lt;Parametri!$B$10),ROW(),0))</f>
        <v>0</v>
      </c>
    </row>
    <row r="78" spans="1:34" x14ac:dyDescent="0.25">
      <c r="A78" s="41"/>
      <c r="B78" s="41"/>
      <c r="C78" s="13" t="str">
        <f t="shared" si="30"/>
        <v/>
      </c>
      <c r="D78" s="23" t="str">
        <f t="shared" si="31"/>
        <v/>
      </c>
      <c r="E78" s="34" t="str">
        <f t="shared" si="32"/>
        <v/>
      </c>
      <c r="F78" s="18">
        <f>IF(OR(A78="",A79=""),0,IF(AND(A78&gt;=Parametri!$B$11,B78&gt;=Parametri!$B$10,B79&lt;Parametri!$B$10),ROW(),0))</f>
        <v>0</v>
      </c>
      <c r="H78" s="41"/>
      <c r="I78" s="41"/>
      <c r="J78" s="13" t="str">
        <f t="shared" si="33"/>
        <v/>
      </c>
      <c r="K78" s="23" t="str">
        <f t="shared" si="34"/>
        <v/>
      </c>
      <c r="L78" s="34" t="str">
        <f t="shared" si="35"/>
        <v/>
      </c>
      <c r="M78" s="18">
        <f>IF(OR(H78="",H79=""),0,IF(AND(H78&gt;=Parametri!$B$11,I78&gt;=Parametri!$B$10,I79&lt;Parametri!$B$10),ROW(),0))</f>
        <v>0</v>
      </c>
      <c r="O78" s="41"/>
      <c r="P78" s="41"/>
      <c r="Q78" s="13" t="str">
        <f t="shared" si="36"/>
        <v/>
      </c>
      <c r="R78" s="23" t="str">
        <f t="shared" si="37"/>
        <v/>
      </c>
      <c r="S78" s="34" t="str">
        <f t="shared" si="38"/>
        <v/>
      </c>
      <c r="T78" s="18">
        <f>IF(OR(O78="",O79=""),0,IF(AND(O78&gt;=Parametri!$B$11,P78&gt;=Parametri!$B$10,P79&lt;Parametri!$B$10),ROW(),0))</f>
        <v>0</v>
      </c>
      <c r="V78" s="41"/>
      <c r="W78" s="41"/>
      <c r="X78" s="13" t="str">
        <f t="shared" si="39"/>
        <v/>
      </c>
      <c r="Y78" s="23" t="str">
        <f t="shared" si="40"/>
        <v/>
      </c>
      <c r="Z78" s="34" t="str">
        <f t="shared" si="41"/>
        <v/>
      </c>
      <c r="AA78" s="18">
        <f>IF(OR(V78="",V79=""),0,IF(AND(V78&gt;=Parametri!$B$11,W78&gt;=Parametri!$B$10,W79&lt;Parametri!$B$10),ROW(),0))</f>
        <v>0</v>
      </c>
      <c r="AC78" s="41"/>
      <c r="AD78" s="41"/>
      <c r="AE78" s="13" t="str">
        <f t="shared" si="42"/>
        <v/>
      </c>
      <c r="AF78" s="23" t="str">
        <f t="shared" si="43"/>
        <v/>
      </c>
      <c r="AG78" s="34" t="str">
        <f t="shared" si="44"/>
        <v/>
      </c>
      <c r="AH78" s="18">
        <f>IF(OR(AC78="",AC79=""),0,IF(AND(AC78&gt;=Parametri!$B$11,AD78&gt;=Parametri!$B$10,AD79&lt;Parametri!$B$10),ROW(),0))</f>
        <v>0</v>
      </c>
    </row>
    <row r="79" spans="1:34" x14ac:dyDescent="0.25">
      <c r="A79" s="41"/>
      <c r="B79" s="41"/>
      <c r="C79" s="13" t="str">
        <f t="shared" si="30"/>
        <v/>
      </c>
      <c r="D79" s="23" t="str">
        <f t="shared" si="31"/>
        <v/>
      </c>
      <c r="E79" s="34" t="str">
        <f t="shared" si="32"/>
        <v/>
      </c>
      <c r="F79" s="18">
        <f>IF(OR(A79="",A80=""),0,IF(AND(A79&gt;=Parametri!$B$11,B79&gt;=Parametri!$B$10,B80&lt;Parametri!$B$10),ROW(),0))</f>
        <v>0</v>
      </c>
      <c r="H79" s="41"/>
      <c r="I79" s="41"/>
      <c r="J79" s="13" t="str">
        <f t="shared" si="33"/>
        <v/>
      </c>
      <c r="K79" s="23" t="str">
        <f t="shared" si="34"/>
        <v/>
      </c>
      <c r="L79" s="34" t="str">
        <f t="shared" si="35"/>
        <v/>
      </c>
      <c r="M79" s="18">
        <f>IF(OR(H79="",H80=""),0,IF(AND(H79&gt;=Parametri!$B$11,I79&gt;=Parametri!$B$10,I80&lt;Parametri!$B$10),ROW(),0))</f>
        <v>0</v>
      </c>
      <c r="O79" s="41"/>
      <c r="P79" s="41"/>
      <c r="Q79" s="13" t="str">
        <f t="shared" si="36"/>
        <v/>
      </c>
      <c r="R79" s="23" t="str">
        <f t="shared" si="37"/>
        <v/>
      </c>
      <c r="S79" s="34" t="str">
        <f t="shared" si="38"/>
        <v/>
      </c>
      <c r="T79" s="18">
        <f>IF(OR(O79="",O80=""),0,IF(AND(O79&gt;=Parametri!$B$11,P79&gt;=Parametri!$B$10,P80&lt;Parametri!$B$10),ROW(),0))</f>
        <v>0</v>
      </c>
      <c r="V79" s="41"/>
      <c r="W79" s="41"/>
      <c r="X79" s="13" t="str">
        <f t="shared" si="39"/>
        <v/>
      </c>
      <c r="Y79" s="23" t="str">
        <f t="shared" si="40"/>
        <v/>
      </c>
      <c r="Z79" s="34" t="str">
        <f t="shared" si="41"/>
        <v/>
      </c>
      <c r="AA79" s="18">
        <f>IF(OR(V79="",V80=""),0,IF(AND(V79&gt;=Parametri!$B$11,W79&gt;=Parametri!$B$10,W80&lt;Parametri!$B$10),ROW(),0))</f>
        <v>0</v>
      </c>
      <c r="AC79" s="41"/>
      <c r="AD79" s="41"/>
      <c r="AE79" s="13" t="str">
        <f t="shared" si="42"/>
        <v/>
      </c>
      <c r="AF79" s="23" t="str">
        <f t="shared" si="43"/>
        <v/>
      </c>
      <c r="AG79" s="34" t="str">
        <f t="shared" si="44"/>
        <v/>
      </c>
      <c r="AH79" s="18">
        <f>IF(OR(AC79="",AC80=""),0,IF(AND(AC79&gt;=Parametri!$B$11,AD79&gt;=Parametri!$B$10,AD80&lt;Parametri!$B$10),ROW(),0))</f>
        <v>0</v>
      </c>
    </row>
    <row r="80" spans="1:34" x14ac:dyDescent="0.25">
      <c r="A80" s="41"/>
      <c r="B80" s="41"/>
      <c r="C80" s="13" t="str">
        <f t="shared" si="30"/>
        <v/>
      </c>
      <c r="D80" s="23" t="str">
        <f t="shared" si="31"/>
        <v/>
      </c>
      <c r="E80" s="34" t="str">
        <f t="shared" si="32"/>
        <v/>
      </c>
      <c r="F80" s="18">
        <f>IF(OR(A80="",A81=""),0,IF(AND(A80&gt;=Parametri!$B$11,B80&gt;=Parametri!$B$10,B81&lt;Parametri!$B$10),ROW(),0))</f>
        <v>0</v>
      </c>
      <c r="H80" s="41"/>
      <c r="I80" s="41"/>
      <c r="J80" s="13" t="str">
        <f t="shared" si="33"/>
        <v/>
      </c>
      <c r="K80" s="23" t="str">
        <f t="shared" si="34"/>
        <v/>
      </c>
      <c r="L80" s="34" t="str">
        <f t="shared" si="35"/>
        <v/>
      </c>
      <c r="M80" s="18">
        <f>IF(OR(H80="",H81=""),0,IF(AND(H80&gt;=Parametri!$B$11,I80&gt;=Parametri!$B$10,I81&lt;Parametri!$B$10),ROW(),0))</f>
        <v>0</v>
      </c>
      <c r="O80" s="41"/>
      <c r="P80" s="41"/>
      <c r="Q80" s="13" t="str">
        <f t="shared" si="36"/>
        <v/>
      </c>
      <c r="R80" s="23" t="str">
        <f t="shared" si="37"/>
        <v/>
      </c>
      <c r="S80" s="34" t="str">
        <f t="shared" si="38"/>
        <v/>
      </c>
      <c r="T80" s="18">
        <f>IF(OR(O80="",O81=""),0,IF(AND(O80&gt;=Parametri!$B$11,P80&gt;=Parametri!$B$10,P81&lt;Parametri!$B$10),ROW(),0))</f>
        <v>0</v>
      </c>
      <c r="V80" s="41"/>
      <c r="W80" s="41"/>
      <c r="X80" s="13" t="str">
        <f t="shared" si="39"/>
        <v/>
      </c>
      <c r="Y80" s="23" t="str">
        <f t="shared" si="40"/>
        <v/>
      </c>
      <c r="Z80" s="34" t="str">
        <f t="shared" si="41"/>
        <v/>
      </c>
      <c r="AA80" s="18">
        <f>IF(OR(V80="",V81=""),0,IF(AND(V80&gt;=Parametri!$B$11,W80&gt;=Parametri!$B$10,W81&lt;Parametri!$B$10),ROW(),0))</f>
        <v>0</v>
      </c>
      <c r="AC80" s="41"/>
      <c r="AD80" s="41"/>
      <c r="AE80" s="13" t="str">
        <f t="shared" si="42"/>
        <v/>
      </c>
      <c r="AF80" s="23" t="str">
        <f t="shared" si="43"/>
        <v/>
      </c>
      <c r="AG80" s="34" t="str">
        <f t="shared" si="44"/>
        <v/>
      </c>
      <c r="AH80" s="18">
        <f>IF(OR(AC80="",AC81=""),0,IF(AND(AC80&gt;=Parametri!$B$11,AD80&gt;=Parametri!$B$10,AD81&lt;Parametri!$B$10),ROW(),0))</f>
        <v>0</v>
      </c>
    </row>
    <row r="81" spans="1:34" x14ac:dyDescent="0.25">
      <c r="A81" s="41"/>
      <c r="B81" s="41"/>
      <c r="C81" s="13" t="str">
        <f t="shared" si="30"/>
        <v/>
      </c>
      <c r="D81" s="23" t="str">
        <f t="shared" si="31"/>
        <v/>
      </c>
      <c r="E81" s="34" t="str">
        <f t="shared" si="32"/>
        <v/>
      </c>
      <c r="F81" s="18">
        <f>IF(OR(A81="",A82=""),0,IF(AND(A81&gt;=Parametri!$B$11,B81&gt;=Parametri!$B$10,B82&lt;Parametri!$B$10),ROW(),0))</f>
        <v>0</v>
      </c>
      <c r="H81" s="41"/>
      <c r="I81" s="41"/>
      <c r="J81" s="13" t="str">
        <f t="shared" si="33"/>
        <v/>
      </c>
      <c r="K81" s="23" t="str">
        <f t="shared" si="34"/>
        <v/>
      </c>
      <c r="L81" s="34" t="str">
        <f t="shared" si="35"/>
        <v/>
      </c>
      <c r="M81" s="18">
        <f>IF(OR(H81="",H82=""),0,IF(AND(H81&gt;=Parametri!$B$11,I81&gt;=Parametri!$B$10,I82&lt;Parametri!$B$10),ROW(),0))</f>
        <v>0</v>
      </c>
      <c r="O81" s="41"/>
      <c r="P81" s="41"/>
      <c r="Q81" s="13" t="str">
        <f t="shared" si="36"/>
        <v/>
      </c>
      <c r="R81" s="23" t="str">
        <f t="shared" si="37"/>
        <v/>
      </c>
      <c r="S81" s="34" t="str">
        <f t="shared" si="38"/>
        <v/>
      </c>
      <c r="T81" s="18">
        <f>IF(OR(O81="",O82=""),0,IF(AND(O81&gt;=Parametri!$B$11,P81&gt;=Parametri!$B$10,P82&lt;Parametri!$B$10),ROW(),0))</f>
        <v>0</v>
      </c>
      <c r="V81" s="41"/>
      <c r="W81" s="41"/>
      <c r="X81" s="13" t="str">
        <f t="shared" si="39"/>
        <v/>
      </c>
      <c r="Y81" s="23" t="str">
        <f t="shared" si="40"/>
        <v/>
      </c>
      <c r="Z81" s="34" t="str">
        <f t="shared" si="41"/>
        <v/>
      </c>
      <c r="AA81" s="18">
        <f>IF(OR(V81="",V82=""),0,IF(AND(V81&gt;=Parametri!$B$11,W81&gt;=Parametri!$B$10,W82&lt;Parametri!$B$10),ROW(),0))</f>
        <v>0</v>
      </c>
      <c r="AC81" s="41"/>
      <c r="AD81" s="41"/>
      <c r="AE81" s="13" t="str">
        <f t="shared" si="42"/>
        <v/>
      </c>
      <c r="AF81" s="23" t="str">
        <f t="shared" si="43"/>
        <v/>
      </c>
      <c r="AG81" s="34" t="str">
        <f t="shared" si="44"/>
        <v/>
      </c>
      <c r="AH81" s="18">
        <f>IF(OR(AC81="",AC82=""),0,IF(AND(AC81&gt;=Parametri!$B$11,AD81&gt;=Parametri!$B$10,AD82&lt;Parametri!$B$10),ROW(),0))</f>
        <v>0</v>
      </c>
    </row>
    <row r="82" spans="1:34" x14ac:dyDescent="0.25">
      <c r="A82" s="41"/>
      <c r="B82" s="41"/>
      <c r="C82" s="13" t="str">
        <f t="shared" si="30"/>
        <v/>
      </c>
      <c r="D82" s="23" t="str">
        <f t="shared" si="31"/>
        <v/>
      </c>
      <c r="E82" s="34" t="str">
        <f t="shared" si="32"/>
        <v/>
      </c>
      <c r="F82" s="18">
        <f>IF(OR(A82="",A83=""),0,IF(AND(A82&gt;=Parametri!$B$11,B82&gt;=Parametri!$B$10,B83&lt;Parametri!$B$10),ROW(),0))</f>
        <v>0</v>
      </c>
      <c r="H82" s="41"/>
      <c r="I82" s="41"/>
      <c r="J82" s="13" t="str">
        <f t="shared" si="33"/>
        <v/>
      </c>
      <c r="K82" s="23" t="str">
        <f t="shared" si="34"/>
        <v/>
      </c>
      <c r="L82" s="34" t="str">
        <f t="shared" si="35"/>
        <v/>
      </c>
      <c r="M82" s="18">
        <f>IF(OR(H82="",H83=""),0,IF(AND(H82&gt;=Parametri!$B$11,I82&gt;=Parametri!$B$10,I83&lt;Parametri!$B$10),ROW(),0))</f>
        <v>0</v>
      </c>
      <c r="O82" s="41"/>
      <c r="P82" s="41"/>
      <c r="Q82" s="13" t="str">
        <f t="shared" si="36"/>
        <v/>
      </c>
      <c r="R82" s="23" t="str">
        <f t="shared" si="37"/>
        <v/>
      </c>
      <c r="S82" s="34" t="str">
        <f t="shared" si="38"/>
        <v/>
      </c>
      <c r="T82" s="18">
        <f>IF(OR(O82="",O83=""),0,IF(AND(O82&gt;=Parametri!$B$11,P82&gt;=Parametri!$B$10,P83&lt;Parametri!$B$10),ROW(),0))</f>
        <v>0</v>
      </c>
      <c r="V82" s="41"/>
      <c r="W82" s="41"/>
      <c r="X82" s="13" t="str">
        <f t="shared" si="39"/>
        <v/>
      </c>
      <c r="Y82" s="23" t="str">
        <f t="shared" si="40"/>
        <v/>
      </c>
      <c r="Z82" s="34" t="str">
        <f t="shared" si="41"/>
        <v/>
      </c>
      <c r="AA82" s="18">
        <f>IF(OR(V82="",V83=""),0,IF(AND(V82&gt;=Parametri!$B$11,W82&gt;=Parametri!$B$10,W83&lt;Parametri!$B$10),ROW(),0))</f>
        <v>0</v>
      </c>
      <c r="AC82" s="41"/>
      <c r="AD82" s="41"/>
      <c r="AE82" s="13" t="str">
        <f t="shared" si="42"/>
        <v/>
      </c>
      <c r="AF82" s="23" t="str">
        <f t="shared" si="43"/>
        <v/>
      </c>
      <c r="AG82" s="34" t="str">
        <f t="shared" si="44"/>
        <v/>
      </c>
      <c r="AH82" s="18">
        <f>IF(OR(AC82="",AC83=""),0,IF(AND(AC82&gt;=Parametri!$B$11,AD82&gt;=Parametri!$B$10,AD83&lt;Parametri!$B$10),ROW(),0))</f>
        <v>0</v>
      </c>
    </row>
    <row r="83" spans="1:34" x14ac:dyDescent="0.25">
      <c r="A83" s="41"/>
      <c r="B83" s="41"/>
      <c r="C83" s="13" t="str">
        <f t="shared" si="30"/>
        <v/>
      </c>
      <c r="D83" s="23" t="str">
        <f t="shared" si="31"/>
        <v/>
      </c>
      <c r="E83" s="34" t="str">
        <f t="shared" si="32"/>
        <v/>
      </c>
      <c r="F83" s="18">
        <f>IF(OR(A83="",A84=""),0,IF(AND(A83&gt;=Parametri!$B$11,B83&gt;=Parametri!$B$10,B84&lt;Parametri!$B$10),ROW(),0))</f>
        <v>0</v>
      </c>
      <c r="H83" s="41"/>
      <c r="I83" s="41"/>
      <c r="J83" s="13" t="str">
        <f t="shared" si="33"/>
        <v/>
      </c>
      <c r="K83" s="23" t="str">
        <f t="shared" si="34"/>
        <v/>
      </c>
      <c r="L83" s="34" t="str">
        <f t="shared" si="35"/>
        <v/>
      </c>
      <c r="M83" s="18">
        <f>IF(OR(H83="",H84=""),0,IF(AND(H83&gt;=Parametri!$B$11,I83&gt;=Parametri!$B$10,I84&lt;Parametri!$B$10),ROW(),0))</f>
        <v>0</v>
      </c>
      <c r="O83" s="41"/>
      <c r="P83" s="41"/>
      <c r="Q83" s="13" t="str">
        <f t="shared" si="36"/>
        <v/>
      </c>
      <c r="R83" s="23" t="str">
        <f t="shared" si="37"/>
        <v/>
      </c>
      <c r="S83" s="34" t="str">
        <f t="shared" si="38"/>
        <v/>
      </c>
      <c r="T83" s="18">
        <f>IF(OR(O83="",O84=""),0,IF(AND(O83&gt;=Parametri!$B$11,P83&gt;=Parametri!$B$10,P84&lt;Parametri!$B$10),ROW(),0))</f>
        <v>0</v>
      </c>
      <c r="V83" s="41"/>
      <c r="W83" s="41"/>
      <c r="X83" s="13" t="str">
        <f t="shared" si="39"/>
        <v/>
      </c>
      <c r="Y83" s="23" t="str">
        <f t="shared" si="40"/>
        <v/>
      </c>
      <c r="Z83" s="34" t="str">
        <f t="shared" si="41"/>
        <v/>
      </c>
      <c r="AA83" s="18">
        <f>IF(OR(V83="",V84=""),0,IF(AND(V83&gt;=Parametri!$B$11,W83&gt;=Parametri!$B$10,W84&lt;Parametri!$B$10),ROW(),0))</f>
        <v>0</v>
      </c>
      <c r="AC83" s="41"/>
      <c r="AD83" s="41"/>
      <c r="AE83" s="13" t="str">
        <f t="shared" si="42"/>
        <v/>
      </c>
      <c r="AF83" s="23" t="str">
        <f t="shared" si="43"/>
        <v/>
      </c>
      <c r="AG83" s="34" t="str">
        <f t="shared" si="44"/>
        <v/>
      </c>
      <c r="AH83" s="18">
        <f>IF(OR(AC83="",AC84=""),0,IF(AND(AC83&gt;=Parametri!$B$11,AD83&gt;=Parametri!$B$10,AD84&lt;Parametri!$B$10),ROW(),0))</f>
        <v>0</v>
      </c>
    </row>
    <row r="84" spans="1:34" x14ac:dyDescent="0.25">
      <c r="A84" s="41"/>
      <c r="B84" s="41"/>
      <c r="C84" s="13" t="str">
        <f t="shared" si="30"/>
        <v/>
      </c>
      <c r="D84" s="23" t="str">
        <f t="shared" si="31"/>
        <v/>
      </c>
      <c r="E84" s="34" t="str">
        <f t="shared" si="32"/>
        <v/>
      </c>
      <c r="F84" s="18">
        <f>IF(OR(A84="",A85=""),0,IF(AND(A84&gt;=Parametri!$B$11,B84&gt;=Parametri!$B$10,B85&lt;Parametri!$B$10),ROW(),0))</f>
        <v>0</v>
      </c>
      <c r="H84" s="41"/>
      <c r="I84" s="41"/>
      <c r="J84" s="13" t="str">
        <f t="shared" si="33"/>
        <v/>
      </c>
      <c r="K84" s="23" t="str">
        <f t="shared" si="34"/>
        <v/>
      </c>
      <c r="L84" s="34" t="str">
        <f t="shared" si="35"/>
        <v/>
      </c>
      <c r="M84" s="18">
        <f>IF(OR(H84="",H85=""),0,IF(AND(H84&gt;=Parametri!$B$11,I84&gt;=Parametri!$B$10,I85&lt;Parametri!$B$10),ROW(),0))</f>
        <v>0</v>
      </c>
      <c r="O84" s="41"/>
      <c r="P84" s="41"/>
      <c r="Q84" s="13" t="str">
        <f t="shared" si="36"/>
        <v/>
      </c>
      <c r="R84" s="23" t="str">
        <f t="shared" si="37"/>
        <v/>
      </c>
      <c r="S84" s="34" t="str">
        <f t="shared" si="38"/>
        <v/>
      </c>
      <c r="T84" s="18">
        <f>IF(OR(O84="",O85=""),0,IF(AND(O84&gt;=Parametri!$B$11,P84&gt;=Parametri!$B$10,P85&lt;Parametri!$B$10),ROW(),0))</f>
        <v>0</v>
      </c>
      <c r="V84" s="41"/>
      <c r="W84" s="41"/>
      <c r="X84" s="13" t="str">
        <f t="shared" si="39"/>
        <v/>
      </c>
      <c r="Y84" s="23" t="str">
        <f t="shared" si="40"/>
        <v/>
      </c>
      <c r="Z84" s="34" t="str">
        <f t="shared" si="41"/>
        <v/>
      </c>
      <c r="AA84" s="18">
        <f>IF(OR(V84="",V85=""),0,IF(AND(V84&gt;=Parametri!$B$11,W84&gt;=Parametri!$B$10,W85&lt;Parametri!$B$10),ROW(),0))</f>
        <v>0</v>
      </c>
      <c r="AC84" s="41"/>
      <c r="AD84" s="41"/>
      <c r="AE84" s="13" t="str">
        <f t="shared" si="42"/>
        <v/>
      </c>
      <c r="AF84" s="23" t="str">
        <f t="shared" si="43"/>
        <v/>
      </c>
      <c r="AG84" s="34" t="str">
        <f t="shared" si="44"/>
        <v/>
      </c>
      <c r="AH84" s="18">
        <f>IF(OR(AC84="",AC85=""),0,IF(AND(AC84&gt;=Parametri!$B$11,AD84&gt;=Parametri!$B$10,AD85&lt;Parametri!$B$10),ROW(),0))</f>
        <v>0</v>
      </c>
    </row>
    <row r="85" spans="1:34" x14ac:dyDescent="0.25">
      <c r="A85" s="41"/>
      <c r="B85" s="41"/>
      <c r="C85" s="13" t="str">
        <f t="shared" si="30"/>
        <v/>
      </c>
      <c r="D85" s="23" t="str">
        <f t="shared" si="31"/>
        <v/>
      </c>
      <c r="E85" s="34" t="str">
        <f t="shared" si="32"/>
        <v/>
      </c>
      <c r="F85" s="18">
        <f>IF(OR(A85="",A86=""),0,IF(AND(A85&gt;=Parametri!$B$11,B85&gt;=Parametri!$B$10,B86&lt;Parametri!$B$10),ROW(),0))</f>
        <v>0</v>
      </c>
      <c r="H85" s="41"/>
      <c r="I85" s="41"/>
      <c r="J85" s="13" t="str">
        <f t="shared" si="33"/>
        <v/>
      </c>
      <c r="K85" s="23" t="str">
        <f t="shared" si="34"/>
        <v/>
      </c>
      <c r="L85" s="34" t="str">
        <f t="shared" si="35"/>
        <v/>
      </c>
      <c r="M85" s="18">
        <f>IF(OR(H85="",H86=""),0,IF(AND(H85&gt;=Parametri!$B$11,I85&gt;=Parametri!$B$10,I86&lt;Parametri!$B$10),ROW(),0))</f>
        <v>0</v>
      </c>
      <c r="O85" s="41"/>
      <c r="P85" s="41"/>
      <c r="Q85" s="13" t="str">
        <f t="shared" si="36"/>
        <v/>
      </c>
      <c r="R85" s="23" t="str">
        <f t="shared" si="37"/>
        <v/>
      </c>
      <c r="S85" s="34" t="str">
        <f t="shared" si="38"/>
        <v/>
      </c>
      <c r="T85" s="18">
        <f>IF(OR(O85="",O86=""),0,IF(AND(O85&gt;=Parametri!$B$11,P85&gt;=Parametri!$B$10,P86&lt;Parametri!$B$10),ROW(),0))</f>
        <v>0</v>
      </c>
      <c r="V85" s="41"/>
      <c r="W85" s="41"/>
      <c r="X85" s="13" t="str">
        <f t="shared" si="39"/>
        <v/>
      </c>
      <c r="Y85" s="23" t="str">
        <f t="shared" si="40"/>
        <v/>
      </c>
      <c r="Z85" s="34" t="str">
        <f t="shared" si="41"/>
        <v/>
      </c>
      <c r="AA85" s="18">
        <f>IF(OR(V85="",V86=""),0,IF(AND(V85&gt;=Parametri!$B$11,W85&gt;=Parametri!$B$10,W86&lt;Parametri!$B$10),ROW(),0))</f>
        <v>0</v>
      </c>
      <c r="AC85" s="41"/>
      <c r="AD85" s="41"/>
      <c r="AE85" s="13" t="str">
        <f t="shared" si="42"/>
        <v/>
      </c>
      <c r="AF85" s="23" t="str">
        <f t="shared" si="43"/>
        <v/>
      </c>
      <c r="AG85" s="34" t="str">
        <f t="shared" si="44"/>
        <v/>
      </c>
      <c r="AH85" s="18">
        <f>IF(OR(AC85="",AC86=""),0,IF(AND(AC85&gt;=Parametri!$B$11,AD85&gt;=Parametri!$B$10,AD86&lt;Parametri!$B$10),ROW(),0))</f>
        <v>0</v>
      </c>
    </row>
    <row r="86" spans="1:34" x14ac:dyDescent="0.25">
      <c r="A86" s="41"/>
      <c r="B86" s="41"/>
      <c r="C86" s="13" t="str">
        <f t="shared" si="30"/>
        <v/>
      </c>
      <c r="D86" s="23" t="str">
        <f t="shared" si="31"/>
        <v/>
      </c>
      <c r="E86" s="34" t="str">
        <f t="shared" si="32"/>
        <v/>
      </c>
      <c r="F86" s="18">
        <f>IF(OR(A86="",A87=""),0,IF(AND(A86&gt;=Parametri!$B$11,B86&gt;=Parametri!$B$10,B87&lt;Parametri!$B$10),ROW(),0))</f>
        <v>0</v>
      </c>
      <c r="H86" s="41"/>
      <c r="I86" s="41"/>
      <c r="J86" s="13" t="str">
        <f t="shared" si="33"/>
        <v/>
      </c>
      <c r="K86" s="23" t="str">
        <f t="shared" si="34"/>
        <v/>
      </c>
      <c r="L86" s="34" t="str">
        <f t="shared" si="35"/>
        <v/>
      </c>
      <c r="M86" s="18">
        <f>IF(OR(H86="",H87=""),0,IF(AND(H86&gt;=Parametri!$B$11,I86&gt;=Parametri!$B$10,I87&lt;Parametri!$B$10),ROW(),0))</f>
        <v>0</v>
      </c>
      <c r="O86" s="41"/>
      <c r="P86" s="41"/>
      <c r="Q86" s="13" t="str">
        <f t="shared" si="36"/>
        <v/>
      </c>
      <c r="R86" s="23" t="str">
        <f t="shared" si="37"/>
        <v/>
      </c>
      <c r="S86" s="34" t="str">
        <f t="shared" si="38"/>
        <v/>
      </c>
      <c r="T86" s="18">
        <f>IF(OR(O86="",O87=""),0,IF(AND(O86&gt;=Parametri!$B$11,P86&gt;=Parametri!$B$10,P87&lt;Parametri!$B$10),ROW(),0))</f>
        <v>0</v>
      </c>
      <c r="V86" s="41"/>
      <c r="W86" s="41"/>
      <c r="X86" s="13" t="str">
        <f t="shared" si="39"/>
        <v/>
      </c>
      <c r="Y86" s="23" t="str">
        <f t="shared" si="40"/>
        <v/>
      </c>
      <c r="Z86" s="34" t="str">
        <f t="shared" si="41"/>
        <v/>
      </c>
      <c r="AA86" s="18">
        <f>IF(OR(V86="",V87=""),0,IF(AND(V86&gt;=Parametri!$B$11,W86&gt;=Parametri!$B$10,W87&lt;Parametri!$B$10),ROW(),0))</f>
        <v>0</v>
      </c>
      <c r="AC86" s="41"/>
      <c r="AD86" s="41"/>
      <c r="AE86" s="13" t="str">
        <f t="shared" si="42"/>
        <v/>
      </c>
      <c r="AF86" s="23" t="str">
        <f t="shared" si="43"/>
        <v/>
      </c>
      <c r="AG86" s="34" t="str">
        <f t="shared" si="44"/>
        <v/>
      </c>
      <c r="AH86" s="18">
        <f>IF(OR(AC86="",AC87=""),0,IF(AND(AC86&gt;=Parametri!$B$11,AD86&gt;=Parametri!$B$10,AD87&lt;Parametri!$B$10),ROW(),0))</f>
        <v>0</v>
      </c>
    </row>
    <row r="87" spans="1:34" x14ac:dyDescent="0.25">
      <c r="A87" s="41"/>
      <c r="B87" s="41"/>
      <c r="C87" s="13" t="str">
        <f t="shared" si="30"/>
        <v/>
      </c>
      <c r="D87" s="23" t="str">
        <f t="shared" si="31"/>
        <v/>
      </c>
      <c r="E87" s="34" t="str">
        <f t="shared" si="32"/>
        <v/>
      </c>
      <c r="F87" s="18">
        <f>IF(OR(A87="",A88=""),0,IF(AND(A87&gt;=Parametri!$B$11,B87&gt;=Parametri!$B$10,B88&lt;Parametri!$B$10),ROW(),0))</f>
        <v>0</v>
      </c>
      <c r="H87" s="41"/>
      <c r="I87" s="41"/>
      <c r="J87" s="13" t="str">
        <f t="shared" si="33"/>
        <v/>
      </c>
      <c r="K87" s="23" t="str">
        <f t="shared" si="34"/>
        <v/>
      </c>
      <c r="L87" s="34" t="str">
        <f t="shared" si="35"/>
        <v/>
      </c>
      <c r="M87" s="18">
        <f>IF(OR(H87="",H88=""),0,IF(AND(H87&gt;=Parametri!$B$11,I87&gt;=Parametri!$B$10,I88&lt;Parametri!$B$10),ROW(),0))</f>
        <v>0</v>
      </c>
      <c r="O87" s="41"/>
      <c r="P87" s="41"/>
      <c r="Q87" s="13" t="str">
        <f t="shared" si="36"/>
        <v/>
      </c>
      <c r="R87" s="23" t="str">
        <f t="shared" si="37"/>
        <v/>
      </c>
      <c r="S87" s="34" t="str">
        <f t="shared" si="38"/>
        <v/>
      </c>
      <c r="T87" s="18">
        <f>IF(OR(O87="",O88=""),0,IF(AND(O87&gt;=Parametri!$B$11,P87&gt;=Parametri!$B$10,P88&lt;Parametri!$B$10),ROW(),0))</f>
        <v>0</v>
      </c>
      <c r="V87" s="41"/>
      <c r="W87" s="41"/>
      <c r="X87" s="13" t="str">
        <f t="shared" si="39"/>
        <v/>
      </c>
      <c r="Y87" s="23" t="str">
        <f t="shared" si="40"/>
        <v/>
      </c>
      <c r="Z87" s="34" t="str">
        <f t="shared" si="41"/>
        <v/>
      </c>
      <c r="AA87" s="18">
        <f>IF(OR(V87="",V88=""),0,IF(AND(V87&gt;=Parametri!$B$11,W87&gt;=Parametri!$B$10,W88&lt;Parametri!$B$10),ROW(),0))</f>
        <v>0</v>
      </c>
      <c r="AC87" s="41"/>
      <c r="AD87" s="41"/>
      <c r="AE87" s="13" t="str">
        <f t="shared" si="42"/>
        <v/>
      </c>
      <c r="AF87" s="23" t="str">
        <f t="shared" si="43"/>
        <v/>
      </c>
      <c r="AG87" s="34" t="str">
        <f t="shared" si="44"/>
        <v/>
      </c>
      <c r="AH87" s="18">
        <f>IF(OR(AC87="",AC88=""),0,IF(AND(AC87&gt;=Parametri!$B$11,AD87&gt;=Parametri!$B$10,AD88&lt;Parametri!$B$10),ROW(),0))</f>
        <v>0</v>
      </c>
    </row>
    <row r="88" spans="1:34" x14ac:dyDescent="0.25">
      <c r="A88" s="41"/>
      <c r="B88" s="41"/>
      <c r="C88" s="13" t="str">
        <f t="shared" si="30"/>
        <v/>
      </c>
      <c r="D88" s="23" t="str">
        <f t="shared" si="31"/>
        <v/>
      </c>
      <c r="E88" s="34" t="str">
        <f t="shared" si="32"/>
        <v/>
      </c>
      <c r="F88" s="18">
        <f>IF(OR(A88="",A89=""),0,IF(AND(A88&gt;=Parametri!$B$11,B88&gt;=Parametri!$B$10,B89&lt;Parametri!$B$10),ROW(),0))</f>
        <v>0</v>
      </c>
      <c r="H88" s="41"/>
      <c r="I88" s="41"/>
      <c r="J88" s="13" t="str">
        <f t="shared" si="33"/>
        <v/>
      </c>
      <c r="K88" s="23" t="str">
        <f t="shared" si="34"/>
        <v/>
      </c>
      <c r="L88" s="34" t="str">
        <f t="shared" si="35"/>
        <v/>
      </c>
      <c r="M88" s="18">
        <f>IF(OR(H88="",H89=""),0,IF(AND(H88&gt;=Parametri!$B$11,I88&gt;=Parametri!$B$10,I89&lt;Parametri!$B$10),ROW(),0))</f>
        <v>0</v>
      </c>
      <c r="O88" s="41"/>
      <c r="P88" s="41"/>
      <c r="Q88" s="13" t="str">
        <f t="shared" si="36"/>
        <v/>
      </c>
      <c r="R88" s="23" t="str">
        <f t="shared" si="37"/>
        <v/>
      </c>
      <c r="S88" s="34" t="str">
        <f t="shared" si="38"/>
        <v/>
      </c>
      <c r="T88" s="18">
        <f>IF(OR(O88="",O89=""),0,IF(AND(O88&gt;=Parametri!$B$11,P88&gt;=Parametri!$B$10,P89&lt;Parametri!$B$10),ROW(),0))</f>
        <v>0</v>
      </c>
      <c r="V88" s="41"/>
      <c r="W88" s="41"/>
      <c r="X88" s="13" t="str">
        <f t="shared" si="39"/>
        <v/>
      </c>
      <c r="Y88" s="23" t="str">
        <f t="shared" si="40"/>
        <v/>
      </c>
      <c r="Z88" s="34" t="str">
        <f t="shared" si="41"/>
        <v/>
      </c>
      <c r="AA88" s="18">
        <f>IF(OR(V88="",V89=""),0,IF(AND(V88&gt;=Parametri!$B$11,W88&gt;=Parametri!$B$10,W89&lt;Parametri!$B$10),ROW(),0))</f>
        <v>0</v>
      </c>
      <c r="AC88" s="41"/>
      <c r="AD88" s="41"/>
      <c r="AE88" s="13" t="str">
        <f t="shared" si="42"/>
        <v/>
      </c>
      <c r="AF88" s="23" t="str">
        <f t="shared" si="43"/>
        <v/>
      </c>
      <c r="AG88" s="34" t="str">
        <f t="shared" si="44"/>
        <v/>
      </c>
      <c r="AH88" s="18">
        <f>IF(OR(AC88="",AC89=""),0,IF(AND(AC88&gt;=Parametri!$B$11,AD88&gt;=Parametri!$B$10,AD89&lt;Parametri!$B$10),ROW(),0))</f>
        <v>0</v>
      </c>
    </row>
    <row r="89" spans="1:34" x14ac:dyDescent="0.25">
      <c r="A89" s="41"/>
      <c r="B89" s="41"/>
      <c r="C89" s="13" t="str">
        <f t="shared" si="30"/>
        <v/>
      </c>
      <c r="D89" s="23" t="str">
        <f t="shared" si="31"/>
        <v/>
      </c>
      <c r="E89" s="34" t="str">
        <f t="shared" si="32"/>
        <v/>
      </c>
      <c r="F89" s="18">
        <f>IF(OR(A89="",A90=""),0,IF(AND(A89&gt;=Parametri!$B$11,B89&gt;=Parametri!$B$10,B90&lt;Parametri!$B$10),ROW(),0))</f>
        <v>0</v>
      </c>
      <c r="H89" s="41"/>
      <c r="I89" s="41"/>
      <c r="J89" s="13" t="str">
        <f t="shared" si="33"/>
        <v/>
      </c>
      <c r="K89" s="23" t="str">
        <f t="shared" si="34"/>
        <v/>
      </c>
      <c r="L89" s="34" t="str">
        <f t="shared" si="35"/>
        <v/>
      </c>
      <c r="M89" s="18">
        <f>IF(OR(H89="",H90=""),0,IF(AND(H89&gt;=Parametri!$B$11,I89&gt;=Parametri!$B$10,I90&lt;Parametri!$B$10),ROW(),0))</f>
        <v>0</v>
      </c>
      <c r="O89" s="41"/>
      <c r="P89" s="41"/>
      <c r="Q89" s="13" t="str">
        <f t="shared" si="36"/>
        <v/>
      </c>
      <c r="R89" s="23" t="str">
        <f t="shared" si="37"/>
        <v/>
      </c>
      <c r="S89" s="34" t="str">
        <f t="shared" si="38"/>
        <v/>
      </c>
      <c r="T89" s="18">
        <f>IF(OR(O89="",O90=""),0,IF(AND(O89&gt;=Parametri!$B$11,P89&gt;=Parametri!$B$10,P90&lt;Parametri!$B$10),ROW(),0))</f>
        <v>0</v>
      </c>
      <c r="V89" s="41"/>
      <c r="W89" s="41"/>
      <c r="X89" s="13" t="str">
        <f t="shared" si="39"/>
        <v/>
      </c>
      <c r="Y89" s="23" t="str">
        <f t="shared" si="40"/>
        <v/>
      </c>
      <c r="Z89" s="34" t="str">
        <f t="shared" si="41"/>
        <v/>
      </c>
      <c r="AA89" s="18">
        <f>IF(OR(V89="",V90=""),0,IF(AND(V89&gt;=Parametri!$B$11,W89&gt;=Parametri!$B$10,W90&lt;Parametri!$B$10),ROW(),0))</f>
        <v>0</v>
      </c>
      <c r="AC89" s="41"/>
      <c r="AD89" s="41"/>
      <c r="AE89" s="13" t="str">
        <f t="shared" si="42"/>
        <v/>
      </c>
      <c r="AF89" s="23" t="str">
        <f t="shared" si="43"/>
        <v/>
      </c>
      <c r="AG89" s="34" t="str">
        <f t="shared" si="44"/>
        <v/>
      </c>
      <c r="AH89" s="18">
        <f>IF(OR(AC89="",AC90=""),0,IF(AND(AC89&gt;=Parametri!$B$11,AD89&gt;=Parametri!$B$10,AD90&lt;Parametri!$B$10),ROW(),0))</f>
        <v>0</v>
      </c>
    </row>
    <row r="90" spans="1:34" x14ac:dyDescent="0.25">
      <c r="A90" s="41"/>
      <c r="B90" s="41"/>
      <c r="C90" s="13" t="str">
        <f t="shared" si="30"/>
        <v/>
      </c>
      <c r="D90" s="23" t="str">
        <f t="shared" si="31"/>
        <v/>
      </c>
      <c r="E90" s="34" t="str">
        <f t="shared" si="32"/>
        <v/>
      </c>
      <c r="F90" s="18">
        <f>IF(OR(A90="",A91=""),0,IF(AND(A90&gt;=Parametri!$B$11,B90&gt;=Parametri!$B$10,B91&lt;Parametri!$B$10),ROW(),0))</f>
        <v>0</v>
      </c>
      <c r="H90" s="41"/>
      <c r="I90" s="41"/>
      <c r="J90" s="13" t="str">
        <f t="shared" si="33"/>
        <v/>
      </c>
      <c r="K90" s="23" t="str">
        <f t="shared" si="34"/>
        <v/>
      </c>
      <c r="L90" s="34" t="str">
        <f t="shared" si="35"/>
        <v/>
      </c>
      <c r="M90" s="18">
        <f>IF(OR(H90="",H91=""),0,IF(AND(H90&gt;=Parametri!$B$11,I90&gt;=Parametri!$B$10,I91&lt;Parametri!$B$10),ROW(),0))</f>
        <v>0</v>
      </c>
      <c r="O90" s="41"/>
      <c r="P90" s="41"/>
      <c r="Q90" s="13" t="str">
        <f t="shared" si="36"/>
        <v/>
      </c>
      <c r="R90" s="23" t="str">
        <f t="shared" si="37"/>
        <v/>
      </c>
      <c r="S90" s="34" t="str">
        <f t="shared" si="38"/>
        <v/>
      </c>
      <c r="T90" s="18">
        <f>IF(OR(O90="",O91=""),0,IF(AND(O90&gt;=Parametri!$B$11,P90&gt;=Parametri!$B$10,P91&lt;Parametri!$B$10),ROW(),0))</f>
        <v>0</v>
      </c>
      <c r="V90" s="41"/>
      <c r="W90" s="41"/>
      <c r="X90" s="13" t="str">
        <f t="shared" si="39"/>
        <v/>
      </c>
      <c r="Y90" s="23" t="str">
        <f t="shared" si="40"/>
        <v/>
      </c>
      <c r="Z90" s="34" t="str">
        <f t="shared" si="41"/>
        <v/>
      </c>
      <c r="AA90" s="18">
        <f>IF(OR(V90="",V91=""),0,IF(AND(V90&gt;=Parametri!$B$11,W90&gt;=Parametri!$B$10,W91&lt;Parametri!$B$10),ROW(),0))</f>
        <v>0</v>
      </c>
      <c r="AC90" s="41"/>
      <c r="AD90" s="41"/>
      <c r="AE90" s="13" t="str">
        <f t="shared" si="42"/>
        <v/>
      </c>
      <c r="AF90" s="23" t="str">
        <f t="shared" si="43"/>
        <v/>
      </c>
      <c r="AG90" s="34" t="str">
        <f t="shared" si="44"/>
        <v/>
      </c>
      <c r="AH90" s="18">
        <f>IF(OR(AC90="",AC91=""),0,IF(AND(AC90&gt;=Parametri!$B$11,AD90&gt;=Parametri!$B$10,AD91&lt;Parametri!$B$10),ROW(),0))</f>
        <v>0</v>
      </c>
    </row>
    <row r="91" spans="1:34" x14ac:dyDescent="0.25">
      <c r="A91" s="41"/>
      <c r="B91" s="41"/>
      <c r="C91" s="13" t="str">
        <f t="shared" si="30"/>
        <v/>
      </c>
      <c r="D91" s="23" t="str">
        <f t="shared" si="31"/>
        <v/>
      </c>
      <c r="E91" s="34" t="str">
        <f t="shared" si="32"/>
        <v/>
      </c>
      <c r="F91" s="18">
        <f>IF(OR(A91="",A92=""),0,IF(AND(A91&gt;=Parametri!$B$11,B91&gt;=Parametri!$B$10,B92&lt;Parametri!$B$10),ROW(),0))</f>
        <v>0</v>
      </c>
      <c r="H91" s="41"/>
      <c r="I91" s="41"/>
      <c r="J91" s="13" t="str">
        <f t="shared" si="33"/>
        <v/>
      </c>
      <c r="K91" s="23" t="str">
        <f t="shared" si="34"/>
        <v/>
      </c>
      <c r="L91" s="34" t="str">
        <f t="shared" si="35"/>
        <v/>
      </c>
      <c r="M91" s="18">
        <f>IF(OR(H91="",H92=""),0,IF(AND(H91&gt;=Parametri!$B$11,I91&gt;=Parametri!$B$10,I92&lt;Parametri!$B$10),ROW(),0))</f>
        <v>0</v>
      </c>
      <c r="O91" s="41"/>
      <c r="P91" s="41"/>
      <c r="Q91" s="13" t="str">
        <f t="shared" si="36"/>
        <v/>
      </c>
      <c r="R91" s="23" t="str">
        <f t="shared" si="37"/>
        <v/>
      </c>
      <c r="S91" s="34" t="str">
        <f t="shared" si="38"/>
        <v/>
      </c>
      <c r="T91" s="18">
        <f>IF(OR(O91="",O92=""),0,IF(AND(O91&gt;=Parametri!$B$11,P91&gt;=Parametri!$B$10,P92&lt;Parametri!$B$10),ROW(),0))</f>
        <v>0</v>
      </c>
      <c r="V91" s="41"/>
      <c r="W91" s="41"/>
      <c r="X91" s="13" t="str">
        <f t="shared" si="39"/>
        <v/>
      </c>
      <c r="Y91" s="23" t="str">
        <f t="shared" si="40"/>
        <v/>
      </c>
      <c r="Z91" s="34" t="str">
        <f t="shared" si="41"/>
        <v/>
      </c>
      <c r="AA91" s="18">
        <f>IF(OR(V91="",V92=""),0,IF(AND(V91&gt;=Parametri!$B$11,W91&gt;=Parametri!$B$10,W92&lt;Parametri!$B$10),ROW(),0))</f>
        <v>0</v>
      </c>
      <c r="AC91" s="41"/>
      <c r="AD91" s="41"/>
      <c r="AE91" s="13" t="str">
        <f t="shared" si="42"/>
        <v/>
      </c>
      <c r="AF91" s="23" t="str">
        <f t="shared" si="43"/>
        <v/>
      </c>
      <c r="AG91" s="34" t="str">
        <f t="shared" si="44"/>
        <v/>
      </c>
      <c r="AH91" s="18">
        <f>IF(OR(AC91="",AC92=""),0,IF(AND(AC91&gt;=Parametri!$B$11,AD91&gt;=Parametri!$B$10,AD92&lt;Parametri!$B$10),ROW(),0))</f>
        <v>0</v>
      </c>
    </row>
    <row r="92" spans="1:34" x14ac:dyDescent="0.25">
      <c r="A92" s="41"/>
      <c r="B92" s="41"/>
      <c r="C92" s="13" t="str">
        <f t="shared" si="30"/>
        <v/>
      </c>
      <c r="D92" s="23" t="str">
        <f t="shared" si="31"/>
        <v/>
      </c>
      <c r="E92" s="34" t="str">
        <f t="shared" si="32"/>
        <v/>
      </c>
      <c r="F92" s="18">
        <f>IF(OR(A92="",A93=""),0,IF(AND(A92&gt;=Parametri!$B$11,B92&gt;=Parametri!$B$10,B93&lt;Parametri!$B$10),ROW(),0))</f>
        <v>0</v>
      </c>
      <c r="H92" s="41"/>
      <c r="I92" s="41"/>
      <c r="J92" s="13" t="str">
        <f t="shared" si="33"/>
        <v/>
      </c>
      <c r="K92" s="23" t="str">
        <f t="shared" si="34"/>
        <v/>
      </c>
      <c r="L92" s="34" t="str">
        <f t="shared" si="35"/>
        <v/>
      </c>
      <c r="M92" s="18">
        <f>IF(OR(H92="",H93=""),0,IF(AND(H92&gt;=Parametri!$B$11,I92&gt;=Parametri!$B$10,I93&lt;Parametri!$B$10),ROW(),0))</f>
        <v>0</v>
      </c>
      <c r="O92" s="41"/>
      <c r="P92" s="41"/>
      <c r="Q92" s="13" t="str">
        <f t="shared" si="36"/>
        <v/>
      </c>
      <c r="R92" s="23" t="str">
        <f t="shared" si="37"/>
        <v/>
      </c>
      <c r="S92" s="34" t="str">
        <f t="shared" si="38"/>
        <v/>
      </c>
      <c r="T92" s="18">
        <f>IF(OR(O92="",O93=""),0,IF(AND(O92&gt;=Parametri!$B$11,P92&gt;=Parametri!$B$10,P93&lt;Parametri!$B$10),ROW(),0))</f>
        <v>0</v>
      </c>
      <c r="V92" s="41"/>
      <c r="W92" s="41"/>
      <c r="X92" s="13" t="str">
        <f t="shared" si="39"/>
        <v/>
      </c>
      <c r="Y92" s="23" t="str">
        <f t="shared" si="40"/>
        <v/>
      </c>
      <c r="Z92" s="34" t="str">
        <f t="shared" si="41"/>
        <v/>
      </c>
      <c r="AA92" s="18">
        <f>IF(OR(V92="",V93=""),0,IF(AND(V92&gt;=Parametri!$B$11,W92&gt;=Parametri!$B$10,W93&lt;Parametri!$B$10),ROW(),0))</f>
        <v>0</v>
      </c>
      <c r="AC92" s="41"/>
      <c r="AD92" s="41"/>
      <c r="AE92" s="13" t="str">
        <f t="shared" si="42"/>
        <v/>
      </c>
      <c r="AF92" s="23" t="str">
        <f t="shared" si="43"/>
        <v/>
      </c>
      <c r="AG92" s="34" t="str">
        <f t="shared" si="44"/>
        <v/>
      </c>
      <c r="AH92" s="18">
        <f>IF(OR(AC92="",AC93=""),0,IF(AND(AC92&gt;=Parametri!$B$11,AD92&gt;=Parametri!$B$10,AD93&lt;Parametri!$B$10),ROW(),0))</f>
        <v>0</v>
      </c>
    </row>
    <row r="93" spans="1:34" x14ac:dyDescent="0.25">
      <c r="A93" s="41"/>
      <c r="B93" s="41"/>
      <c r="C93" s="13" t="str">
        <f t="shared" si="30"/>
        <v/>
      </c>
      <c r="D93" s="23" t="str">
        <f t="shared" si="31"/>
        <v/>
      </c>
      <c r="E93" s="34" t="str">
        <f t="shared" si="32"/>
        <v/>
      </c>
      <c r="F93" s="18">
        <f>IF(OR(A93="",A94=""),0,IF(AND(A93&gt;=Parametri!$B$11,B93&gt;=Parametri!$B$10,B94&lt;Parametri!$B$10),ROW(),0))</f>
        <v>0</v>
      </c>
      <c r="H93" s="41"/>
      <c r="I93" s="41"/>
      <c r="J93" s="13" t="str">
        <f t="shared" si="33"/>
        <v/>
      </c>
      <c r="K93" s="23" t="str">
        <f t="shared" si="34"/>
        <v/>
      </c>
      <c r="L93" s="34" t="str">
        <f t="shared" si="35"/>
        <v/>
      </c>
      <c r="M93" s="18">
        <f>IF(OR(H93="",H94=""),0,IF(AND(H93&gt;=Parametri!$B$11,I93&gt;=Parametri!$B$10,I94&lt;Parametri!$B$10),ROW(),0))</f>
        <v>0</v>
      </c>
      <c r="O93" s="41"/>
      <c r="P93" s="41"/>
      <c r="Q93" s="13" t="str">
        <f t="shared" si="36"/>
        <v/>
      </c>
      <c r="R93" s="23" t="str">
        <f t="shared" si="37"/>
        <v/>
      </c>
      <c r="S93" s="34" t="str">
        <f t="shared" si="38"/>
        <v/>
      </c>
      <c r="T93" s="18">
        <f>IF(OR(O93="",O94=""),0,IF(AND(O93&gt;=Parametri!$B$11,P93&gt;=Parametri!$B$10,P94&lt;Parametri!$B$10),ROW(),0))</f>
        <v>0</v>
      </c>
      <c r="V93" s="41"/>
      <c r="W93" s="41"/>
      <c r="X93" s="13" t="str">
        <f t="shared" si="39"/>
        <v/>
      </c>
      <c r="Y93" s="23" t="str">
        <f t="shared" si="40"/>
        <v/>
      </c>
      <c r="Z93" s="34" t="str">
        <f t="shared" si="41"/>
        <v/>
      </c>
      <c r="AA93" s="18">
        <f>IF(OR(V93="",V94=""),0,IF(AND(V93&gt;=Parametri!$B$11,W93&gt;=Parametri!$B$10,W94&lt;Parametri!$B$10),ROW(),0))</f>
        <v>0</v>
      </c>
      <c r="AC93" s="41"/>
      <c r="AD93" s="41"/>
      <c r="AE93" s="13" t="str">
        <f t="shared" si="42"/>
        <v/>
      </c>
      <c r="AF93" s="23" t="str">
        <f t="shared" si="43"/>
        <v/>
      </c>
      <c r="AG93" s="34" t="str">
        <f t="shared" si="44"/>
        <v/>
      </c>
      <c r="AH93" s="18">
        <f>IF(OR(AC93="",AC94=""),0,IF(AND(AC93&gt;=Parametri!$B$11,AD93&gt;=Parametri!$B$10,AD94&lt;Parametri!$B$10),ROW(),0))</f>
        <v>0</v>
      </c>
    </row>
    <row r="94" spans="1:34" x14ac:dyDescent="0.25">
      <c r="A94" s="41"/>
      <c r="B94" s="41"/>
      <c r="C94" s="13" t="str">
        <f t="shared" si="30"/>
        <v/>
      </c>
      <c r="D94" s="23" t="str">
        <f t="shared" si="31"/>
        <v/>
      </c>
      <c r="E94" s="34" t="str">
        <f t="shared" si="32"/>
        <v/>
      </c>
      <c r="F94" s="18">
        <f>IF(OR(A94="",A95=""),0,IF(AND(A94&gt;=Parametri!$B$11,B94&gt;=Parametri!$B$10,B95&lt;Parametri!$B$10),ROW(),0))</f>
        <v>0</v>
      </c>
      <c r="H94" s="41"/>
      <c r="I94" s="41"/>
      <c r="J94" s="13" t="str">
        <f t="shared" si="33"/>
        <v/>
      </c>
      <c r="K94" s="23" t="str">
        <f t="shared" si="34"/>
        <v/>
      </c>
      <c r="L94" s="34" t="str">
        <f t="shared" si="35"/>
        <v/>
      </c>
      <c r="M94" s="18">
        <f>IF(OR(H94="",H95=""),0,IF(AND(H94&gt;=Parametri!$B$11,I94&gt;=Parametri!$B$10,I95&lt;Parametri!$B$10),ROW(),0))</f>
        <v>0</v>
      </c>
      <c r="O94" s="41"/>
      <c r="P94" s="41"/>
      <c r="Q94" s="13" t="str">
        <f t="shared" si="36"/>
        <v/>
      </c>
      <c r="R94" s="23" t="str">
        <f t="shared" si="37"/>
        <v/>
      </c>
      <c r="S94" s="34" t="str">
        <f t="shared" si="38"/>
        <v/>
      </c>
      <c r="T94" s="18">
        <f>IF(OR(O94="",O95=""),0,IF(AND(O94&gt;=Parametri!$B$11,P94&gt;=Parametri!$B$10,P95&lt;Parametri!$B$10),ROW(),0))</f>
        <v>0</v>
      </c>
      <c r="V94" s="41"/>
      <c r="W94" s="41"/>
      <c r="X94" s="13" t="str">
        <f t="shared" si="39"/>
        <v/>
      </c>
      <c r="Y94" s="23" t="str">
        <f t="shared" si="40"/>
        <v/>
      </c>
      <c r="Z94" s="34" t="str">
        <f t="shared" si="41"/>
        <v/>
      </c>
      <c r="AA94" s="18">
        <f>IF(OR(V94="",V95=""),0,IF(AND(V94&gt;=Parametri!$B$11,W94&gt;=Parametri!$B$10,W95&lt;Parametri!$B$10),ROW(),0))</f>
        <v>0</v>
      </c>
      <c r="AC94" s="41"/>
      <c r="AD94" s="41"/>
      <c r="AE94" s="13" t="str">
        <f t="shared" si="42"/>
        <v/>
      </c>
      <c r="AF94" s="23" t="str">
        <f t="shared" si="43"/>
        <v/>
      </c>
      <c r="AG94" s="34" t="str">
        <f t="shared" si="44"/>
        <v/>
      </c>
      <c r="AH94" s="18">
        <f>IF(OR(AC94="",AC95=""),0,IF(AND(AC94&gt;=Parametri!$B$11,AD94&gt;=Parametri!$B$10,AD95&lt;Parametri!$B$10),ROW(),0))</f>
        <v>0</v>
      </c>
    </row>
    <row r="95" spans="1:34" x14ac:dyDescent="0.25">
      <c r="A95" s="41"/>
      <c r="B95" s="41"/>
      <c r="C95" s="13" t="str">
        <f t="shared" si="30"/>
        <v/>
      </c>
      <c r="D95" s="23" t="str">
        <f t="shared" si="31"/>
        <v/>
      </c>
      <c r="E95" s="34" t="str">
        <f t="shared" si="32"/>
        <v/>
      </c>
      <c r="F95" s="18">
        <f>IF(OR(A95="",A96=""),0,IF(AND(A95&gt;=Parametri!$B$11,B95&gt;=Parametri!$B$10,B96&lt;Parametri!$B$10),ROW(),0))</f>
        <v>0</v>
      </c>
      <c r="H95" s="41"/>
      <c r="I95" s="41"/>
      <c r="J95" s="13" t="str">
        <f t="shared" si="33"/>
        <v/>
      </c>
      <c r="K95" s="23" t="str">
        <f t="shared" si="34"/>
        <v/>
      </c>
      <c r="L95" s="34" t="str">
        <f t="shared" si="35"/>
        <v/>
      </c>
      <c r="M95" s="18">
        <f>IF(OR(H95="",H96=""),0,IF(AND(H95&gt;=Parametri!$B$11,I95&gt;=Parametri!$B$10,I96&lt;Parametri!$B$10),ROW(),0))</f>
        <v>0</v>
      </c>
      <c r="O95" s="41"/>
      <c r="P95" s="41"/>
      <c r="Q95" s="13" t="str">
        <f t="shared" si="36"/>
        <v/>
      </c>
      <c r="R95" s="23" t="str">
        <f t="shared" si="37"/>
        <v/>
      </c>
      <c r="S95" s="34" t="str">
        <f t="shared" si="38"/>
        <v/>
      </c>
      <c r="T95" s="18">
        <f>IF(OR(O95="",O96=""),0,IF(AND(O95&gt;=Parametri!$B$11,P95&gt;=Parametri!$B$10,P96&lt;Parametri!$B$10),ROW(),0))</f>
        <v>0</v>
      </c>
      <c r="V95" s="41"/>
      <c r="W95" s="41"/>
      <c r="X95" s="13" t="str">
        <f t="shared" si="39"/>
        <v/>
      </c>
      <c r="Y95" s="23" t="str">
        <f t="shared" si="40"/>
        <v/>
      </c>
      <c r="Z95" s="34" t="str">
        <f t="shared" si="41"/>
        <v/>
      </c>
      <c r="AA95" s="18">
        <f>IF(OR(V95="",V96=""),0,IF(AND(V95&gt;=Parametri!$B$11,W95&gt;=Parametri!$B$10,W96&lt;Parametri!$B$10),ROW(),0))</f>
        <v>0</v>
      </c>
      <c r="AC95" s="41"/>
      <c r="AD95" s="41"/>
      <c r="AE95" s="13" t="str">
        <f t="shared" si="42"/>
        <v/>
      </c>
      <c r="AF95" s="23" t="str">
        <f t="shared" si="43"/>
        <v/>
      </c>
      <c r="AG95" s="34" t="str">
        <f t="shared" si="44"/>
        <v/>
      </c>
      <c r="AH95" s="18">
        <f>IF(OR(AC95="",AC96=""),0,IF(AND(AC95&gt;=Parametri!$B$11,AD95&gt;=Parametri!$B$10,AD96&lt;Parametri!$B$10),ROW(),0))</f>
        <v>0</v>
      </c>
    </row>
    <row r="96" spans="1:34" x14ac:dyDescent="0.25">
      <c r="A96" s="41"/>
      <c r="B96" s="41"/>
      <c r="C96" s="13" t="str">
        <f t="shared" si="30"/>
        <v/>
      </c>
      <c r="D96" s="23" t="str">
        <f t="shared" si="31"/>
        <v/>
      </c>
      <c r="E96" s="34" t="str">
        <f t="shared" si="32"/>
        <v/>
      </c>
      <c r="F96" s="18">
        <f>IF(OR(A96="",A97=""),0,IF(AND(A96&gt;=Parametri!$B$11,B96&gt;=Parametri!$B$10,B97&lt;Parametri!$B$10),ROW(),0))</f>
        <v>0</v>
      </c>
      <c r="H96" s="41"/>
      <c r="I96" s="41"/>
      <c r="J96" s="13" t="str">
        <f t="shared" si="33"/>
        <v/>
      </c>
      <c r="K96" s="23" t="str">
        <f t="shared" si="34"/>
        <v/>
      </c>
      <c r="L96" s="34" t="str">
        <f t="shared" si="35"/>
        <v/>
      </c>
      <c r="M96" s="18">
        <f>IF(OR(H96="",H97=""),0,IF(AND(H96&gt;=Parametri!$B$11,I96&gt;=Parametri!$B$10,I97&lt;Parametri!$B$10),ROW(),0))</f>
        <v>0</v>
      </c>
      <c r="O96" s="41"/>
      <c r="P96" s="41"/>
      <c r="Q96" s="13" t="str">
        <f t="shared" si="36"/>
        <v/>
      </c>
      <c r="R96" s="23" t="str">
        <f t="shared" si="37"/>
        <v/>
      </c>
      <c r="S96" s="34" t="str">
        <f t="shared" si="38"/>
        <v/>
      </c>
      <c r="T96" s="18">
        <f>IF(OR(O96="",O97=""),0,IF(AND(O96&gt;=Parametri!$B$11,P96&gt;=Parametri!$B$10,P97&lt;Parametri!$B$10),ROW(),0))</f>
        <v>0</v>
      </c>
      <c r="V96" s="41"/>
      <c r="W96" s="41"/>
      <c r="X96" s="13" t="str">
        <f t="shared" si="39"/>
        <v/>
      </c>
      <c r="Y96" s="23" t="str">
        <f t="shared" si="40"/>
        <v/>
      </c>
      <c r="Z96" s="34" t="str">
        <f t="shared" si="41"/>
        <v/>
      </c>
      <c r="AA96" s="18">
        <f>IF(OR(V96="",V97=""),0,IF(AND(V96&gt;=Parametri!$B$11,W96&gt;=Parametri!$B$10,W97&lt;Parametri!$B$10),ROW(),0))</f>
        <v>0</v>
      </c>
      <c r="AC96" s="41"/>
      <c r="AD96" s="41"/>
      <c r="AE96" s="13" t="str">
        <f t="shared" si="42"/>
        <v/>
      </c>
      <c r="AF96" s="23" t="str">
        <f t="shared" si="43"/>
        <v/>
      </c>
      <c r="AG96" s="34" t="str">
        <f t="shared" si="44"/>
        <v/>
      </c>
      <c r="AH96" s="18">
        <f>IF(OR(AC96="",AC97=""),0,IF(AND(AC96&gt;=Parametri!$B$11,AD96&gt;=Parametri!$B$10,AD97&lt;Parametri!$B$10),ROW(),0))</f>
        <v>0</v>
      </c>
    </row>
    <row r="97" spans="1:34" x14ac:dyDescent="0.25">
      <c r="A97" s="41"/>
      <c r="B97" s="41"/>
      <c r="C97" s="13" t="str">
        <f t="shared" si="30"/>
        <v/>
      </c>
      <c r="D97" s="23" t="str">
        <f t="shared" si="31"/>
        <v/>
      </c>
      <c r="E97" s="34" t="str">
        <f t="shared" si="32"/>
        <v/>
      </c>
      <c r="F97" s="18">
        <f>IF(OR(A97="",A98=""),0,IF(AND(A97&gt;=Parametri!$B$11,B97&gt;=Parametri!$B$10,B98&lt;Parametri!$B$10),ROW(),0))</f>
        <v>0</v>
      </c>
      <c r="H97" s="41"/>
      <c r="I97" s="41"/>
      <c r="J97" s="13" t="str">
        <f t="shared" si="33"/>
        <v/>
      </c>
      <c r="K97" s="23" t="str">
        <f t="shared" si="34"/>
        <v/>
      </c>
      <c r="L97" s="34" t="str">
        <f t="shared" si="35"/>
        <v/>
      </c>
      <c r="M97" s="18">
        <f>IF(OR(H97="",H98=""),0,IF(AND(H97&gt;=Parametri!$B$11,I97&gt;=Parametri!$B$10,I98&lt;Parametri!$B$10),ROW(),0))</f>
        <v>0</v>
      </c>
      <c r="O97" s="41"/>
      <c r="P97" s="41"/>
      <c r="Q97" s="13" t="str">
        <f t="shared" si="36"/>
        <v/>
      </c>
      <c r="R97" s="23" t="str">
        <f t="shared" si="37"/>
        <v/>
      </c>
      <c r="S97" s="34" t="str">
        <f t="shared" si="38"/>
        <v/>
      </c>
      <c r="T97" s="18">
        <f>IF(OR(O97="",O98=""),0,IF(AND(O97&gt;=Parametri!$B$11,P97&gt;=Parametri!$B$10,P98&lt;Parametri!$B$10),ROW(),0))</f>
        <v>0</v>
      </c>
      <c r="V97" s="41"/>
      <c r="W97" s="41"/>
      <c r="X97" s="13" t="str">
        <f t="shared" si="39"/>
        <v/>
      </c>
      <c r="Y97" s="23" t="str">
        <f t="shared" si="40"/>
        <v/>
      </c>
      <c r="Z97" s="34" t="str">
        <f t="shared" si="41"/>
        <v/>
      </c>
      <c r="AA97" s="18">
        <f>IF(OR(V97="",V98=""),0,IF(AND(V97&gt;=Parametri!$B$11,W97&gt;=Parametri!$B$10,W98&lt;Parametri!$B$10),ROW(),0))</f>
        <v>0</v>
      </c>
      <c r="AC97" s="41"/>
      <c r="AD97" s="41"/>
      <c r="AE97" s="13" t="str">
        <f t="shared" si="42"/>
        <v/>
      </c>
      <c r="AF97" s="23" t="str">
        <f t="shared" si="43"/>
        <v/>
      </c>
      <c r="AG97" s="34" t="str">
        <f t="shared" si="44"/>
        <v/>
      </c>
      <c r="AH97" s="18">
        <f>IF(OR(AC97="",AC98=""),0,IF(AND(AC97&gt;=Parametri!$B$11,AD97&gt;=Parametri!$B$10,AD98&lt;Parametri!$B$10),ROW(),0))</f>
        <v>0</v>
      </c>
    </row>
    <row r="98" spans="1:34" x14ac:dyDescent="0.25">
      <c r="A98" s="41"/>
      <c r="B98" s="41"/>
      <c r="C98" s="13" t="str">
        <f t="shared" si="30"/>
        <v/>
      </c>
      <c r="D98" s="23" t="str">
        <f t="shared" si="31"/>
        <v/>
      </c>
      <c r="E98" s="34" t="str">
        <f t="shared" si="32"/>
        <v/>
      </c>
      <c r="F98" s="18">
        <f>IF(OR(A98="",A99=""),0,IF(AND(A98&gt;=Parametri!$B$11,B98&gt;=Parametri!$B$10,B99&lt;Parametri!$B$10),ROW(),0))</f>
        <v>0</v>
      </c>
      <c r="H98" s="41"/>
      <c r="I98" s="41"/>
      <c r="J98" s="13" t="str">
        <f t="shared" si="33"/>
        <v/>
      </c>
      <c r="K98" s="23" t="str">
        <f t="shared" si="34"/>
        <v/>
      </c>
      <c r="L98" s="34" t="str">
        <f t="shared" si="35"/>
        <v/>
      </c>
      <c r="M98" s="18">
        <f>IF(OR(H98="",H99=""),0,IF(AND(H98&gt;=Parametri!$B$11,I98&gt;=Parametri!$B$10,I99&lt;Parametri!$B$10),ROW(),0))</f>
        <v>0</v>
      </c>
      <c r="O98" s="41"/>
      <c r="P98" s="41"/>
      <c r="Q98" s="13" t="str">
        <f t="shared" si="36"/>
        <v/>
      </c>
      <c r="R98" s="23" t="str">
        <f t="shared" si="37"/>
        <v/>
      </c>
      <c r="S98" s="34" t="str">
        <f t="shared" si="38"/>
        <v/>
      </c>
      <c r="T98" s="18">
        <f>IF(OR(O98="",O99=""),0,IF(AND(O98&gt;=Parametri!$B$11,P98&gt;=Parametri!$B$10,P99&lt;Parametri!$B$10),ROW(),0))</f>
        <v>0</v>
      </c>
      <c r="V98" s="41"/>
      <c r="W98" s="41"/>
      <c r="X98" s="13" t="str">
        <f t="shared" si="39"/>
        <v/>
      </c>
      <c r="Y98" s="23" t="str">
        <f t="shared" si="40"/>
        <v/>
      </c>
      <c r="Z98" s="34" t="str">
        <f t="shared" si="41"/>
        <v/>
      </c>
      <c r="AA98" s="18">
        <f>IF(OR(V98="",V99=""),0,IF(AND(V98&gt;=Parametri!$B$11,W98&gt;=Parametri!$B$10,W99&lt;Parametri!$B$10),ROW(),0))</f>
        <v>0</v>
      </c>
      <c r="AC98" s="41"/>
      <c r="AD98" s="41"/>
      <c r="AE98" s="13" t="str">
        <f t="shared" si="42"/>
        <v/>
      </c>
      <c r="AF98" s="23" t="str">
        <f t="shared" si="43"/>
        <v/>
      </c>
      <c r="AG98" s="34" t="str">
        <f t="shared" si="44"/>
        <v/>
      </c>
      <c r="AH98" s="18">
        <f>IF(OR(AC98="",AC99=""),0,IF(AND(AC98&gt;=Parametri!$B$11,AD98&gt;=Parametri!$B$10,AD99&lt;Parametri!$B$10),ROW(),0))</f>
        <v>0</v>
      </c>
    </row>
    <row r="99" spans="1:34" x14ac:dyDescent="0.25">
      <c r="A99" s="41"/>
      <c r="B99" s="41"/>
      <c r="C99" s="13" t="str">
        <f t="shared" si="30"/>
        <v/>
      </c>
      <c r="D99" s="23" t="str">
        <f t="shared" si="31"/>
        <v/>
      </c>
      <c r="E99" s="34" t="str">
        <f t="shared" si="32"/>
        <v/>
      </c>
      <c r="F99" s="18">
        <f>IF(OR(A99="",A100=""),0,IF(AND(A99&gt;=Parametri!$B$11,B99&gt;=Parametri!$B$10,B100&lt;Parametri!$B$10),ROW(),0))</f>
        <v>0</v>
      </c>
      <c r="H99" s="41"/>
      <c r="I99" s="41"/>
      <c r="J99" s="13" t="str">
        <f t="shared" si="33"/>
        <v/>
      </c>
      <c r="K99" s="23" t="str">
        <f t="shared" si="34"/>
        <v/>
      </c>
      <c r="L99" s="34" t="str">
        <f t="shared" si="35"/>
        <v/>
      </c>
      <c r="M99" s="18">
        <f>IF(OR(H99="",H100=""),0,IF(AND(H99&gt;=Parametri!$B$11,I99&gt;=Parametri!$B$10,I100&lt;Parametri!$B$10),ROW(),0))</f>
        <v>0</v>
      </c>
      <c r="O99" s="41"/>
      <c r="P99" s="41"/>
      <c r="Q99" s="13" t="str">
        <f t="shared" si="36"/>
        <v/>
      </c>
      <c r="R99" s="23" t="str">
        <f t="shared" si="37"/>
        <v/>
      </c>
      <c r="S99" s="34" t="str">
        <f t="shared" si="38"/>
        <v/>
      </c>
      <c r="T99" s="18">
        <f>IF(OR(O99="",O100=""),0,IF(AND(O99&gt;=Parametri!$B$11,P99&gt;=Parametri!$B$10,P100&lt;Parametri!$B$10),ROW(),0))</f>
        <v>0</v>
      </c>
      <c r="V99" s="41"/>
      <c r="W99" s="41"/>
      <c r="X99" s="13" t="str">
        <f t="shared" si="39"/>
        <v/>
      </c>
      <c r="Y99" s="23" t="str">
        <f t="shared" si="40"/>
        <v/>
      </c>
      <c r="Z99" s="34" t="str">
        <f t="shared" si="41"/>
        <v/>
      </c>
      <c r="AA99" s="18">
        <f>IF(OR(V99="",V100=""),0,IF(AND(V99&gt;=Parametri!$B$11,W99&gt;=Parametri!$B$10,W100&lt;Parametri!$B$10),ROW(),0))</f>
        <v>0</v>
      </c>
      <c r="AC99" s="41"/>
      <c r="AD99" s="41"/>
      <c r="AE99" s="13" t="str">
        <f t="shared" si="42"/>
        <v/>
      </c>
      <c r="AF99" s="23" t="str">
        <f t="shared" si="43"/>
        <v/>
      </c>
      <c r="AG99" s="34" t="str">
        <f t="shared" si="44"/>
        <v/>
      </c>
      <c r="AH99" s="18">
        <f>IF(OR(AC99="",AC100=""),0,IF(AND(AC99&gt;=Parametri!$B$11,AD99&gt;=Parametri!$B$10,AD100&lt;Parametri!$B$10),ROW(),0))</f>
        <v>0</v>
      </c>
    </row>
    <row r="100" spans="1:34" x14ac:dyDescent="0.25">
      <c r="A100" s="41"/>
      <c r="B100" s="41"/>
      <c r="C100" s="13" t="str">
        <f t="shared" si="30"/>
        <v/>
      </c>
      <c r="D100" s="23" t="str">
        <f t="shared" si="31"/>
        <v/>
      </c>
      <c r="E100" s="34" t="str">
        <f t="shared" si="32"/>
        <v/>
      </c>
      <c r="F100" s="18">
        <f>IF(OR(A100="",A101=""),0,IF(AND(A100&gt;=Parametri!$B$11,B100&gt;=Parametri!$B$10,B101&lt;Parametri!$B$10),ROW(),0))</f>
        <v>0</v>
      </c>
      <c r="H100" s="41"/>
      <c r="I100" s="41"/>
      <c r="J100" s="13" t="str">
        <f t="shared" si="33"/>
        <v/>
      </c>
      <c r="K100" s="23" t="str">
        <f t="shared" si="34"/>
        <v/>
      </c>
      <c r="L100" s="34" t="str">
        <f t="shared" si="35"/>
        <v/>
      </c>
      <c r="M100" s="18">
        <f>IF(OR(H100="",H101=""),0,IF(AND(H100&gt;=Parametri!$B$11,I100&gt;=Parametri!$B$10,I101&lt;Parametri!$B$10),ROW(),0))</f>
        <v>0</v>
      </c>
      <c r="O100" s="41"/>
      <c r="P100" s="41"/>
      <c r="Q100" s="13" t="str">
        <f t="shared" si="36"/>
        <v/>
      </c>
      <c r="R100" s="23" t="str">
        <f t="shared" si="37"/>
        <v/>
      </c>
      <c r="S100" s="34" t="str">
        <f t="shared" si="38"/>
        <v/>
      </c>
      <c r="T100" s="18">
        <f>IF(OR(O100="",O101=""),0,IF(AND(O100&gt;=Parametri!$B$11,P100&gt;=Parametri!$B$10,P101&lt;Parametri!$B$10),ROW(),0))</f>
        <v>0</v>
      </c>
      <c r="V100" s="41"/>
      <c r="W100" s="41"/>
      <c r="X100" s="13" t="str">
        <f t="shared" si="39"/>
        <v/>
      </c>
      <c r="Y100" s="23" t="str">
        <f t="shared" si="40"/>
        <v/>
      </c>
      <c r="Z100" s="34" t="str">
        <f t="shared" si="41"/>
        <v/>
      </c>
      <c r="AA100" s="18">
        <f>IF(OR(V100="",V101=""),0,IF(AND(V100&gt;=Parametri!$B$11,W100&gt;=Parametri!$B$10,W101&lt;Parametri!$B$10),ROW(),0))</f>
        <v>0</v>
      </c>
      <c r="AC100" s="41"/>
      <c r="AD100" s="41"/>
      <c r="AE100" s="13" t="str">
        <f t="shared" si="42"/>
        <v/>
      </c>
      <c r="AF100" s="23" t="str">
        <f t="shared" si="43"/>
        <v/>
      </c>
      <c r="AG100" s="34" t="str">
        <f t="shared" si="44"/>
        <v/>
      </c>
      <c r="AH100" s="18">
        <f>IF(OR(AC100="",AC101=""),0,IF(AND(AC100&gt;=Parametri!$B$11,AD100&gt;=Parametri!$B$10,AD101&lt;Parametri!$B$10),ROW(),0))</f>
        <v>0</v>
      </c>
    </row>
    <row r="101" spans="1:34" x14ac:dyDescent="0.25">
      <c r="A101" s="41"/>
      <c r="B101" s="41"/>
      <c r="C101" s="13" t="str">
        <f t="shared" si="30"/>
        <v/>
      </c>
      <c r="D101" s="23" t="str">
        <f t="shared" si="31"/>
        <v/>
      </c>
      <c r="E101" s="34" t="str">
        <f t="shared" si="32"/>
        <v/>
      </c>
      <c r="F101" s="18">
        <f>IF(OR(A101="",A102=""),0,IF(AND(A101&gt;=Parametri!$B$11,B101&gt;=Parametri!$B$10,B102&lt;Parametri!$B$10),ROW(),0))</f>
        <v>0</v>
      </c>
      <c r="H101" s="41"/>
      <c r="I101" s="41"/>
      <c r="J101" s="13" t="str">
        <f t="shared" si="33"/>
        <v/>
      </c>
      <c r="K101" s="23" t="str">
        <f t="shared" si="34"/>
        <v/>
      </c>
      <c r="L101" s="34" t="str">
        <f t="shared" si="35"/>
        <v/>
      </c>
      <c r="M101" s="18">
        <f>IF(OR(H101="",H102=""),0,IF(AND(H101&gt;=Parametri!$B$11,I101&gt;=Parametri!$B$10,I102&lt;Parametri!$B$10),ROW(),0))</f>
        <v>0</v>
      </c>
      <c r="O101" s="41"/>
      <c r="P101" s="41"/>
      <c r="Q101" s="13" t="str">
        <f t="shared" si="36"/>
        <v/>
      </c>
      <c r="R101" s="23" t="str">
        <f t="shared" si="37"/>
        <v/>
      </c>
      <c r="S101" s="34" t="str">
        <f t="shared" si="38"/>
        <v/>
      </c>
      <c r="T101" s="18">
        <f>IF(OR(O101="",O102=""),0,IF(AND(O101&gt;=Parametri!$B$11,P101&gt;=Parametri!$B$10,P102&lt;Parametri!$B$10),ROW(),0))</f>
        <v>0</v>
      </c>
      <c r="V101" s="41"/>
      <c r="W101" s="41"/>
      <c r="X101" s="13" t="str">
        <f t="shared" si="39"/>
        <v/>
      </c>
      <c r="Y101" s="23" t="str">
        <f t="shared" si="40"/>
        <v/>
      </c>
      <c r="Z101" s="34" t="str">
        <f t="shared" si="41"/>
        <v/>
      </c>
      <c r="AA101" s="18">
        <f>IF(OR(V101="",V102=""),0,IF(AND(V101&gt;=Parametri!$B$11,W101&gt;=Parametri!$B$10,W102&lt;Parametri!$B$10),ROW(),0))</f>
        <v>0</v>
      </c>
      <c r="AC101" s="41"/>
      <c r="AD101" s="41"/>
      <c r="AE101" s="13" t="str">
        <f t="shared" si="42"/>
        <v/>
      </c>
      <c r="AF101" s="23" t="str">
        <f t="shared" si="43"/>
        <v/>
      </c>
      <c r="AG101" s="34" t="str">
        <f t="shared" si="44"/>
        <v/>
      </c>
      <c r="AH101" s="18">
        <f>IF(OR(AC101="",AC102=""),0,IF(AND(AC101&gt;=Parametri!$B$11,AD101&gt;=Parametri!$B$10,AD102&lt;Parametri!$B$10),ROW(),0))</f>
        <v>0</v>
      </c>
    </row>
    <row r="102" spans="1:34" x14ac:dyDescent="0.25">
      <c r="A102" s="41"/>
      <c r="B102" s="41"/>
      <c r="C102" s="13" t="str">
        <f t="shared" si="30"/>
        <v/>
      </c>
      <c r="D102" s="23" t="str">
        <f t="shared" si="31"/>
        <v/>
      </c>
      <c r="E102" s="34" t="str">
        <f t="shared" si="32"/>
        <v/>
      </c>
      <c r="F102" s="18">
        <f>IF(OR(A102="",A103=""),0,IF(AND(A102&gt;=Parametri!$B$11,B102&gt;=Parametri!$B$10,B103&lt;Parametri!$B$10),ROW(),0))</f>
        <v>0</v>
      </c>
      <c r="H102" s="41"/>
      <c r="I102" s="41"/>
      <c r="J102" s="13" t="str">
        <f t="shared" si="33"/>
        <v/>
      </c>
      <c r="K102" s="23" t="str">
        <f t="shared" si="34"/>
        <v/>
      </c>
      <c r="L102" s="34" t="str">
        <f t="shared" si="35"/>
        <v/>
      </c>
      <c r="M102" s="18">
        <f>IF(OR(H102="",H103=""),0,IF(AND(H102&gt;=Parametri!$B$11,I102&gt;=Parametri!$B$10,I103&lt;Parametri!$B$10),ROW(),0))</f>
        <v>0</v>
      </c>
      <c r="O102" s="41"/>
      <c r="P102" s="41"/>
      <c r="Q102" s="13" t="str">
        <f t="shared" si="36"/>
        <v/>
      </c>
      <c r="R102" s="23" t="str">
        <f t="shared" si="37"/>
        <v/>
      </c>
      <c r="S102" s="34" t="str">
        <f t="shared" si="38"/>
        <v/>
      </c>
      <c r="T102" s="18">
        <f>IF(OR(O102="",O103=""),0,IF(AND(O102&gt;=Parametri!$B$11,P102&gt;=Parametri!$B$10,P103&lt;Parametri!$B$10),ROW(),0))</f>
        <v>0</v>
      </c>
      <c r="V102" s="41"/>
      <c r="W102" s="41"/>
      <c r="X102" s="13" t="str">
        <f t="shared" si="39"/>
        <v/>
      </c>
      <c r="Y102" s="23" t="str">
        <f t="shared" si="40"/>
        <v/>
      </c>
      <c r="Z102" s="34" t="str">
        <f t="shared" si="41"/>
        <v/>
      </c>
      <c r="AA102" s="18">
        <f>IF(OR(V102="",V103=""),0,IF(AND(V102&gt;=Parametri!$B$11,W102&gt;=Parametri!$B$10,W103&lt;Parametri!$B$10),ROW(),0))</f>
        <v>0</v>
      </c>
      <c r="AC102" s="41"/>
      <c r="AD102" s="41"/>
      <c r="AE102" s="13" t="str">
        <f t="shared" si="42"/>
        <v/>
      </c>
      <c r="AF102" s="23" t="str">
        <f t="shared" si="43"/>
        <v/>
      </c>
      <c r="AG102" s="34" t="str">
        <f t="shared" si="44"/>
        <v/>
      </c>
      <c r="AH102" s="18">
        <f>IF(OR(AC102="",AC103=""),0,IF(AND(AC102&gt;=Parametri!$B$11,AD102&gt;=Parametri!$B$10,AD103&lt;Parametri!$B$10),ROW(),0))</f>
        <v>0</v>
      </c>
    </row>
    <row r="103" spans="1:34" x14ac:dyDescent="0.25">
      <c r="A103" s="41"/>
      <c r="B103" s="41"/>
      <c r="C103" s="13" t="str">
        <f t="shared" si="30"/>
        <v/>
      </c>
      <c r="D103" s="23" t="str">
        <f t="shared" si="31"/>
        <v/>
      </c>
      <c r="E103" s="34" t="str">
        <f t="shared" si="32"/>
        <v/>
      </c>
      <c r="F103" s="18">
        <f>IF(OR(A103="",A104=""),0,IF(AND(A103&gt;=Parametri!$B$11,B103&gt;=Parametri!$B$10,B104&lt;Parametri!$B$10),ROW(),0))</f>
        <v>0</v>
      </c>
      <c r="H103" s="41"/>
      <c r="I103" s="41"/>
      <c r="J103" s="13" t="str">
        <f t="shared" si="33"/>
        <v/>
      </c>
      <c r="K103" s="23" t="str">
        <f t="shared" si="34"/>
        <v/>
      </c>
      <c r="L103" s="34" t="str">
        <f t="shared" si="35"/>
        <v/>
      </c>
      <c r="M103" s="18">
        <f>IF(OR(H103="",H104=""),0,IF(AND(H103&gt;=Parametri!$B$11,I103&gt;=Parametri!$B$10,I104&lt;Parametri!$B$10),ROW(),0))</f>
        <v>0</v>
      </c>
      <c r="O103" s="41"/>
      <c r="P103" s="41"/>
      <c r="Q103" s="13" t="str">
        <f t="shared" si="36"/>
        <v/>
      </c>
      <c r="R103" s="23" t="str">
        <f t="shared" si="37"/>
        <v/>
      </c>
      <c r="S103" s="34" t="str">
        <f t="shared" si="38"/>
        <v/>
      </c>
      <c r="T103" s="18">
        <f>IF(OR(O103="",O104=""),0,IF(AND(O103&gt;=Parametri!$B$11,P103&gt;=Parametri!$B$10,P104&lt;Parametri!$B$10),ROW(),0))</f>
        <v>0</v>
      </c>
      <c r="V103" s="41"/>
      <c r="W103" s="41"/>
      <c r="X103" s="13" t="str">
        <f t="shared" si="39"/>
        <v/>
      </c>
      <c r="Y103" s="23" t="str">
        <f t="shared" si="40"/>
        <v/>
      </c>
      <c r="Z103" s="34" t="str">
        <f t="shared" si="41"/>
        <v/>
      </c>
      <c r="AA103" s="18">
        <f>IF(OR(V103="",V104=""),0,IF(AND(V103&gt;=Parametri!$B$11,W103&gt;=Parametri!$B$10,W104&lt;Parametri!$B$10),ROW(),0))</f>
        <v>0</v>
      </c>
      <c r="AC103" s="41"/>
      <c r="AD103" s="41"/>
      <c r="AE103" s="13" t="str">
        <f t="shared" si="42"/>
        <v/>
      </c>
      <c r="AF103" s="23" t="str">
        <f t="shared" si="43"/>
        <v/>
      </c>
      <c r="AG103" s="34" t="str">
        <f t="shared" si="44"/>
        <v/>
      </c>
      <c r="AH103" s="18">
        <f>IF(OR(AC103="",AC104=""),0,IF(AND(AC103&gt;=Parametri!$B$11,AD103&gt;=Parametri!$B$10,AD104&lt;Parametri!$B$10),ROW(),0))</f>
        <v>0</v>
      </c>
    </row>
    <row r="104" spans="1:34" x14ac:dyDescent="0.25">
      <c r="A104" s="41"/>
      <c r="B104" s="41"/>
      <c r="C104" s="13" t="str">
        <f t="shared" si="30"/>
        <v/>
      </c>
      <c r="D104" s="23" t="str">
        <f t="shared" si="31"/>
        <v/>
      </c>
      <c r="E104" s="34" t="str">
        <f t="shared" si="32"/>
        <v/>
      </c>
      <c r="F104" s="18">
        <f>IF(OR(A104="",A105=""),0,IF(AND(A104&gt;=Parametri!$B$11,B104&gt;=Parametri!$B$10,B105&lt;Parametri!$B$10),ROW(),0))</f>
        <v>0</v>
      </c>
      <c r="H104" s="41"/>
      <c r="I104" s="41"/>
      <c r="J104" s="13" t="str">
        <f t="shared" si="33"/>
        <v/>
      </c>
      <c r="K104" s="23" t="str">
        <f t="shared" si="34"/>
        <v/>
      </c>
      <c r="L104" s="34" t="str">
        <f t="shared" si="35"/>
        <v/>
      </c>
      <c r="M104" s="18">
        <f>IF(OR(H104="",H105=""),0,IF(AND(H104&gt;=Parametri!$B$11,I104&gt;=Parametri!$B$10,I105&lt;Parametri!$B$10),ROW(),0))</f>
        <v>0</v>
      </c>
      <c r="O104" s="41"/>
      <c r="P104" s="41"/>
      <c r="Q104" s="13" t="str">
        <f t="shared" si="36"/>
        <v/>
      </c>
      <c r="R104" s="23" t="str">
        <f t="shared" si="37"/>
        <v/>
      </c>
      <c r="S104" s="34" t="str">
        <f t="shared" si="38"/>
        <v/>
      </c>
      <c r="T104" s="18">
        <f>IF(OR(O104="",O105=""),0,IF(AND(O104&gt;=Parametri!$B$11,P104&gt;=Parametri!$B$10,P105&lt;Parametri!$B$10),ROW(),0))</f>
        <v>0</v>
      </c>
      <c r="V104" s="41"/>
      <c r="W104" s="41"/>
      <c r="X104" s="13" t="str">
        <f t="shared" si="39"/>
        <v/>
      </c>
      <c r="Y104" s="23" t="str">
        <f t="shared" si="40"/>
        <v/>
      </c>
      <c r="Z104" s="34" t="str">
        <f t="shared" si="41"/>
        <v/>
      </c>
      <c r="AA104" s="18">
        <f>IF(OR(V104="",V105=""),0,IF(AND(V104&gt;=Parametri!$B$11,W104&gt;=Parametri!$B$10,W105&lt;Parametri!$B$10),ROW(),0))</f>
        <v>0</v>
      </c>
      <c r="AC104" s="41"/>
      <c r="AD104" s="41"/>
      <c r="AE104" s="13" t="str">
        <f t="shared" si="42"/>
        <v/>
      </c>
      <c r="AF104" s="23" t="str">
        <f t="shared" si="43"/>
        <v/>
      </c>
      <c r="AG104" s="34" t="str">
        <f t="shared" si="44"/>
        <v/>
      </c>
      <c r="AH104" s="18">
        <f>IF(OR(AC104="",AC105=""),0,IF(AND(AC104&gt;=Parametri!$B$11,AD104&gt;=Parametri!$B$10,AD105&lt;Parametri!$B$10),ROW(),0))</f>
        <v>0</v>
      </c>
    </row>
    <row r="105" spans="1:34" x14ac:dyDescent="0.25">
      <c r="A105" s="41"/>
      <c r="B105" s="41"/>
      <c r="C105" s="13" t="str">
        <f t="shared" ref="C105:C136" si="45">IF(OR(A105="",B$4=""),"",B105/B$4)</f>
        <v/>
      </c>
      <c r="D105" s="23" t="str">
        <f t="shared" si="31"/>
        <v/>
      </c>
      <c r="E105" s="34" t="str">
        <f t="shared" si="32"/>
        <v/>
      </c>
      <c r="F105" s="18">
        <f>IF(OR(A105="",A106=""),0,IF(AND(A105&gt;=Parametri!$B$11,B105&gt;=Parametri!$B$10,B106&lt;Parametri!$B$10),ROW(),0))</f>
        <v>0</v>
      </c>
      <c r="H105" s="41"/>
      <c r="I105" s="41"/>
      <c r="J105" s="13" t="str">
        <f t="shared" ref="J105:J136" si="46">IF(OR(H105="",I$4=""),"",I105/I$4)</f>
        <v/>
      </c>
      <c r="K105" s="23" t="str">
        <f t="shared" si="34"/>
        <v/>
      </c>
      <c r="L105" s="34" t="str">
        <f t="shared" si="35"/>
        <v/>
      </c>
      <c r="M105" s="18">
        <f>IF(OR(H105="",H106=""),0,IF(AND(H105&gt;=Parametri!$B$11,I105&gt;=Parametri!$B$10,I106&lt;Parametri!$B$10),ROW(),0))</f>
        <v>0</v>
      </c>
      <c r="O105" s="41"/>
      <c r="P105" s="41"/>
      <c r="Q105" s="13" t="str">
        <f t="shared" ref="Q105:Q136" si="47">IF(OR(O105="",P$4=""),"",P105/P$4)</f>
        <v/>
      </c>
      <c r="R105" s="23" t="str">
        <f t="shared" si="37"/>
        <v/>
      </c>
      <c r="S105" s="34" t="str">
        <f t="shared" si="38"/>
        <v/>
      </c>
      <c r="T105" s="18">
        <f>IF(OR(O105="",O106=""),0,IF(AND(O105&gt;=Parametri!$B$11,P105&gt;=Parametri!$B$10,P106&lt;Parametri!$B$10),ROW(),0))</f>
        <v>0</v>
      </c>
      <c r="V105" s="41"/>
      <c r="W105" s="41"/>
      <c r="X105" s="13" t="str">
        <f t="shared" ref="X105:X136" si="48">IF(OR(V105="",W$4=""),"",W105/W$4)</f>
        <v/>
      </c>
      <c r="Y105" s="23" t="str">
        <f t="shared" si="40"/>
        <v/>
      </c>
      <c r="Z105" s="34" t="str">
        <f t="shared" si="41"/>
        <v/>
      </c>
      <c r="AA105" s="18">
        <f>IF(OR(V105="",V106=""),0,IF(AND(V105&gt;=Parametri!$B$11,W105&gt;=Parametri!$B$10,W106&lt;Parametri!$B$10),ROW(),0))</f>
        <v>0</v>
      </c>
      <c r="AC105" s="41"/>
      <c r="AD105" s="41"/>
      <c r="AE105" s="13" t="str">
        <f t="shared" ref="AE105:AE136" si="49">IF(OR(AC105="",AD$4=""),"",AD105/AD$4)</f>
        <v/>
      </c>
      <c r="AF105" s="23" t="str">
        <f t="shared" si="43"/>
        <v/>
      </c>
      <c r="AG105" s="34" t="str">
        <f t="shared" si="44"/>
        <v/>
      </c>
      <c r="AH105" s="18">
        <f>IF(OR(AC105="",AC106=""),0,IF(AND(AC105&gt;=Parametri!$B$11,AD105&gt;=Parametri!$B$10,AD106&lt;Parametri!$B$10),ROW(),0))</f>
        <v>0</v>
      </c>
    </row>
    <row r="106" spans="1:34" x14ac:dyDescent="0.25">
      <c r="A106" s="41"/>
      <c r="B106" s="41"/>
      <c r="C106" s="13" t="str">
        <f t="shared" si="45"/>
        <v/>
      </c>
      <c r="D106" s="23" t="str">
        <f t="shared" si="31"/>
        <v/>
      </c>
      <c r="E106" s="34" t="str">
        <f t="shared" si="32"/>
        <v/>
      </c>
      <c r="F106" s="18">
        <f>IF(OR(A106="",A107=""),0,IF(AND(A106&gt;=Parametri!$B$11,B106&gt;=Parametri!$B$10,B107&lt;Parametri!$B$10),ROW(),0))</f>
        <v>0</v>
      </c>
      <c r="H106" s="41"/>
      <c r="I106" s="41"/>
      <c r="J106" s="13" t="str">
        <f t="shared" si="46"/>
        <v/>
      </c>
      <c r="K106" s="23" t="str">
        <f t="shared" si="34"/>
        <v/>
      </c>
      <c r="L106" s="34" t="str">
        <f t="shared" si="35"/>
        <v/>
      </c>
      <c r="M106" s="18">
        <f>IF(OR(H106="",H107=""),0,IF(AND(H106&gt;=Parametri!$B$11,I106&gt;=Parametri!$B$10,I107&lt;Parametri!$B$10),ROW(),0))</f>
        <v>0</v>
      </c>
      <c r="O106" s="41"/>
      <c r="P106" s="41"/>
      <c r="Q106" s="13" t="str">
        <f t="shared" si="47"/>
        <v/>
      </c>
      <c r="R106" s="23" t="str">
        <f t="shared" si="37"/>
        <v/>
      </c>
      <c r="S106" s="34" t="str">
        <f t="shared" si="38"/>
        <v/>
      </c>
      <c r="T106" s="18">
        <f>IF(OR(O106="",O107=""),0,IF(AND(O106&gt;=Parametri!$B$11,P106&gt;=Parametri!$B$10,P107&lt;Parametri!$B$10),ROW(),0))</f>
        <v>0</v>
      </c>
      <c r="V106" s="41"/>
      <c r="W106" s="41"/>
      <c r="X106" s="13" t="str">
        <f t="shared" si="48"/>
        <v/>
      </c>
      <c r="Y106" s="23" t="str">
        <f t="shared" si="40"/>
        <v/>
      </c>
      <c r="Z106" s="34" t="str">
        <f t="shared" si="41"/>
        <v/>
      </c>
      <c r="AA106" s="18">
        <f>IF(OR(V106="",V107=""),0,IF(AND(V106&gt;=Parametri!$B$11,W106&gt;=Parametri!$B$10,W107&lt;Parametri!$B$10),ROW(),0))</f>
        <v>0</v>
      </c>
      <c r="AC106" s="41"/>
      <c r="AD106" s="41"/>
      <c r="AE106" s="13" t="str">
        <f t="shared" si="49"/>
        <v/>
      </c>
      <c r="AF106" s="23" t="str">
        <f t="shared" si="43"/>
        <v/>
      </c>
      <c r="AG106" s="34" t="str">
        <f t="shared" si="44"/>
        <v/>
      </c>
      <c r="AH106" s="18">
        <f>IF(OR(AC106="",AC107=""),0,IF(AND(AC106&gt;=Parametri!$B$11,AD106&gt;=Parametri!$B$10,AD107&lt;Parametri!$B$10),ROW(),0))</f>
        <v>0</v>
      </c>
    </row>
    <row r="107" spans="1:34" x14ac:dyDescent="0.25">
      <c r="A107" s="41"/>
      <c r="B107" s="41"/>
      <c r="C107" s="13" t="str">
        <f t="shared" si="45"/>
        <v/>
      </c>
      <c r="D107" s="23" t="str">
        <f t="shared" si="31"/>
        <v/>
      </c>
      <c r="E107" s="34" t="str">
        <f t="shared" si="32"/>
        <v/>
      </c>
      <c r="F107" s="18">
        <f>IF(OR(A107="",A108=""),0,IF(AND(A107&gt;=Parametri!$B$11,B107&gt;=Parametri!$B$10,B108&lt;Parametri!$B$10),ROW(),0))</f>
        <v>0</v>
      </c>
      <c r="H107" s="41"/>
      <c r="I107" s="41"/>
      <c r="J107" s="13" t="str">
        <f t="shared" si="46"/>
        <v/>
      </c>
      <c r="K107" s="23" t="str">
        <f t="shared" si="34"/>
        <v/>
      </c>
      <c r="L107" s="34" t="str">
        <f t="shared" si="35"/>
        <v/>
      </c>
      <c r="M107" s="18">
        <f>IF(OR(H107="",H108=""),0,IF(AND(H107&gt;=Parametri!$B$11,I107&gt;=Parametri!$B$10,I108&lt;Parametri!$B$10),ROW(),0))</f>
        <v>0</v>
      </c>
      <c r="O107" s="41"/>
      <c r="P107" s="41"/>
      <c r="Q107" s="13" t="str">
        <f t="shared" si="47"/>
        <v/>
      </c>
      <c r="R107" s="23" t="str">
        <f t="shared" si="37"/>
        <v/>
      </c>
      <c r="S107" s="34" t="str">
        <f t="shared" si="38"/>
        <v/>
      </c>
      <c r="T107" s="18">
        <f>IF(OR(O107="",O108=""),0,IF(AND(O107&gt;=Parametri!$B$11,P107&gt;=Parametri!$B$10,P108&lt;Parametri!$B$10),ROW(),0))</f>
        <v>0</v>
      </c>
      <c r="V107" s="41"/>
      <c r="W107" s="41"/>
      <c r="X107" s="13" t="str">
        <f t="shared" si="48"/>
        <v/>
      </c>
      <c r="Y107" s="23" t="str">
        <f t="shared" si="40"/>
        <v/>
      </c>
      <c r="Z107" s="34" t="str">
        <f t="shared" si="41"/>
        <v/>
      </c>
      <c r="AA107" s="18">
        <f>IF(OR(V107="",V108=""),0,IF(AND(V107&gt;=Parametri!$B$11,W107&gt;=Parametri!$B$10,W108&lt;Parametri!$B$10),ROW(),0))</f>
        <v>0</v>
      </c>
      <c r="AC107" s="41"/>
      <c r="AD107" s="41"/>
      <c r="AE107" s="13" t="str">
        <f t="shared" si="49"/>
        <v/>
      </c>
      <c r="AF107" s="23" t="str">
        <f t="shared" si="43"/>
        <v/>
      </c>
      <c r="AG107" s="34" t="str">
        <f t="shared" si="44"/>
        <v/>
      </c>
      <c r="AH107" s="18">
        <f>IF(OR(AC107="",AC108=""),0,IF(AND(AC107&gt;=Parametri!$B$11,AD107&gt;=Parametri!$B$10,AD108&lt;Parametri!$B$10),ROW(),0))</f>
        <v>0</v>
      </c>
    </row>
    <row r="108" spans="1:34" x14ac:dyDescent="0.25">
      <c r="A108" s="41"/>
      <c r="B108" s="41"/>
      <c r="C108" s="13" t="str">
        <f t="shared" si="45"/>
        <v/>
      </c>
      <c r="D108" s="23" t="str">
        <f t="shared" si="31"/>
        <v/>
      </c>
      <c r="E108" s="34" t="str">
        <f t="shared" si="32"/>
        <v/>
      </c>
      <c r="F108" s="18">
        <f>IF(OR(A108="",A109=""),0,IF(AND(A108&gt;=Parametri!$B$11,B108&gt;=Parametri!$B$10,B109&lt;Parametri!$B$10),ROW(),0))</f>
        <v>0</v>
      </c>
      <c r="H108" s="41"/>
      <c r="I108" s="41"/>
      <c r="J108" s="13" t="str">
        <f t="shared" si="46"/>
        <v/>
      </c>
      <c r="K108" s="23" t="str">
        <f t="shared" si="34"/>
        <v/>
      </c>
      <c r="L108" s="34" t="str">
        <f t="shared" si="35"/>
        <v/>
      </c>
      <c r="M108" s="18">
        <f>IF(OR(H108="",H109=""),0,IF(AND(H108&gt;=Parametri!$B$11,I108&gt;=Parametri!$B$10,I109&lt;Parametri!$B$10),ROW(),0))</f>
        <v>0</v>
      </c>
      <c r="O108" s="41"/>
      <c r="P108" s="41"/>
      <c r="Q108" s="13" t="str">
        <f t="shared" si="47"/>
        <v/>
      </c>
      <c r="R108" s="23" t="str">
        <f t="shared" si="37"/>
        <v/>
      </c>
      <c r="S108" s="34" t="str">
        <f t="shared" si="38"/>
        <v/>
      </c>
      <c r="T108" s="18">
        <f>IF(OR(O108="",O109=""),0,IF(AND(O108&gt;=Parametri!$B$11,P108&gt;=Parametri!$B$10,P109&lt;Parametri!$B$10),ROW(),0))</f>
        <v>0</v>
      </c>
      <c r="V108" s="41"/>
      <c r="W108" s="41"/>
      <c r="X108" s="13" t="str">
        <f t="shared" si="48"/>
        <v/>
      </c>
      <c r="Y108" s="23" t="str">
        <f t="shared" si="40"/>
        <v/>
      </c>
      <c r="Z108" s="34" t="str">
        <f t="shared" si="41"/>
        <v/>
      </c>
      <c r="AA108" s="18">
        <f>IF(OR(V108="",V109=""),0,IF(AND(V108&gt;=Parametri!$B$11,W108&gt;=Parametri!$B$10,W109&lt;Parametri!$B$10),ROW(),0))</f>
        <v>0</v>
      </c>
      <c r="AC108" s="41"/>
      <c r="AD108" s="41"/>
      <c r="AE108" s="13" t="str">
        <f t="shared" si="49"/>
        <v/>
      </c>
      <c r="AF108" s="23" t="str">
        <f t="shared" si="43"/>
        <v/>
      </c>
      <c r="AG108" s="34" t="str">
        <f t="shared" si="44"/>
        <v/>
      </c>
      <c r="AH108" s="18">
        <f>IF(OR(AC108="",AC109=""),0,IF(AND(AC108&gt;=Parametri!$B$11,AD108&gt;=Parametri!$B$10,AD109&lt;Parametri!$B$10),ROW(),0))</f>
        <v>0</v>
      </c>
    </row>
  </sheetData>
  <conditionalFormatting sqref="A9:F108">
    <cfRule type="expression" dxfId="14" priority="2">
      <formula>$F9&gt;0</formula>
    </cfRule>
  </conditionalFormatting>
  <conditionalFormatting sqref="H9:M108">
    <cfRule type="expression" dxfId="12" priority="4">
      <formula>$M9&gt;0</formula>
    </cfRule>
  </conditionalFormatting>
  <conditionalFormatting sqref="O9:T108">
    <cfRule type="expression" dxfId="10" priority="6">
      <formula>$T9&gt;0</formula>
    </cfRule>
  </conditionalFormatting>
  <conditionalFormatting sqref="AC9:AH108">
    <cfRule type="expression" dxfId="6" priority="10">
      <formula>$AH9&gt;0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D00-000003000000}">
            <xm:f>AND($A9&lt;&gt;"",$A9&gt;Parametri!$B$7)</xm:f>
            <x14:dxf>
              <fill>
                <patternFill>
                  <bgColor rgb="FFFCE4D6"/>
                </patternFill>
              </fill>
            </x14:dxf>
          </x14:cfRule>
          <xm:sqref>A9:F108</xm:sqref>
        </x14:conditionalFormatting>
        <x14:conditionalFormatting xmlns:xm="http://schemas.microsoft.com/office/excel/2006/main">
          <x14:cfRule type="expression" priority="5" id="{00000000-000E-0000-0D00-000005000000}">
            <xm:f>AND($H9&lt;&gt;"",$H9&gt;Parametri!$B$7)</xm:f>
            <x14:dxf>
              <fill>
                <patternFill>
                  <bgColor rgb="FFFCE4D6"/>
                </patternFill>
              </fill>
            </x14:dxf>
          </x14:cfRule>
          <xm:sqref>H9:M108</xm:sqref>
        </x14:conditionalFormatting>
        <x14:conditionalFormatting xmlns:xm="http://schemas.microsoft.com/office/excel/2006/main">
          <x14:cfRule type="expression" priority="7" id="{00000000-000E-0000-0D00-000007000000}">
            <xm:f>AND($O9&lt;&gt;"",$O9&gt;Parametri!$B$7)</xm:f>
            <x14:dxf>
              <fill>
                <patternFill>
                  <bgColor rgb="FFFCE4D6"/>
                </patternFill>
              </fill>
            </x14:dxf>
          </x14:cfRule>
          <xm:sqref>O9:T108</xm:sqref>
        </x14:conditionalFormatting>
        <x14:conditionalFormatting xmlns:xm="http://schemas.microsoft.com/office/excel/2006/main">
          <x14:cfRule type="expression" priority="8" id="{00000000-000E-0000-0D00-000008000000}">
            <xm:f>AND($V9&lt;&gt;"",$V9&gt;Parametri!$B$7)</xm:f>
            <x14:dxf>
              <fill>
                <patternFill>
                  <bgColor rgb="FFFCE4D6"/>
                </patternFill>
              </fill>
            </x14:dxf>
          </x14:cfRule>
          <xm:sqref>V9:AA108</xm:sqref>
        </x14:conditionalFormatting>
        <x14:conditionalFormatting xmlns:xm="http://schemas.microsoft.com/office/excel/2006/main">
          <x14:cfRule type="expression" priority="9" id="{00000000-000E-0000-0D00-000009000000}">
            <xm:f>AND($AC9&lt;&gt;"",$AC9&gt;Parametri!$B$7)</xm:f>
            <x14:dxf>
              <fill>
                <patternFill>
                  <bgColor rgb="FFFCE4D6"/>
                </patternFill>
              </fill>
            </x14:dxf>
          </x14:cfRule>
          <xm:sqref>AC9:AH108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65911"/>
  </sheetPr>
  <dimension ref="A1:S309"/>
  <sheetViews>
    <sheetView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30" customWidth="1"/>
    <col min="3" max="3" width="18" customWidth="1"/>
    <col min="4" max="4" width="3" customWidth="1"/>
    <col min="5" max="5" width="13" customWidth="1"/>
    <col min="6" max="6" width="30" customWidth="1"/>
    <col min="7" max="7" width="18" customWidth="1"/>
    <col min="8" max="8" width="3" customWidth="1"/>
    <col min="9" max="9" width="13" customWidth="1"/>
    <col min="10" max="10" width="30" customWidth="1"/>
    <col min="11" max="11" width="18" customWidth="1"/>
    <col min="12" max="12" width="3" customWidth="1"/>
    <col min="13" max="13" width="13" customWidth="1"/>
    <col min="14" max="14" width="30" customWidth="1"/>
    <col min="15" max="15" width="18" customWidth="1"/>
    <col min="16" max="16" width="3" customWidth="1"/>
    <col min="17" max="17" width="13" customWidth="1"/>
    <col min="18" max="18" width="30" customWidth="1"/>
    <col min="19" max="19" width="18" customWidth="1"/>
    <col min="20" max="20" width="3" customWidth="1"/>
  </cols>
  <sheetData>
    <row r="1" spans="1:19" ht="18" x14ac:dyDescent="0.25">
      <c r="A1" s="2" t="s">
        <v>217</v>
      </c>
    </row>
    <row r="2" spans="1:19" x14ac:dyDescent="0.25">
      <c r="A2" s="3" t="s">
        <v>218</v>
      </c>
    </row>
    <row r="4" spans="1:19" x14ac:dyDescent="0.25">
      <c r="A4" s="16" t="s">
        <v>59</v>
      </c>
      <c r="B4" s="12">
        <v>75</v>
      </c>
      <c r="E4" s="16" t="s">
        <v>59</v>
      </c>
      <c r="F4" s="12">
        <v>125</v>
      </c>
      <c r="I4" s="16" t="s">
        <v>59</v>
      </c>
      <c r="J4" s="12">
        <v>175</v>
      </c>
      <c r="M4" s="16" t="s">
        <v>59</v>
      </c>
      <c r="N4" s="12">
        <v>210</v>
      </c>
      <c r="Q4" s="16" t="s">
        <v>59</v>
      </c>
      <c r="R4" s="12"/>
    </row>
    <row r="5" spans="1:19" ht="25.5" x14ac:dyDescent="0.25">
      <c r="A5" s="16" t="s">
        <v>160</v>
      </c>
      <c r="B5" s="13">
        <f>IF(OR(B4="",COUNTIF(A$10:A$309,"&lt;"&amp;0.05)=0),"",MAX(INDEX(B$10:B$309,1):INDEX(B$10:B$309,COUNTIF(A$10:A$309,"&lt;"&amp;0.05))))</f>
        <v>2.7822249079999999</v>
      </c>
      <c r="E5" s="16" t="s">
        <v>160</v>
      </c>
      <c r="F5" s="13">
        <f>IF(OR(F4="",COUNTIF(E$10:E$309,"&lt;"&amp;0.05)=0),"",MAX(INDEX(F$10:F$309,1):INDEX(F$10:F$309,COUNTIF(E$10:E$309,"&lt;"&amp;0.05))))</f>
        <v>4.7634056669234504</v>
      </c>
      <c r="I5" s="16" t="s">
        <v>160</v>
      </c>
      <c r="J5" s="13">
        <f>IF(OR(J4="",COUNTIF(I$10:I$309,"&lt;"&amp;0.05)=0),"",MAX(INDEX(J$10:J$309,1):INDEX(J$10:J$309,COUNTIF(I$10:I$309,"&lt;"&amp;0.05))))</f>
        <v>6.7287249053188196</v>
      </c>
      <c r="M5" s="16" t="s">
        <v>160</v>
      </c>
      <c r="N5" s="13">
        <f>IF(OR(N4="",COUNTIF(M$10:M$309,"&lt;"&amp;0.05)=0),"",MAX(INDEX(N$10:N$309,1):INDEX(N$10:N$309,COUNTIF(M$10:M$309,"&lt;"&amp;0.05))))</f>
        <v>8.1432990620161902</v>
      </c>
      <c r="Q5" s="16" t="s">
        <v>160</v>
      </c>
      <c r="R5" s="13" t="str">
        <f>IF(OR(R4="",COUNTIF(Q$10:Q$309,"&lt;"&amp;0.05)=0),"",MAX(INDEX(R$10:R$309,1):INDEX(R$10:R$309,COUNTIF(Q$10:Q$309,"&lt;"&amp;0.05))))</f>
        <v/>
      </c>
    </row>
    <row r="6" spans="1:19" ht="25.5" x14ac:dyDescent="0.25">
      <c r="A6" s="16" t="s">
        <v>207</v>
      </c>
      <c r="B6" s="34">
        <f>IF(B5="","",B4/3600/B5)</f>
        <v>7.4880119408855979E-3</v>
      </c>
      <c r="E6" s="16" t="s">
        <v>207</v>
      </c>
      <c r="F6" s="34">
        <f>IF(F5="","",F4/3600/F5)</f>
        <v>7.2893691300175006E-3</v>
      </c>
      <c r="I6" s="16" t="s">
        <v>207</v>
      </c>
      <c r="J6" s="34">
        <f>IF(J5="","",J4/3600/J5)</f>
        <v>7.2244164823391348E-3</v>
      </c>
      <c r="M6" s="16" t="s">
        <v>207</v>
      </c>
      <c r="N6" s="34">
        <f>IF(N5="","",N4/3600/N5)</f>
        <v>7.1633539292968876E-3</v>
      </c>
      <c r="Q6" s="16" t="s">
        <v>207</v>
      </c>
      <c r="R6" s="34" t="str">
        <f>IF(R5="","",R4/3600/R5)</f>
        <v/>
      </c>
    </row>
    <row r="7" spans="1:19" ht="25.5" x14ac:dyDescent="0.25">
      <c r="A7" s="16" t="s">
        <v>219</v>
      </c>
      <c r="B7" s="12">
        <v>1</v>
      </c>
      <c r="E7" s="16" t="s">
        <v>219</v>
      </c>
      <c r="F7" s="12">
        <v>1</v>
      </c>
      <c r="I7" s="16" t="s">
        <v>219</v>
      </c>
      <c r="J7" s="12">
        <v>1</v>
      </c>
      <c r="M7" s="16" t="s">
        <v>219</v>
      </c>
      <c r="N7" s="12">
        <v>1</v>
      </c>
      <c r="Q7" s="16" t="s">
        <v>219</v>
      </c>
      <c r="R7" s="12"/>
    </row>
    <row r="8" spans="1:19" ht="38.25" x14ac:dyDescent="0.25">
      <c r="A8" s="16" t="s">
        <v>188</v>
      </c>
      <c r="B8" s="5" t="s">
        <v>220</v>
      </c>
      <c r="E8" s="16" t="s">
        <v>188</v>
      </c>
      <c r="F8" s="5"/>
      <c r="I8" s="16" t="s">
        <v>188</v>
      </c>
      <c r="J8" s="5"/>
      <c r="M8" s="16" t="s">
        <v>188</v>
      </c>
      <c r="N8" s="5"/>
      <c r="Q8" s="16" t="s">
        <v>188</v>
      </c>
      <c r="R8" s="5"/>
    </row>
    <row r="9" spans="1:19" x14ac:dyDescent="0.25">
      <c r="A9" s="4" t="s">
        <v>176</v>
      </c>
      <c r="B9" s="4" t="s">
        <v>209</v>
      </c>
      <c r="C9" s="4" t="s">
        <v>221</v>
      </c>
      <c r="E9" s="4" t="s">
        <v>176</v>
      </c>
      <c r="F9" s="4" t="s">
        <v>209</v>
      </c>
      <c r="G9" s="4" t="s">
        <v>221</v>
      </c>
      <c r="I9" s="4" t="s">
        <v>176</v>
      </c>
      <c r="J9" s="4" t="s">
        <v>209</v>
      </c>
      <c r="K9" s="4" t="s">
        <v>221</v>
      </c>
      <c r="M9" s="4" t="s">
        <v>176</v>
      </c>
      <c r="N9" s="4" t="s">
        <v>209</v>
      </c>
      <c r="O9" s="4" t="s">
        <v>221</v>
      </c>
      <c r="Q9" s="4" t="s">
        <v>176</v>
      </c>
      <c r="R9" s="4" t="s">
        <v>209</v>
      </c>
      <c r="S9" s="4" t="s">
        <v>221</v>
      </c>
    </row>
    <row r="10" spans="1:19" x14ac:dyDescent="0.25">
      <c r="A10" s="42">
        <v>0</v>
      </c>
      <c r="B10" s="43">
        <v>2.676873337</v>
      </c>
      <c r="C10" s="34">
        <f t="shared" ref="C10:C73" si="0">IF(OR(B10="",B$4=""),"",B10/B$4)</f>
        <v>3.5691644493333334E-2</v>
      </c>
      <c r="E10" s="42">
        <v>0</v>
      </c>
      <c r="F10" s="43">
        <v>4.5251056345004104</v>
      </c>
      <c r="G10" s="34">
        <f t="shared" ref="G10:G73" si="1">IF(OR(F10="",F$4=""),"",F10/F$4)</f>
        <v>3.6200845076003282E-2</v>
      </c>
      <c r="I10" s="42">
        <v>0</v>
      </c>
      <c r="J10" s="43">
        <v>6.38733667703083</v>
      </c>
      <c r="K10" s="34">
        <f t="shared" ref="K10:K73" si="2">IF(OR(J10="",J$4=""),"",J10/J$4)</f>
        <v>3.6499066725890456E-2</v>
      </c>
      <c r="M10" s="42">
        <v>0</v>
      </c>
      <c r="N10" s="43">
        <v>7.7093124323994804</v>
      </c>
      <c r="O10" s="34">
        <f t="shared" ref="O10:O73" si="3">IF(OR(N10="",N$4=""),"",N10/N$4)</f>
        <v>3.6711011582854669E-2</v>
      </c>
      <c r="Q10" s="42"/>
      <c r="R10" s="42"/>
      <c r="S10" s="34" t="str">
        <f t="shared" ref="S10:S73" si="4">IF(OR(R10="",R$4=""),"",R10/R$4)</f>
        <v/>
      </c>
    </row>
    <row r="11" spans="1:19" x14ac:dyDescent="0.25">
      <c r="A11" s="42">
        <v>2.7666629999999999E-3</v>
      </c>
      <c r="B11" s="43">
        <v>2.7822249079999999</v>
      </c>
      <c r="C11" s="34">
        <f t="shared" si="0"/>
        <v>3.7096332106666664E-2</v>
      </c>
      <c r="E11" s="42">
        <v>2.7666629821295799E-3</v>
      </c>
      <c r="F11" s="43">
        <v>4.7634056669234504</v>
      </c>
      <c r="G11" s="34">
        <f t="shared" si="1"/>
        <v>3.8107245335387605E-2</v>
      </c>
      <c r="I11" s="42">
        <v>2.7666629821295799E-3</v>
      </c>
      <c r="J11" s="43">
        <v>6.7287249053188196</v>
      </c>
      <c r="K11" s="34">
        <f t="shared" si="2"/>
        <v>3.8449856601821826E-2</v>
      </c>
      <c r="M11" s="42">
        <v>2.7666629821295799E-3</v>
      </c>
      <c r="N11" s="43">
        <v>8.1432990620161902</v>
      </c>
      <c r="O11" s="34">
        <f t="shared" si="3"/>
        <v>3.8777614581029476E-2</v>
      </c>
      <c r="Q11" s="42"/>
      <c r="R11" s="42"/>
      <c r="S11" s="34" t="str">
        <f t="shared" si="4"/>
        <v/>
      </c>
    </row>
    <row r="12" spans="1:19" x14ac:dyDescent="0.25">
      <c r="A12" s="42">
        <v>5.4947010000000003E-3</v>
      </c>
      <c r="B12" s="43">
        <v>2.6305478369999999</v>
      </c>
      <c r="C12" s="34">
        <f t="shared" si="0"/>
        <v>3.5073971160000002E-2</v>
      </c>
      <c r="E12" s="42">
        <v>5.4947008194310802E-3</v>
      </c>
      <c r="F12" s="43">
        <v>4.5520439981118797</v>
      </c>
      <c r="G12" s="34">
        <f t="shared" si="1"/>
        <v>3.641635198489504E-2</v>
      </c>
      <c r="I12" s="42">
        <v>5.4947008194310802E-3</v>
      </c>
      <c r="J12" s="43">
        <v>6.3908508851961701</v>
      </c>
      <c r="K12" s="34">
        <f t="shared" si="2"/>
        <v>3.6519147915406683E-2</v>
      </c>
      <c r="M12" s="42">
        <v>4.8126913601057196E-3</v>
      </c>
      <c r="N12" s="43">
        <v>7.8351826142491596</v>
      </c>
      <c r="O12" s="34">
        <f t="shared" si="3"/>
        <v>3.7310393401186477E-2</v>
      </c>
      <c r="Q12" s="42"/>
      <c r="R12" s="42"/>
      <c r="S12" s="34" t="str">
        <f t="shared" si="4"/>
        <v/>
      </c>
    </row>
    <row r="13" spans="1:19" x14ac:dyDescent="0.25">
      <c r="A13" s="42">
        <v>7.5407290000000004E-3</v>
      </c>
      <c r="B13" s="43">
        <v>2.529198981</v>
      </c>
      <c r="C13" s="34">
        <f t="shared" si="0"/>
        <v>3.3722653079999998E-2</v>
      </c>
      <c r="E13" s="42">
        <v>7.5407291974072298E-3</v>
      </c>
      <c r="F13" s="43">
        <v>4.4155334398388204</v>
      </c>
      <c r="G13" s="34">
        <f t="shared" si="1"/>
        <v>3.532426751871056E-2</v>
      </c>
      <c r="I13" s="42">
        <v>7.5407291974072298E-3</v>
      </c>
      <c r="J13" s="43">
        <v>6.1698421358165199</v>
      </c>
      <c r="K13" s="34">
        <f t="shared" si="2"/>
        <v>3.5256240776094398E-2</v>
      </c>
      <c r="M13" s="42">
        <v>6.8587197380818397E-3</v>
      </c>
      <c r="N13" s="43">
        <v>7.5600736619232798</v>
      </c>
      <c r="O13" s="34">
        <f t="shared" si="3"/>
        <v>3.6000350771063235E-2</v>
      </c>
      <c r="Q13" s="42"/>
      <c r="R13" s="42"/>
      <c r="S13" s="34" t="str">
        <f t="shared" si="4"/>
        <v/>
      </c>
    </row>
    <row r="14" spans="1:19" x14ac:dyDescent="0.25">
      <c r="A14" s="42">
        <v>1.0268767E-2</v>
      </c>
      <c r="B14" s="43">
        <v>2.1980618860000001</v>
      </c>
      <c r="C14" s="34">
        <f t="shared" si="0"/>
        <v>2.9307491813333333E-2</v>
      </c>
      <c r="E14" s="42">
        <v>1.0268767034708699E-2</v>
      </c>
      <c r="F14" s="43">
        <v>3.8793094684869001</v>
      </c>
      <c r="G14" s="34">
        <f t="shared" si="1"/>
        <v>3.1034475747895199E-2</v>
      </c>
      <c r="I14" s="42">
        <v>1.0268767034708699E-2</v>
      </c>
      <c r="J14" s="43">
        <v>5.3279040949270904</v>
      </c>
      <c r="K14" s="34">
        <f t="shared" si="2"/>
        <v>3.044516625672623E-2</v>
      </c>
      <c r="M14" s="42">
        <v>7.5407291974072298E-3</v>
      </c>
      <c r="N14" s="43">
        <v>7.4769768431812897</v>
      </c>
      <c r="O14" s="34">
        <f t="shared" si="3"/>
        <v>3.560465163419662E-2</v>
      </c>
      <c r="Q14" s="42"/>
      <c r="R14" s="42"/>
      <c r="S14" s="34" t="str">
        <f t="shared" si="4"/>
        <v/>
      </c>
    </row>
    <row r="15" spans="1:19" x14ac:dyDescent="0.25">
      <c r="A15" s="42">
        <v>1.2314795E-2</v>
      </c>
      <c r="B15" s="43">
        <v>1.959747736</v>
      </c>
      <c r="C15" s="34">
        <f t="shared" si="0"/>
        <v>2.6129969813333334E-2</v>
      </c>
      <c r="E15" s="42">
        <v>1.23147954126849E-2</v>
      </c>
      <c r="F15" s="43">
        <v>3.4976555345985001</v>
      </c>
      <c r="G15" s="34">
        <f t="shared" si="1"/>
        <v>2.7981244276788001E-2</v>
      </c>
      <c r="I15" s="42">
        <v>1.23147954126849E-2</v>
      </c>
      <c r="J15" s="43">
        <v>4.7250806678681299</v>
      </c>
      <c r="K15" s="34">
        <f t="shared" si="2"/>
        <v>2.7000460959246457E-2</v>
      </c>
      <c r="M15" s="42">
        <v>1.0268767034708699E-2</v>
      </c>
      <c r="N15" s="43">
        <v>6.4459177431679198</v>
      </c>
      <c r="O15" s="34">
        <f t="shared" si="3"/>
        <v>3.0694846396037714E-2</v>
      </c>
      <c r="Q15" s="42"/>
      <c r="R15" s="42"/>
      <c r="S15" s="34" t="str">
        <f t="shared" si="4"/>
        <v/>
      </c>
    </row>
    <row r="16" spans="1:19" x14ac:dyDescent="0.25">
      <c r="A16" s="42">
        <v>1.7088862E-2</v>
      </c>
      <c r="B16" s="43">
        <v>1.2713095059999999</v>
      </c>
      <c r="C16" s="34">
        <f t="shared" si="0"/>
        <v>1.6950793413333332E-2</v>
      </c>
      <c r="E16" s="42">
        <v>1.64068521686371E-2</v>
      </c>
      <c r="F16" s="43">
        <v>2.50914075262786</v>
      </c>
      <c r="G16" s="34">
        <f t="shared" si="1"/>
        <v>2.0073126021022878E-2</v>
      </c>
      <c r="I16" s="42">
        <v>1.7088861627962498E-2</v>
      </c>
      <c r="J16" s="43">
        <v>2.9268631726652798</v>
      </c>
      <c r="K16" s="34">
        <f t="shared" si="2"/>
        <v>1.6724932415230171E-2</v>
      </c>
      <c r="M16" s="42">
        <v>1.23147954126849E-2</v>
      </c>
      <c r="N16" s="43">
        <v>5.7085894816331102</v>
      </c>
      <c r="O16" s="34">
        <f t="shared" si="3"/>
        <v>2.7183759436348143E-2</v>
      </c>
      <c r="Q16" s="42"/>
      <c r="R16" s="42"/>
      <c r="S16" s="34" t="str">
        <f t="shared" si="4"/>
        <v/>
      </c>
    </row>
    <row r="17" spans="1:19" x14ac:dyDescent="0.25">
      <c r="A17" s="42">
        <v>2.1862928E-2</v>
      </c>
      <c r="B17" s="43">
        <v>0.67339604799999997</v>
      </c>
      <c r="C17" s="34">
        <f t="shared" si="0"/>
        <v>8.9786139733333322E-3</v>
      </c>
      <c r="E17" s="42">
        <v>1.7088861627962498E-2</v>
      </c>
      <c r="F17" s="43">
        <v>2.3473637008339798</v>
      </c>
      <c r="G17" s="34">
        <f t="shared" si="1"/>
        <v>1.8778909606671838E-2</v>
      </c>
      <c r="I17" s="42">
        <v>2.1862927843240201E-2</v>
      </c>
      <c r="J17" s="43">
        <v>1.39017262429065</v>
      </c>
      <c r="K17" s="34">
        <f t="shared" si="2"/>
        <v>7.9438435673751424E-3</v>
      </c>
      <c r="M17" s="42">
        <v>1.7088861627962498E-2</v>
      </c>
      <c r="N17" s="43">
        <v>3.5047824558399201</v>
      </c>
      <c r="O17" s="34">
        <f t="shared" si="3"/>
        <v>1.6689440265904382E-2</v>
      </c>
      <c r="Q17" s="42"/>
      <c r="R17" s="42"/>
      <c r="S17" s="34" t="str">
        <f t="shared" si="4"/>
        <v/>
      </c>
    </row>
    <row r="18" spans="1:19" x14ac:dyDescent="0.25">
      <c r="A18" s="42">
        <v>2.3993764000000001E-2</v>
      </c>
      <c r="B18" s="43">
        <v>0.51977101199999998</v>
      </c>
      <c r="C18" s="34">
        <f t="shared" si="0"/>
        <v>6.9302801599999998E-3</v>
      </c>
      <c r="E18" s="42">
        <v>2.1180918383914799E-2</v>
      </c>
      <c r="F18" s="43">
        <v>1.480173613357</v>
      </c>
      <c r="G18" s="34">
        <f t="shared" si="1"/>
        <v>1.1841388906856E-2</v>
      </c>
      <c r="I18" s="42">
        <v>2.39937637544155E-2</v>
      </c>
      <c r="J18" s="43">
        <v>1.04563393824467</v>
      </c>
      <c r="K18" s="34">
        <f t="shared" si="2"/>
        <v>5.9750510756838284E-3</v>
      </c>
      <c r="M18" s="42">
        <v>2.1862927843240201E-2</v>
      </c>
      <c r="N18" s="43">
        <v>1.64074044252895</v>
      </c>
      <c r="O18" s="34">
        <f t="shared" si="3"/>
        <v>7.8130497263283333E-3</v>
      </c>
      <c r="Q18" s="42"/>
      <c r="R18" s="42"/>
      <c r="S18" s="34" t="str">
        <f t="shared" si="4"/>
        <v/>
      </c>
    </row>
    <row r="19" spans="1:19" x14ac:dyDescent="0.25">
      <c r="A19" s="42">
        <v>2.5414321E-2</v>
      </c>
      <c r="B19" s="43">
        <v>0.42887815400000001</v>
      </c>
      <c r="C19" s="34">
        <f t="shared" si="0"/>
        <v>5.7183753866666669E-3</v>
      </c>
      <c r="E19" s="42">
        <v>2.1862927843240201E-2</v>
      </c>
      <c r="F19" s="43">
        <v>1.3398831707663299</v>
      </c>
      <c r="G19" s="34">
        <f t="shared" si="1"/>
        <v>1.071906536613064E-2</v>
      </c>
      <c r="I19" s="42">
        <v>2.5414321028532302E-2</v>
      </c>
      <c r="J19" s="43">
        <v>0.85445738074950595</v>
      </c>
      <c r="K19" s="34">
        <f t="shared" si="2"/>
        <v>4.8826136042828911E-3</v>
      </c>
      <c r="M19" s="42">
        <v>2.39937637544155E-2</v>
      </c>
      <c r="N19" s="43">
        <v>1.2392057543372099</v>
      </c>
      <c r="O19" s="34">
        <f t="shared" si="3"/>
        <v>5.9009797825581422E-3</v>
      </c>
      <c r="Q19" s="42"/>
      <c r="R19" s="42"/>
      <c r="S19" s="34" t="str">
        <f t="shared" si="4"/>
        <v/>
      </c>
    </row>
    <row r="20" spans="1:19" x14ac:dyDescent="0.25">
      <c r="A20" s="42">
        <v>2.6124600000000001E-2</v>
      </c>
      <c r="B20" s="43">
        <v>0.39031447699999999</v>
      </c>
      <c r="C20" s="34">
        <f t="shared" si="0"/>
        <v>5.2041930266666665E-3</v>
      </c>
      <c r="E20" s="42">
        <v>2.39937637544155E-2</v>
      </c>
      <c r="F20" s="43">
        <v>1.07729290768548</v>
      </c>
      <c r="G20" s="34">
        <f t="shared" si="1"/>
        <v>8.6183432614838403E-3</v>
      </c>
      <c r="I20" s="42">
        <v>2.6124599665590699E-2</v>
      </c>
      <c r="J20" s="43">
        <v>0.78268392847896695</v>
      </c>
      <c r="K20" s="34">
        <f t="shared" si="2"/>
        <v>4.4724795913083822E-3</v>
      </c>
      <c r="M20" s="42">
        <v>2.4704042391473901E-2</v>
      </c>
      <c r="N20" s="43">
        <v>1.1235154736481501</v>
      </c>
      <c r="O20" s="34">
        <f t="shared" si="3"/>
        <v>5.3500736840388103E-3</v>
      </c>
      <c r="Q20" s="42"/>
      <c r="R20" s="42"/>
      <c r="S20" s="34" t="str">
        <f t="shared" si="4"/>
        <v/>
      </c>
    </row>
    <row r="21" spans="1:19" x14ac:dyDescent="0.25">
      <c r="A21" s="42">
        <v>2.6636994000000001E-2</v>
      </c>
      <c r="B21" s="43">
        <v>0.36751902600000003</v>
      </c>
      <c r="C21" s="34">
        <f t="shared" si="0"/>
        <v>4.9002536800000001E-3</v>
      </c>
      <c r="E21" s="42">
        <v>2.5414321028532302E-2</v>
      </c>
      <c r="F21" s="43">
        <v>0.92168458263318798</v>
      </c>
      <c r="G21" s="34">
        <f t="shared" si="1"/>
        <v>7.3734766610655039E-3</v>
      </c>
      <c r="I21" s="42">
        <v>2.6636994058517799E-2</v>
      </c>
      <c r="J21" s="43">
        <v>0.74727294239850495</v>
      </c>
      <c r="K21" s="34">
        <f t="shared" si="2"/>
        <v>4.2701310994200286E-3</v>
      </c>
      <c r="M21" s="42">
        <v>2.5414321028532302E-2</v>
      </c>
      <c r="N21" s="43">
        <v>1.02432969010903</v>
      </c>
      <c r="O21" s="34">
        <f t="shared" si="3"/>
        <v>4.877760429090619E-3</v>
      </c>
      <c r="Q21" s="42"/>
      <c r="R21" s="42"/>
      <c r="S21" s="34" t="str">
        <f t="shared" si="4"/>
        <v/>
      </c>
    </row>
    <row r="22" spans="1:19" x14ac:dyDescent="0.25">
      <c r="A22" s="42">
        <v>2.8001013000000002E-2</v>
      </c>
      <c r="B22" s="43">
        <v>0.35838736799999998</v>
      </c>
      <c r="C22" s="34">
        <f t="shared" si="0"/>
        <v>4.7784982399999999E-3</v>
      </c>
      <c r="E22" s="42">
        <v>2.6636994058517799E-2</v>
      </c>
      <c r="F22" s="43">
        <v>0.81339213786736297</v>
      </c>
      <c r="G22" s="34">
        <f t="shared" si="1"/>
        <v>6.5071371029389036E-3</v>
      </c>
      <c r="I22" s="42">
        <v>2.8683022436493899E-2</v>
      </c>
      <c r="J22" s="43">
        <v>0.79482317461698904</v>
      </c>
      <c r="K22" s="34">
        <f t="shared" si="2"/>
        <v>4.5418467120970805E-3</v>
      </c>
      <c r="M22" s="42">
        <v>2.6124599665590699E-2</v>
      </c>
      <c r="N22" s="43">
        <v>0.94825974270007896</v>
      </c>
      <c r="O22" s="34">
        <f t="shared" si="3"/>
        <v>4.5155225842860901E-3</v>
      </c>
      <c r="Q22" s="42"/>
      <c r="R22" s="42"/>
      <c r="S22" s="34" t="str">
        <f t="shared" si="4"/>
        <v/>
      </c>
    </row>
    <row r="23" spans="1:19" x14ac:dyDescent="0.25">
      <c r="A23" s="42">
        <v>2.8683021999999999E-2</v>
      </c>
      <c r="B23" s="43">
        <v>0.35821774200000001</v>
      </c>
      <c r="C23" s="34">
        <f t="shared" si="0"/>
        <v>4.77623656E-3</v>
      </c>
      <c r="E23" s="42">
        <v>2.8683022436493899E-2</v>
      </c>
      <c r="F23" s="43">
        <v>0.75508324076690603</v>
      </c>
      <c r="G23" s="34">
        <f t="shared" si="1"/>
        <v>6.0406659261352481E-3</v>
      </c>
      <c r="I23" s="42">
        <v>3.07290508144701E-2</v>
      </c>
      <c r="J23" s="43">
        <v>0.891245131625931</v>
      </c>
      <c r="K23" s="34">
        <f t="shared" si="2"/>
        <v>5.0928293235767488E-3</v>
      </c>
      <c r="M23" s="42">
        <v>2.6636994058517799E-2</v>
      </c>
      <c r="N23" s="43">
        <v>0.91384399446874498</v>
      </c>
      <c r="O23" s="34">
        <f t="shared" si="3"/>
        <v>4.3516380688987857E-3</v>
      </c>
      <c r="Q23" s="42"/>
      <c r="R23" s="42"/>
      <c r="S23" s="34" t="str">
        <f t="shared" si="4"/>
        <v/>
      </c>
    </row>
    <row r="24" spans="1:19" x14ac:dyDescent="0.25">
      <c r="A24" s="42">
        <v>3.0047041E-2</v>
      </c>
      <c r="B24" s="43">
        <v>0.36712762100000002</v>
      </c>
      <c r="C24" s="34">
        <f t="shared" si="0"/>
        <v>4.8950349466666673E-3</v>
      </c>
      <c r="E24" s="42">
        <v>3.0047041355144698E-2</v>
      </c>
      <c r="F24" s="43">
        <v>0.73659293471896803</v>
      </c>
      <c r="G24" s="34">
        <f t="shared" si="1"/>
        <v>5.8927434777517442E-3</v>
      </c>
      <c r="I24" s="42">
        <v>3.2775079192446203E-2</v>
      </c>
      <c r="J24" s="43">
        <v>0.99638746799493605</v>
      </c>
      <c r="K24" s="34">
        <f t="shared" si="2"/>
        <v>5.6936426742567776E-3</v>
      </c>
      <c r="M24" s="42">
        <v>2.8683022436493899E-2</v>
      </c>
      <c r="N24" s="43">
        <v>0.98363830914077699</v>
      </c>
      <c r="O24" s="34">
        <f t="shared" si="3"/>
        <v>4.6839919482894142E-3</v>
      </c>
      <c r="Q24" s="42"/>
      <c r="R24" s="42"/>
      <c r="S24" s="34" t="str">
        <f t="shared" si="4"/>
        <v/>
      </c>
    </row>
    <row r="25" spans="1:19" x14ac:dyDescent="0.25">
      <c r="A25" s="42">
        <v>3.4821108000000003E-2</v>
      </c>
      <c r="B25" s="43">
        <v>0.44399027200000002</v>
      </c>
      <c r="C25" s="34">
        <f t="shared" si="0"/>
        <v>5.919870293333334E-3</v>
      </c>
      <c r="E25" s="42">
        <v>3.07290508144701E-2</v>
      </c>
      <c r="F25" s="43">
        <v>0.73450503440103898</v>
      </c>
      <c r="G25" s="34">
        <f t="shared" si="1"/>
        <v>5.8760402752083118E-3</v>
      </c>
      <c r="I25" s="42">
        <v>3.6867135948398501E-2</v>
      </c>
      <c r="J25" s="43">
        <v>1.1910561440032399</v>
      </c>
      <c r="K25" s="34">
        <f t="shared" si="2"/>
        <v>6.8060351085899419E-3</v>
      </c>
      <c r="M25" s="42">
        <v>3.07290508144701E-2</v>
      </c>
      <c r="N25" s="43">
        <v>1.1094727891395599</v>
      </c>
      <c r="O25" s="34">
        <f t="shared" si="3"/>
        <v>5.2832037578074281E-3</v>
      </c>
      <c r="Q25" s="42"/>
      <c r="R25" s="42"/>
      <c r="S25" s="34" t="str">
        <f t="shared" si="4"/>
        <v/>
      </c>
    </row>
    <row r="26" spans="1:19" x14ac:dyDescent="0.25">
      <c r="A26" s="42">
        <v>3.6867136000000002E-2</v>
      </c>
      <c r="B26" s="43">
        <v>0.478707997</v>
      </c>
      <c r="C26" s="34">
        <f t="shared" si="0"/>
        <v>6.3827732933333329E-3</v>
      </c>
      <c r="E26" s="42">
        <v>3.5503117029747698E-2</v>
      </c>
      <c r="F26" s="43">
        <v>0.75621268684343401</v>
      </c>
      <c r="G26" s="34">
        <f t="shared" si="1"/>
        <v>6.0497014947474724E-3</v>
      </c>
      <c r="I26" s="42">
        <v>4.0959192704350701E-2</v>
      </c>
      <c r="J26" s="43">
        <v>1.3480483012210001</v>
      </c>
      <c r="K26" s="34">
        <f t="shared" si="2"/>
        <v>7.7031331498342856E-3</v>
      </c>
      <c r="M26" s="42">
        <v>3.2093069733120802E-2</v>
      </c>
      <c r="N26" s="43">
        <v>1.2003048810996699</v>
      </c>
      <c r="O26" s="34">
        <f t="shared" si="3"/>
        <v>5.7157375290460477E-3</v>
      </c>
      <c r="Q26" s="42"/>
      <c r="R26" s="42"/>
      <c r="S26" s="34" t="str">
        <f t="shared" si="4"/>
        <v/>
      </c>
    </row>
    <row r="27" spans="1:19" x14ac:dyDescent="0.25">
      <c r="A27" s="42">
        <v>4.0959192999999998E-2</v>
      </c>
      <c r="B27" s="43">
        <v>0.53398805000000005</v>
      </c>
      <c r="C27" s="34">
        <f t="shared" si="0"/>
        <v>7.1198406666666677E-3</v>
      </c>
      <c r="E27" s="42">
        <v>4.0959192704350701E-2</v>
      </c>
      <c r="F27" s="43">
        <v>0.78071527194743096</v>
      </c>
      <c r="G27" s="34">
        <f t="shared" si="1"/>
        <v>6.2457221755794472E-3</v>
      </c>
      <c r="I27" s="42">
        <v>4.5051249460302999E-2</v>
      </c>
      <c r="J27" s="43">
        <v>1.33908248188636</v>
      </c>
      <c r="K27" s="34">
        <f t="shared" si="2"/>
        <v>7.6518998964934856E-3</v>
      </c>
      <c r="M27" s="42">
        <v>3.6185126489073099E-2</v>
      </c>
      <c r="N27" s="43">
        <v>1.4421776373839199</v>
      </c>
      <c r="O27" s="34">
        <f t="shared" si="3"/>
        <v>6.8675125589710475E-3</v>
      </c>
      <c r="Q27" s="42"/>
      <c r="R27" s="42"/>
      <c r="S27" s="34" t="str">
        <f t="shared" si="4"/>
        <v/>
      </c>
    </row>
    <row r="28" spans="1:19" x14ac:dyDescent="0.25">
      <c r="A28" s="42">
        <v>4.5051249000000002E-2</v>
      </c>
      <c r="B28" s="43">
        <v>0.52590044300000005</v>
      </c>
      <c r="C28" s="34">
        <f t="shared" si="0"/>
        <v>7.0120059066666671E-3</v>
      </c>
      <c r="E28" s="42">
        <v>4.5051249460302999E-2</v>
      </c>
      <c r="F28" s="43">
        <v>0.73575699890596302</v>
      </c>
      <c r="G28" s="34">
        <f t="shared" si="1"/>
        <v>5.886055991247704E-3</v>
      </c>
      <c r="I28" s="42">
        <v>4.6415268378953801E-2</v>
      </c>
      <c r="J28" s="43">
        <v>1.3526428836683899</v>
      </c>
      <c r="K28" s="34">
        <f t="shared" si="2"/>
        <v>7.7293879066765141E-3</v>
      </c>
      <c r="M28" s="42">
        <v>4.0959192704350701E-2</v>
      </c>
      <c r="N28" s="43">
        <v>1.65540843007115</v>
      </c>
      <c r="O28" s="34">
        <f t="shared" si="3"/>
        <v>7.882897286053096E-3</v>
      </c>
      <c r="Q28" s="42"/>
      <c r="R28" s="42"/>
      <c r="S28" s="34" t="str">
        <f t="shared" si="4"/>
        <v/>
      </c>
    </row>
    <row r="29" spans="1:19" x14ac:dyDescent="0.25">
      <c r="A29" s="42">
        <v>4.6415268000000003E-2</v>
      </c>
      <c r="B29" s="43">
        <v>0.53030645099999996</v>
      </c>
      <c r="C29" s="34">
        <f t="shared" si="0"/>
        <v>7.0707526799999995E-3</v>
      </c>
      <c r="E29" s="42">
        <v>4.77792872976045E-2</v>
      </c>
      <c r="F29" s="43">
        <v>0.72943992106310396</v>
      </c>
      <c r="G29" s="34">
        <f t="shared" si="1"/>
        <v>5.8355193685048316E-3</v>
      </c>
      <c r="I29" s="42">
        <v>5.0507325134906099E-2</v>
      </c>
      <c r="J29" s="43">
        <v>1.43502281432178</v>
      </c>
      <c r="K29" s="34">
        <f t="shared" si="2"/>
        <v>8.2001303675530279E-3</v>
      </c>
      <c r="M29" s="42">
        <v>4.5051249460302999E-2</v>
      </c>
      <c r="N29" s="43">
        <v>1.64303721434262</v>
      </c>
      <c r="O29" s="34">
        <f t="shared" si="3"/>
        <v>7.8239867349648561E-3</v>
      </c>
      <c r="Q29" s="42"/>
      <c r="R29" s="42"/>
      <c r="S29" s="34" t="str">
        <f t="shared" si="4"/>
        <v/>
      </c>
    </row>
    <row r="30" spans="1:19" x14ac:dyDescent="0.25">
      <c r="A30" s="42">
        <v>5.0507324999999999E-2</v>
      </c>
      <c r="B30" s="43">
        <v>0.56067366900000004</v>
      </c>
      <c r="C30" s="34">
        <f t="shared" si="0"/>
        <v>7.4756489200000003E-3</v>
      </c>
      <c r="E30" s="42">
        <v>5.0507325134906099E-2</v>
      </c>
      <c r="F30" s="43">
        <v>0.73144393961536402</v>
      </c>
      <c r="G30" s="34">
        <f t="shared" si="1"/>
        <v>5.8515515169229124E-3</v>
      </c>
      <c r="I30" s="42">
        <v>6.00554575654614E-2</v>
      </c>
      <c r="J30" s="43">
        <v>1.3789355613343299</v>
      </c>
      <c r="K30" s="34">
        <f t="shared" si="2"/>
        <v>7.8796317790533147E-3</v>
      </c>
      <c r="M30" s="42">
        <v>4.6415268378953801E-2</v>
      </c>
      <c r="N30" s="43">
        <v>1.65893343054096</v>
      </c>
      <c r="O30" s="34">
        <f t="shared" si="3"/>
        <v>7.8996830025759995E-3</v>
      </c>
      <c r="Q30" s="42"/>
      <c r="R30" s="42"/>
      <c r="S30" s="34" t="str">
        <f t="shared" si="4"/>
        <v/>
      </c>
    </row>
    <row r="31" spans="1:19" x14ac:dyDescent="0.25">
      <c r="A31" s="42">
        <v>6.0055457999999999E-2</v>
      </c>
      <c r="B31" s="43">
        <v>0.54483784300000004</v>
      </c>
      <c r="C31" s="34">
        <f t="shared" si="0"/>
        <v>7.2645045733333337E-3</v>
      </c>
      <c r="E31" s="42">
        <v>6.00554575654614E-2</v>
      </c>
      <c r="F31" s="43">
        <v>0.64757722109996996</v>
      </c>
      <c r="G31" s="34">
        <f t="shared" si="1"/>
        <v>5.1806177687997593E-3</v>
      </c>
      <c r="I31" s="42">
        <v>6.9603589996016693E-2</v>
      </c>
      <c r="J31" s="43">
        <v>1.15393665496229</v>
      </c>
      <c r="K31" s="34">
        <f t="shared" si="2"/>
        <v>6.5939237426416572E-3</v>
      </c>
      <c r="M31" s="42">
        <v>5.0507325134906099E-2</v>
      </c>
      <c r="N31" s="43">
        <v>1.7576948532951799</v>
      </c>
      <c r="O31" s="34">
        <f t="shared" si="3"/>
        <v>8.3699754918818096E-3</v>
      </c>
      <c r="Q31" s="42"/>
      <c r="R31" s="42"/>
      <c r="S31" s="34" t="str">
        <f t="shared" si="4"/>
        <v/>
      </c>
    </row>
    <row r="32" spans="1:19" x14ac:dyDescent="0.25">
      <c r="A32" s="42">
        <v>6.9603590000000007E-2</v>
      </c>
      <c r="B32" s="43">
        <v>0.46239007900000001</v>
      </c>
      <c r="C32" s="34">
        <f t="shared" si="0"/>
        <v>6.1652010533333338E-3</v>
      </c>
      <c r="E32" s="42">
        <v>7.2786300806201798E-2</v>
      </c>
      <c r="F32" s="43">
        <v>0.49180486126119599</v>
      </c>
      <c r="G32" s="34">
        <f t="shared" si="1"/>
        <v>3.9344388900895682E-3</v>
      </c>
      <c r="I32" s="42">
        <v>9.8247987287682595E-2</v>
      </c>
      <c r="J32" s="43">
        <v>0.71549409385171403</v>
      </c>
      <c r="K32" s="34">
        <f t="shared" si="2"/>
        <v>4.0885376791526514E-3</v>
      </c>
      <c r="M32" s="42">
        <v>6.00554575654614E-2</v>
      </c>
      <c r="N32" s="43">
        <v>1.7157406337066401</v>
      </c>
      <c r="O32" s="34">
        <f t="shared" si="3"/>
        <v>8.1701934938411425E-3</v>
      </c>
      <c r="Q32" s="42"/>
      <c r="R32" s="42"/>
      <c r="S32" s="34" t="str">
        <f t="shared" si="4"/>
        <v/>
      </c>
    </row>
    <row r="33" spans="1:19" x14ac:dyDescent="0.25">
      <c r="A33" s="42">
        <v>9.8247986999999995E-2</v>
      </c>
      <c r="B33" s="43">
        <v>0.30062374400000003</v>
      </c>
      <c r="C33" s="34">
        <f t="shared" si="0"/>
        <v>4.0083165866666671E-3</v>
      </c>
      <c r="E33" s="42">
        <v>7.9151722426571994E-2</v>
      </c>
      <c r="F33" s="43">
        <v>0.42308157762962301</v>
      </c>
      <c r="G33" s="34">
        <f t="shared" si="1"/>
        <v>3.3846526210369841E-3</v>
      </c>
      <c r="I33" s="42">
        <v>9.9157333233449801E-2</v>
      </c>
      <c r="J33" s="43">
        <v>0.46721043945158103</v>
      </c>
      <c r="K33" s="34">
        <f t="shared" si="2"/>
        <v>2.6697739397233203E-3</v>
      </c>
      <c r="M33" s="42">
        <v>6.9603589996016693E-2</v>
      </c>
      <c r="N33" s="43">
        <v>1.4845057642736801</v>
      </c>
      <c r="O33" s="34">
        <f t="shared" si="3"/>
        <v>7.0690750679699051E-3</v>
      </c>
      <c r="Q33" s="42"/>
      <c r="R33" s="42"/>
      <c r="S33" s="34" t="str">
        <f t="shared" si="4"/>
        <v/>
      </c>
    </row>
    <row r="34" spans="1:19" x14ac:dyDescent="0.25">
      <c r="A34" s="42">
        <v>9.9157333E-2</v>
      </c>
      <c r="B34" s="43">
        <v>0.22008698099999999</v>
      </c>
      <c r="C34" s="34">
        <f t="shared" si="0"/>
        <v>2.9344930799999999E-3</v>
      </c>
      <c r="E34" s="42">
        <v>9.8247987287682595E-2</v>
      </c>
      <c r="F34" s="43">
        <v>0.26167946681951199</v>
      </c>
      <c r="G34" s="34">
        <f t="shared" si="1"/>
        <v>2.0934357345560959E-3</v>
      </c>
      <c r="I34" s="42">
        <v>0.11188817647419</v>
      </c>
      <c r="J34" s="43">
        <v>0.28316658055773097</v>
      </c>
      <c r="K34" s="34">
        <f t="shared" si="2"/>
        <v>1.618094746044177E-3</v>
      </c>
      <c r="M34" s="42">
        <v>7.9151722426571994E-2</v>
      </c>
      <c r="N34" s="43">
        <v>1.35033947493295</v>
      </c>
      <c r="O34" s="34">
        <f t="shared" si="3"/>
        <v>6.4301879758711907E-3</v>
      </c>
      <c r="Q34" s="42"/>
      <c r="R34" s="42"/>
      <c r="S34" s="34" t="str">
        <f t="shared" si="4"/>
        <v/>
      </c>
    </row>
    <row r="35" spans="1:19" x14ac:dyDescent="0.25">
      <c r="A35" s="42">
        <v>0.113706868</v>
      </c>
      <c r="B35" s="43">
        <v>0.14755152399999999</v>
      </c>
      <c r="C35" s="34">
        <f t="shared" si="0"/>
        <v>1.967353653333333E-3</v>
      </c>
      <c r="E35" s="42">
        <v>9.9157333233449801E-2</v>
      </c>
      <c r="F35" s="43">
        <v>0.217658070510694</v>
      </c>
      <c r="G35" s="34">
        <f t="shared" si="1"/>
        <v>1.7412645640855519E-3</v>
      </c>
      <c r="I35" s="42">
        <v>0.120072289986095</v>
      </c>
      <c r="J35" s="43">
        <v>0.19999518927410101</v>
      </c>
      <c r="K35" s="34">
        <f t="shared" si="2"/>
        <v>1.142829652994863E-3</v>
      </c>
      <c r="M35" s="42">
        <v>9.8247987287682595E-2</v>
      </c>
      <c r="N35" s="43">
        <v>0.96325069529426199</v>
      </c>
      <c r="O35" s="34">
        <f t="shared" si="3"/>
        <v>4.5869080728298192E-3</v>
      </c>
      <c r="Q35" s="42"/>
      <c r="R35" s="42"/>
      <c r="S35" s="34" t="str">
        <f t="shared" si="4"/>
        <v/>
      </c>
    </row>
    <row r="36" spans="1:19" x14ac:dyDescent="0.25">
      <c r="A36" s="42">
        <v>0.12461902</v>
      </c>
      <c r="B36" s="43">
        <v>0.110844183</v>
      </c>
      <c r="C36" s="34">
        <f t="shared" si="0"/>
        <v>1.47792244E-3</v>
      </c>
      <c r="E36" s="42">
        <v>0.10825079269112201</v>
      </c>
      <c r="F36" s="43">
        <v>0.17520296185659801</v>
      </c>
      <c r="G36" s="34">
        <f t="shared" si="1"/>
        <v>1.4016236948527841E-3</v>
      </c>
      <c r="I36" s="42">
        <v>0.126437711606465</v>
      </c>
      <c r="J36" s="43">
        <v>0.17396169712228099</v>
      </c>
      <c r="K36" s="34">
        <f t="shared" si="2"/>
        <v>9.9406684069874851E-4</v>
      </c>
      <c r="M36" s="42">
        <v>9.9157333233449801E-2</v>
      </c>
      <c r="N36" s="43">
        <v>0.56429811767286198</v>
      </c>
      <c r="O36" s="34">
        <f t="shared" si="3"/>
        <v>2.6871338936802951E-3</v>
      </c>
      <c r="Q36" s="42"/>
      <c r="R36" s="42"/>
      <c r="S36" s="34" t="str">
        <f t="shared" si="4"/>
        <v/>
      </c>
    </row>
    <row r="37" spans="1:19" x14ac:dyDescent="0.25">
      <c r="A37" s="42">
        <v>0.133712479</v>
      </c>
      <c r="B37" s="43">
        <v>9.8967997000000002E-2</v>
      </c>
      <c r="C37" s="34">
        <f t="shared" si="0"/>
        <v>1.3195732933333334E-3</v>
      </c>
      <c r="E37" s="42">
        <v>0.11461621431149201</v>
      </c>
      <c r="F37" s="43">
        <v>0.16659561217346699</v>
      </c>
      <c r="G37" s="34">
        <f t="shared" si="1"/>
        <v>1.3327648973877359E-3</v>
      </c>
      <c r="I37" s="42">
        <v>0.127347057552232</v>
      </c>
      <c r="J37" s="43">
        <v>0.17385925774496799</v>
      </c>
      <c r="K37" s="34">
        <f t="shared" si="2"/>
        <v>9.9348147282838847E-4</v>
      </c>
      <c r="M37" s="42">
        <v>0.11370686836572499</v>
      </c>
      <c r="N37" s="43">
        <v>0.305483781364569</v>
      </c>
      <c r="O37" s="34">
        <f t="shared" si="3"/>
        <v>1.4546846731646143E-3</v>
      </c>
      <c r="Q37" s="42"/>
      <c r="R37" s="42"/>
      <c r="S37" s="34" t="str">
        <f t="shared" si="4"/>
        <v/>
      </c>
    </row>
    <row r="38" spans="1:19" x14ac:dyDescent="0.25">
      <c r="A38" s="42">
        <v>0.134621825</v>
      </c>
      <c r="B38" s="43">
        <v>9.8868325000000007E-2</v>
      </c>
      <c r="C38" s="34">
        <f t="shared" si="0"/>
        <v>1.3182443333333335E-3</v>
      </c>
      <c r="E38" s="42">
        <v>0.123709673769163</v>
      </c>
      <c r="F38" s="43">
        <v>0.185186562043748</v>
      </c>
      <c r="G38" s="34">
        <f t="shared" si="1"/>
        <v>1.481492496349984E-3</v>
      </c>
      <c r="I38" s="42">
        <v>0.13462182511837001</v>
      </c>
      <c r="J38" s="43">
        <v>0.20167626594430599</v>
      </c>
      <c r="K38" s="34">
        <f t="shared" si="2"/>
        <v>1.1524358053960342E-3</v>
      </c>
      <c r="M38" s="42">
        <v>0.12189098187762901</v>
      </c>
      <c r="N38" s="43">
        <v>0.200859164393527</v>
      </c>
      <c r="O38" s="34">
        <f t="shared" si="3"/>
        <v>9.564722113977476E-4</v>
      </c>
      <c r="Q38" s="42"/>
      <c r="R38" s="42"/>
      <c r="S38" s="34" t="str">
        <f t="shared" si="4"/>
        <v/>
      </c>
    </row>
    <row r="39" spans="1:19" x14ac:dyDescent="0.25">
      <c r="A39" s="42">
        <v>0.14735266799999999</v>
      </c>
      <c r="B39" s="43">
        <v>0.109476873</v>
      </c>
      <c r="C39" s="34">
        <f t="shared" si="0"/>
        <v>1.45969164E-3</v>
      </c>
      <c r="E39" s="42">
        <v>0.17463304673212501</v>
      </c>
      <c r="F39" s="43">
        <v>0.42380476538807799</v>
      </c>
      <c r="G39" s="34">
        <f t="shared" si="1"/>
        <v>3.3904381231046237E-3</v>
      </c>
      <c r="I39" s="42">
        <v>0.155536781871014</v>
      </c>
      <c r="J39" s="43">
        <v>0.38691414292401799</v>
      </c>
      <c r="K39" s="34">
        <f t="shared" si="2"/>
        <v>2.2109379595658171E-3</v>
      </c>
      <c r="M39" s="42">
        <v>0.12825640349799899</v>
      </c>
      <c r="N39" s="43">
        <v>0.16987095846961101</v>
      </c>
      <c r="O39" s="34">
        <f t="shared" si="3"/>
        <v>8.0890932604576668E-4</v>
      </c>
      <c r="Q39" s="42"/>
      <c r="R39" s="42"/>
      <c r="S39" s="34" t="str">
        <f t="shared" si="4"/>
        <v/>
      </c>
    </row>
    <row r="40" spans="1:19" x14ac:dyDescent="0.25">
      <c r="A40" s="42">
        <v>0.16553958699999999</v>
      </c>
      <c r="B40" s="43">
        <v>0.15155395399999999</v>
      </c>
      <c r="C40" s="34">
        <f t="shared" si="0"/>
        <v>2.0207193866666664E-3</v>
      </c>
      <c r="E40" s="42">
        <v>0.251018106176568</v>
      </c>
      <c r="F40" s="43">
        <v>0.73690286368245395</v>
      </c>
      <c r="G40" s="34">
        <f t="shared" si="1"/>
        <v>5.8952229094596312E-3</v>
      </c>
      <c r="I40" s="42">
        <v>0.17463304673212501</v>
      </c>
      <c r="J40" s="43">
        <v>0.57124241773614903</v>
      </c>
      <c r="K40" s="34">
        <f t="shared" si="2"/>
        <v>3.2642423870637089E-3</v>
      </c>
      <c r="M40" s="42">
        <v>0.13553117106413701</v>
      </c>
      <c r="N40" s="43">
        <v>0.20589849832225601</v>
      </c>
      <c r="O40" s="34">
        <f t="shared" si="3"/>
        <v>9.8046903962979064E-4</v>
      </c>
      <c r="Q40" s="42"/>
      <c r="R40" s="42"/>
      <c r="S40" s="34" t="str">
        <f t="shared" si="4"/>
        <v/>
      </c>
    </row>
    <row r="41" spans="1:19" x14ac:dyDescent="0.25">
      <c r="A41" s="42">
        <v>0.17463304700000001</v>
      </c>
      <c r="B41" s="43">
        <v>0.177718654</v>
      </c>
      <c r="C41" s="34">
        <f t="shared" si="0"/>
        <v>2.3695820533333333E-3</v>
      </c>
      <c r="E41" s="42">
        <v>0.281572129954345</v>
      </c>
      <c r="F41" s="43">
        <v>0.82921018392423296</v>
      </c>
      <c r="G41" s="34">
        <f t="shared" si="1"/>
        <v>6.6336814713938638E-3</v>
      </c>
      <c r="I41" s="42">
        <v>0.21282557645434599</v>
      </c>
      <c r="J41" s="43">
        <v>0.86288590430456202</v>
      </c>
      <c r="K41" s="34">
        <f t="shared" si="2"/>
        <v>4.9307765960260683E-3</v>
      </c>
      <c r="M41" s="42">
        <v>0.16372089538291901</v>
      </c>
      <c r="N41" s="43">
        <v>0.52063223711904505</v>
      </c>
      <c r="O41" s="34">
        <f t="shared" si="3"/>
        <v>2.4792011291383097E-3</v>
      </c>
      <c r="Q41" s="42"/>
      <c r="R41" s="42"/>
      <c r="S41" s="34" t="str">
        <f t="shared" si="4"/>
        <v/>
      </c>
    </row>
    <row r="42" spans="1:19" x14ac:dyDescent="0.25">
      <c r="A42" s="42">
        <v>0.22555642000000001</v>
      </c>
      <c r="B42" s="43">
        <v>0.29616135900000001</v>
      </c>
      <c r="C42" s="34">
        <f t="shared" si="0"/>
        <v>3.9488181200000002E-3</v>
      </c>
      <c r="E42" s="42">
        <v>0.31212615373212199</v>
      </c>
      <c r="F42" s="43">
        <v>0.89955672107520801</v>
      </c>
      <c r="G42" s="34">
        <f t="shared" si="1"/>
        <v>7.1964537686016643E-3</v>
      </c>
      <c r="I42" s="42">
        <v>0.251018106176568</v>
      </c>
      <c r="J42" s="43">
        <v>1.11722297577705</v>
      </c>
      <c r="K42" s="34">
        <f t="shared" si="2"/>
        <v>6.3841312901545717E-3</v>
      </c>
      <c r="M42" s="42">
        <v>0.18736388997286599</v>
      </c>
      <c r="N42" s="43">
        <v>0.78099299619628704</v>
      </c>
      <c r="O42" s="34">
        <f t="shared" si="3"/>
        <v>3.7190142676013669E-3</v>
      </c>
      <c r="Q42" s="42"/>
      <c r="R42" s="42"/>
      <c r="S42" s="34" t="str">
        <f t="shared" si="4"/>
        <v/>
      </c>
    </row>
    <row r="43" spans="1:19" x14ac:dyDescent="0.25">
      <c r="A43" s="42">
        <v>0.25101810600000002</v>
      </c>
      <c r="B43" s="43">
        <v>0.35916788900000002</v>
      </c>
      <c r="C43" s="34">
        <f t="shared" si="0"/>
        <v>4.7889051866666669E-3</v>
      </c>
      <c r="E43" s="42">
        <v>0.33079805715187399</v>
      </c>
      <c r="F43" s="43">
        <v>0.93315839325791206</v>
      </c>
      <c r="G43" s="34">
        <f t="shared" si="1"/>
        <v>7.4652671460632963E-3</v>
      </c>
      <c r="I43" s="42">
        <v>0.281572129954345</v>
      </c>
      <c r="J43" s="43">
        <v>1.23232550631475</v>
      </c>
      <c r="K43" s="34">
        <f t="shared" si="2"/>
        <v>7.0418600360842862E-3</v>
      </c>
      <c r="M43" s="42">
        <v>0.225556419695087</v>
      </c>
      <c r="N43" s="43">
        <v>1.1613929496545601</v>
      </c>
      <c r="O43" s="34">
        <f t="shared" si="3"/>
        <v>5.5304426174026672E-3</v>
      </c>
      <c r="Q43" s="42"/>
      <c r="R43" s="42"/>
      <c r="S43" s="34" t="str">
        <f t="shared" si="4"/>
        <v/>
      </c>
    </row>
    <row r="44" spans="1:19" x14ac:dyDescent="0.25">
      <c r="A44" s="42">
        <v>0.28157212999999998</v>
      </c>
      <c r="B44" s="43">
        <v>0.41991447900000001</v>
      </c>
      <c r="C44" s="34">
        <f t="shared" si="0"/>
        <v>5.59885972E-3</v>
      </c>
      <c r="E44" s="42">
        <v>0.40548567083088499</v>
      </c>
      <c r="F44" s="43">
        <v>0.96752484644199299</v>
      </c>
      <c r="G44" s="34">
        <f t="shared" si="1"/>
        <v>7.7401987715359439E-3</v>
      </c>
      <c r="I44" s="42">
        <v>0.31212615373212199</v>
      </c>
      <c r="J44" s="43">
        <v>1.3165277353931599</v>
      </c>
      <c r="K44" s="34">
        <f t="shared" si="2"/>
        <v>7.5230156308180567E-3</v>
      </c>
      <c r="M44" s="42">
        <v>0.251018106176568</v>
      </c>
      <c r="N44" s="43">
        <v>1.3934613753846301</v>
      </c>
      <c r="O44" s="34">
        <f t="shared" si="3"/>
        <v>6.6355303589744289E-3</v>
      </c>
      <c r="Q44" s="42"/>
      <c r="R44" s="42"/>
      <c r="S44" s="34" t="str">
        <f t="shared" si="4"/>
        <v/>
      </c>
    </row>
    <row r="45" spans="1:19" x14ac:dyDescent="0.25">
      <c r="A45" s="42">
        <v>0.31212615399999999</v>
      </c>
      <c r="B45" s="43">
        <v>0.46305630199999998</v>
      </c>
      <c r="C45" s="34">
        <f t="shared" si="0"/>
        <v>6.1740840266666661E-3</v>
      </c>
      <c r="E45" s="42">
        <v>0.48017328450989499</v>
      </c>
      <c r="F45" s="43">
        <v>0.96950315170623902</v>
      </c>
      <c r="G45" s="34">
        <f t="shared" si="1"/>
        <v>7.7560252136499117E-3</v>
      </c>
      <c r="I45" s="42">
        <v>0.33079805715187399</v>
      </c>
      <c r="J45" s="43">
        <v>1.35345125323065</v>
      </c>
      <c r="K45" s="34">
        <f t="shared" si="2"/>
        <v>7.734007161318E-3</v>
      </c>
      <c r="M45" s="42">
        <v>0.281572129954345</v>
      </c>
      <c r="N45" s="43">
        <v>1.5460322326124101</v>
      </c>
      <c r="O45" s="34">
        <f t="shared" si="3"/>
        <v>7.3620582505352864E-3</v>
      </c>
      <c r="Q45" s="42"/>
      <c r="R45" s="42"/>
      <c r="S45" s="34" t="str">
        <f t="shared" si="4"/>
        <v/>
      </c>
    </row>
    <row r="46" spans="1:19" x14ac:dyDescent="0.25">
      <c r="A46" s="42">
        <v>0.33079805699999998</v>
      </c>
      <c r="B46" s="43">
        <v>0.48305669200000001</v>
      </c>
      <c r="C46" s="34">
        <f t="shared" si="0"/>
        <v>6.4407558933333338E-3</v>
      </c>
      <c r="E46" s="42">
        <v>0.54128133206544904</v>
      </c>
      <c r="F46" s="43">
        <v>0.92647883662854902</v>
      </c>
      <c r="G46" s="34">
        <f t="shared" si="1"/>
        <v>7.4118306930283919E-3</v>
      </c>
      <c r="I46" s="42">
        <v>0.35456229786792298</v>
      </c>
      <c r="J46" s="43">
        <v>1.3555198372547199</v>
      </c>
      <c r="K46" s="34">
        <f t="shared" si="2"/>
        <v>7.7458276414555426E-3</v>
      </c>
      <c r="M46" s="42">
        <v>0.31212615373212199</v>
      </c>
      <c r="N46" s="43">
        <v>1.6573301231727799</v>
      </c>
      <c r="O46" s="34">
        <f t="shared" si="3"/>
        <v>7.8920482055846661E-3</v>
      </c>
      <c r="Q46" s="42"/>
      <c r="R46" s="42"/>
      <c r="S46" s="34" t="str">
        <f t="shared" si="4"/>
        <v/>
      </c>
    </row>
    <row r="47" spans="1:19" x14ac:dyDescent="0.25">
      <c r="A47" s="42">
        <v>0.40548567099999999</v>
      </c>
      <c r="B47" s="43">
        <v>0.50517216899999995</v>
      </c>
      <c r="C47" s="34">
        <f t="shared" si="0"/>
        <v>6.7356289199999994E-3</v>
      </c>
      <c r="E47" s="42">
        <v>0.60238937962100303</v>
      </c>
      <c r="F47" s="43">
        <v>0.91260730868431295</v>
      </c>
      <c r="G47" s="34">
        <f t="shared" si="1"/>
        <v>7.3008584694745039E-3</v>
      </c>
      <c r="I47" s="42">
        <v>0.48017328450989499</v>
      </c>
      <c r="J47" s="43">
        <v>1.34153799685287</v>
      </c>
      <c r="K47" s="34">
        <f t="shared" si="2"/>
        <v>7.6659314105878285E-3</v>
      </c>
      <c r="M47" s="42">
        <v>0.32740316562101002</v>
      </c>
      <c r="N47" s="43">
        <v>1.70531968946275</v>
      </c>
      <c r="O47" s="34">
        <f t="shared" si="3"/>
        <v>8.1205699498226192E-3</v>
      </c>
      <c r="Q47" s="42"/>
      <c r="R47" s="42"/>
      <c r="S47" s="34" t="str">
        <f t="shared" si="4"/>
        <v/>
      </c>
    </row>
    <row r="48" spans="1:19" x14ac:dyDescent="0.25">
      <c r="A48" s="42">
        <v>0.48017328500000001</v>
      </c>
      <c r="B48" s="43">
        <v>0.51885262899999995</v>
      </c>
      <c r="C48" s="34">
        <f t="shared" si="0"/>
        <v>6.9180350533333329E-3</v>
      </c>
      <c r="E48" s="42">
        <v>0.90029111145432905</v>
      </c>
      <c r="F48" s="43">
        <v>0.84970718360693998</v>
      </c>
      <c r="G48" s="34">
        <f t="shared" si="1"/>
        <v>6.7976574688555199E-3</v>
      </c>
      <c r="I48" s="42">
        <v>0.57183535584322598</v>
      </c>
      <c r="J48" s="43">
        <v>1.2891026337448199</v>
      </c>
      <c r="K48" s="34">
        <f t="shared" si="2"/>
        <v>7.3663007642561142E-3</v>
      </c>
      <c r="M48" s="42">
        <v>0.344377623275331</v>
      </c>
      <c r="N48" s="43">
        <v>1.7065503982741601</v>
      </c>
      <c r="O48" s="34">
        <f t="shared" si="3"/>
        <v>8.126430467972191E-3</v>
      </c>
      <c r="Q48" s="42"/>
      <c r="R48" s="42"/>
      <c r="S48" s="34" t="str">
        <f t="shared" si="4"/>
        <v/>
      </c>
    </row>
    <row r="49" spans="1:19" x14ac:dyDescent="0.25">
      <c r="A49" s="42">
        <v>0.54128133199999995</v>
      </c>
      <c r="B49" s="43">
        <v>0.51645791900000004</v>
      </c>
      <c r="C49" s="34">
        <f t="shared" si="0"/>
        <v>6.8861055866666675E-3</v>
      </c>
      <c r="E49" s="42">
        <v>1.3967939978432</v>
      </c>
      <c r="F49" s="43">
        <v>0.74567782645480496</v>
      </c>
      <c r="G49" s="34">
        <f t="shared" si="1"/>
        <v>5.9654226116384393E-3</v>
      </c>
      <c r="I49" s="42">
        <v>0.93848364117655003</v>
      </c>
      <c r="J49" s="43">
        <v>1.1938764710276999</v>
      </c>
      <c r="K49" s="34">
        <f t="shared" si="2"/>
        <v>6.8221512630154283E-3</v>
      </c>
      <c r="M49" s="42">
        <v>0.48017328450989499</v>
      </c>
      <c r="N49" s="43">
        <v>1.6766632704470901</v>
      </c>
      <c r="O49" s="34">
        <f t="shared" si="3"/>
        <v>7.9841108116528101E-3</v>
      </c>
      <c r="Q49" s="42"/>
      <c r="R49" s="42"/>
      <c r="S49" s="34" t="str">
        <f t="shared" si="4"/>
        <v/>
      </c>
    </row>
    <row r="50" spans="1:19" x14ac:dyDescent="0.25">
      <c r="A50" s="42">
        <v>0.63294340299999996</v>
      </c>
      <c r="B50" s="43">
        <v>0.52003255100000001</v>
      </c>
      <c r="C50" s="34">
        <f t="shared" si="0"/>
        <v>6.9337673466666671E-3</v>
      </c>
      <c r="E50" s="42">
        <v>2.0078744733987399</v>
      </c>
      <c r="F50" s="43">
        <v>0.65896416236289601</v>
      </c>
      <c r="G50" s="34">
        <f t="shared" si="1"/>
        <v>5.2717132989031678E-3</v>
      </c>
      <c r="I50" s="42">
        <v>1.6259491761765299</v>
      </c>
      <c r="J50" s="43">
        <v>1.0224801285879901</v>
      </c>
      <c r="K50" s="34">
        <f t="shared" si="2"/>
        <v>5.842743591931372E-3</v>
      </c>
      <c r="M50" s="42">
        <v>0.54128133206544904</v>
      </c>
      <c r="N50" s="43">
        <v>1.6120231292942799</v>
      </c>
      <c r="O50" s="34">
        <f t="shared" si="3"/>
        <v>7.676300615687047E-3</v>
      </c>
      <c r="Q50" s="42"/>
      <c r="R50" s="42"/>
      <c r="S50" s="34" t="str">
        <f t="shared" si="4"/>
        <v/>
      </c>
    </row>
    <row r="51" spans="1:19" x14ac:dyDescent="0.25">
      <c r="A51" s="42">
        <v>0.97667617100000004</v>
      </c>
      <c r="B51" s="43">
        <v>0.48981590600000002</v>
      </c>
      <c r="C51" s="34">
        <f t="shared" si="0"/>
        <v>6.5308787466666672E-3</v>
      </c>
      <c r="E51" s="42">
        <v>2.8574683587512499</v>
      </c>
      <c r="F51" s="43">
        <v>0.565549394297158</v>
      </c>
      <c r="G51" s="34">
        <f t="shared" si="1"/>
        <v>4.5243951543772641E-3</v>
      </c>
      <c r="I51" s="42">
        <v>2.4661848300654001</v>
      </c>
      <c r="J51" s="43">
        <v>0.87369509262428302</v>
      </c>
      <c r="K51" s="34">
        <f t="shared" si="2"/>
        <v>4.9925433864244743E-3</v>
      </c>
      <c r="M51" s="42">
        <v>1.01486870062099</v>
      </c>
      <c r="N51" s="43">
        <v>1.4272334465546499</v>
      </c>
      <c r="O51" s="34">
        <f t="shared" si="3"/>
        <v>6.7963497454983325E-3</v>
      </c>
      <c r="Q51" s="42"/>
      <c r="R51" s="42"/>
      <c r="S51" s="34" t="str">
        <f t="shared" si="4"/>
        <v/>
      </c>
    </row>
    <row r="52" spans="1:19" x14ac:dyDescent="0.25">
      <c r="A52" s="42">
        <v>1.740526765</v>
      </c>
      <c r="B52" s="43">
        <v>0.41521138400000002</v>
      </c>
      <c r="C52" s="34">
        <f t="shared" si="0"/>
        <v>5.5361517866666671E-3</v>
      </c>
      <c r="E52" s="42">
        <v>3.9284131108590099</v>
      </c>
      <c r="F52" s="43">
        <v>0.475034548722226</v>
      </c>
      <c r="G52" s="34">
        <f t="shared" si="1"/>
        <v>3.8002763897778081E-3</v>
      </c>
      <c r="I52" s="42">
        <v>2.8574683587512499</v>
      </c>
      <c r="J52" s="43">
        <v>0.81526942320500495</v>
      </c>
      <c r="K52" s="34">
        <f t="shared" si="2"/>
        <v>4.6586824183143137E-3</v>
      </c>
      <c r="M52" s="42">
        <v>1.66414170589875</v>
      </c>
      <c r="N52" s="43">
        <v>1.23002070312595</v>
      </c>
      <c r="O52" s="34">
        <f t="shared" si="3"/>
        <v>5.8572414434569049E-3</v>
      </c>
      <c r="Q52" s="42"/>
      <c r="R52" s="42"/>
      <c r="S52" s="34" t="str">
        <f t="shared" si="4"/>
        <v/>
      </c>
    </row>
    <row r="53" spans="1:19" x14ac:dyDescent="0.25">
      <c r="A53" s="42">
        <v>2.8574683589999998</v>
      </c>
      <c r="B53" s="43">
        <v>0.33633284400000002</v>
      </c>
      <c r="C53" s="34">
        <f t="shared" si="0"/>
        <v>4.4844379200000006E-3</v>
      </c>
      <c r="E53" s="42">
        <v>5.1723983646685099</v>
      </c>
      <c r="F53" s="43">
        <v>0.39484198476627602</v>
      </c>
      <c r="G53" s="34">
        <f t="shared" si="1"/>
        <v>3.1587358781302081E-3</v>
      </c>
      <c r="I53" s="42">
        <v>3.97206171625584</v>
      </c>
      <c r="J53" s="43">
        <v>0.69591000355876897</v>
      </c>
      <c r="K53" s="34">
        <f t="shared" si="2"/>
        <v>3.9766285917643938E-3</v>
      </c>
      <c r="M53" s="42">
        <v>2.6189549489542898</v>
      </c>
      <c r="N53" s="43">
        <v>1.02146096995491</v>
      </c>
      <c r="O53" s="34">
        <f t="shared" si="3"/>
        <v>4.8640998569281424E-3</v>
      </c>
      <c r="Q53" s="42"/>
      <c r="R53" s="42"/>
      <c r="S53" s="34" t="str">
        <f t="shared" si="4"/>
        <v/>
      </c>
    </row>
    <row r="54" spans="1:19" x14ac:dyDescent="0.25">
      <c r="A54" s="42">
        <v>3.8192915969999999</v>
      </c>
      <c r="B54" s="43">
        <v>0.28927529400000002</v>
      </c>
      <c r="C54" s="34">
        <f t="shared" si="0"/>
        <v>3.8570039200000001E-3</v>
      </c>
      <c r="E54" s="42">
        <v>5.4124656943510399</v>
      </c>
      <c r="F54" s="43">
        <v>0.35561436865590801</v>
      </c>
      <c r="G54" s="34">
        <f t="shared" si="1"/>
        <v>2.8449149492472642E-3</v>
      </c>
      <c r="I54" s="42">
        <v>5.0196282457796197</v>
      </c>
      <c r="J54" s="43">
        <v>0.595879247589023</v>
      </c>
      <c r="K54" s="34">
        <f t="shared" si="2"/>
        <v>3.4050242719372743E-3</v>
      </c>
      <c r="M54" s="42">
        <v>2.8574683587512499</v>
      </c>
      <c r="N54" s="43">
        <v>0.97935096645637298</v>
      </c>
      <c r="O54" s="34">
        <f t="shared" si="3"/>
        <v>4.6635760307446334E-3</v>
      </c>
      <c r="Q54" s="42"/>
      <c r="R54" s="42"/>
      <c r="S54" s="34" t="str">
        <f t="shared" si="4"/>
        <v/>
      </c>
    </row>
    <row r="55" spans="1:19" x14ac:dyDescent="0.25">
      <c r="A55" s="42">
        <v>5.0851011540000002</v>
      </c>
      <c r="B55" s="43">
        <v>0.23844886000000001</v>
      </c>
      <c r="C55" s="34">
        <f t="shared" si="0"/>
        <v>3.1793181333333335E-3</v>
      </c>
      <c r="E55" s="42">
        <v>5.5434115105415103</v>
      </c>
      <c r="F55" s="43">
        <v>0.31815467526876501</v>
      </c>
      <c r="G55" s="34">
        <f t="shared" si="1"/>
        <v>2.5452374021501202E-3</v>
      </c>
      <c r="I55" s="42">
        <v>5.3033441808589803</v>
      </c>
      <c r="J55" s="43">
        <v>0.54056656275884596</v>
      </c>
      <c r="K55" s="34">
        <f t="shared" si="2"/>
        <v>3.0889517871934054E-3</v>
      </c>
      <c r="M55" s="42">
        <v>3.97206171625584</v>
      </c>
      <c r="N55" s="43">
        <v>0.83194646641584102</v>
      </c>
      <c r="O55" s="34">
        <f t="shared" si="3"/>
        <v>3.9616498400754331E-3</v>
      </c>
      <c r="Q55" s="42"/>
      <c r="R55" s="42"/>
      <c r="S55" s="34" t="str">
        <f t="shared" si="4"/>
        <v/>
      </c>
    </row>
    <row r="56" spans="1:19" x14ac:dyDescent="0.25">
      <c r="A56" s="42">
        <v>5.3688170890000002</v>
      </c>
      <c r="B56" s="43">
        <v>0.21375994200000001</v>
      </c>
      <c r="C56" s="34">
        <f t="shared" si="0"/>
        <v>2.8501325599999999E-3</v>
      </c>
      <c r="E56" s="42">
        <v>5.6743573267319896</v>
      </c>
      <c r="F56" s="43">
        <v>0.26394736103441802</v>
      </c>
      <c r="G56" s="34">
        <f t="shared" si="1"/>
        <v>2.1115788882753441E-3</v>
      </c>
      <c r="I56" s="42">
        <v>5.4779386024462804</v>
      </c>
      <c r="J56" s="43">
        <v>0.47768552792249802</v>
      </c>
      <c r="K56" s="34">
        <f t="shared" si="2"/>
        <v>2.7296315881285603E-3</v>
      </c>
      <c r="M56" s="42">
        <v>5.0632768511764503</v>
      </c>
      <c r="N56" s="43">
        <v>0.70460509351499701</v>
      </c>
      <c r="O56" s="34">
        <f t="shared" si="3"/>
        <v>3.3552623500714145E-3</v>
      </c>
      <c r="Q56" s="42"/>
      <c r="R56" s="42"/>
      <c r="S56" s="34" t="str">
        <f t="shared" si="4"/>
        <v/>
      </c>
    </row>
    <row r="57" spans="1:19" x14ac:dyDescent="0.25">
      <c r="A57" s="42">
        <v>5.5434115110000004</v>
      </c>
      <c r="B57" s="43">
        <v>0.182616837</v>
      </c>
      <c r="C57" s="34">
        <f t="shared" si="0"/>
        <v>2.43489116E-3</v>
      </c>
      <c r="E57" s="42">
        <v>5.7149367175024999</v>
      </c>
      <c r="F57" s="43">
        <v>0.23806430721406099</v>
      </c>
      <c r="G57" s="34">
        <f t="shared" si="1"/>
        <v>1.9045144577124879E-3</v>
      </c>
      <c r="I57" s="42">
        <v>5.58706011593834</v>
      </c>
      <c r="J57" s="43">
        <v>0.41678378499481999</v>
      </c>
      <c r="K57" s="34">
        <f t="shared" si="2"/>
        <v>2.3816216285418284E-3</v>
      </c>
      <c r="M57" s="42">
        <v>5.34699278625581</v>
      </c>
      <c r="N57" s="43">
        <v>0.63375185413139501</v>
      </c>
      <c r="O57" s="34">
        <f t="shared" si="3"/>
        <v>3.017865972054262E-3</v>
      </c>
      <c r="Q57" s="42"/>
      <c r="R57" s="42"/>
      <c r="S57" s="34" t="str">
        <f t="shared" si="4"/>
        <v/>
      </c>
    </row>
    <row r="58" spans="1:19" x14ac:dyDescent="0.25">
      <c r="A58" s="42">
        <v>5.6743573270000001</v>
      </c>
      <c r="B58" s="43">
        <v>0.14867328099999999</v>
      </c>
      <c r="C58" s="34">
        <f t="shared" si="0"/>
        <v>1.9823104133333334E-3</v>
      </c>
      <c r="E58" s="42"/>
      <c r="F58" s="42"/>
      <c r="G58" s="34" t="str">
        <f t="shared" si="1"/>
        <v/>
      </c>
      <c r="I58" s="42">
        <v>5.6743573267319896</v>
      </c>
      <c r="J58" s="43">
        <v>0.36073136120120702</v>
      </c>
      <c r="K58" s="34">
        <f t="shared" si="2"/>
        <v>2.0613220640068974E-3</v>
      </c>
      <c r="M58" s="42">
        <v>5.5434115105415103</v>
      </c>
      <c r="N58" s="43">
        <v>0.53555910394665895</v>
      </c>
      <c r="O58" s="34">
        <f t="shared" si="3"/>
        <v>2.5502814473650427E-3</v>
      </c>
      <c r="Q58" s="42"/>
      <c r="R58" s="42"/>
      <c r="S58" s="34" t="str">
        <f t="shared" si="4"/>
        <v/>
      </c>
    </row>
    <row r="59" spans="1:19" x14ac:dyDescent="0.25">
      <c r="A59" s="42">
        <v>5.7149367179999997</v>
      </c>
      <c r="B59" s="43">
        <v>0.13278414799999999</v>
      </c>
      <c r="C59" s="34">
        <f t="shared" si="0"/>
        <v>1.7704553066666664E-3</v>
      </c>
      <c r="E59" s="42"/>
      <c r="F59" s="42"/>
      <c r="G59" s="34" t="str">
        <f t="shared" si="1"/>
        <v/>
      </c>
      <c r="I59" s="42">
        <v>5.7149367175024999</v>
      </c>
      <c r="J59" s="43">
        <v>0.32153798710109599</v>
      </c>
      <c r="K59" s="34">
        <f t="shared" si="2"/>
        <v>1.8373599262919771E-3</v>
      </c>
      <c r="M59" s="42">
        <v>5.6743573267319896</v>
      </c>
      <c r="N59" s="43">
        <v>0.43598070836695901</v>
      </c>
      <c r="O59" s="34">
        <f t="shared" si="3"/>
        <v>2.0760986112712335E-3</v>
      </c>
      <c r="Q59" s="42"/>
      <c r="R59" s="42"/>
      <c r="S59" s="34" t="str">
        <f t="shared" si="4"/>
        <v/>
      </c>
    </row>
    <row r="60" spans="1:19" x14ac:dyDescent="0.25">
      <c r="A60" s="42"/>
      <c r="B60" s="42"/>
      <c r="C60" s="34" t="str">
        <f t="shared" si="0"/>
        <v/>
      </c>
      <c r="E60" s="42"/>
      <c r="F60" s="42"/>
      <c r="G60" s="34" t="str">
        <f t="shared" si="1"/>
        <v/>
      </c>
      <c r="I60" s="42"/>
      <c r="J60" s="42"/>
      <c r="K60" s="34" t="str">
        <f t="shared" si="2"/>
        <v/>
      </c>
      <c r="M60" s="42">
        <v>5.7149367175024999</v>
      </c>
      <c r="N60" s="43">
        <v>0.38928737076303899</v>
      </c>
      <c r="O60" s="34">
        <f t="shared" si="3"/>
        <v>1.8537493845859E-3</v>
      </c>
      <c r="Q60" s="42"/>
      <c r="R60" s="42"/>
      <c r="S60" s="34" t="str">
        <f t="shared" si="4"/>
        <v/>
      </c>
    </row>
    <row r="61" spans="1:19" x14ac:dyDescent="0.25">
      <c r="A61" s="42"/>
      <c r="B61" s="42"/>
      <c r="C61" s="34" t="str">
        <f t="shared" si="0"/>
        <v/>
      </c>
      <c r="E61" s="42"/>
      <c r="F61" s="42"/>
      <c r="G61" s="34" t="str">
        <f t="shared" si="1"/>
        <v/>
      </c>
      <c r="I61" s="42"/>
      <c r="J61" s="42"/>
      <c r="K61" s="34" t="str">
        <f t="shared" si="2"/>
        <v/>
      </c>
      <c r="M61" s="42"/>
      <c r="N61" s="42"/>
      <c r="O61" s="34" t="str">
        <f t="shared" si="3"/>
        <v/>
      </c>
      <c r="Q61" s="42"/>
      <c r="R61" s="42"/>
      <c r="S61" s="34" t="str">
        <f t="shared" si="4"/>
        <v/>
      </c>
    </row>
    <row r="62" spans="1:19" x14ac:dyDescent="0.25">
      <c r="A62" s="42"/>
      <c r="B62" s="42"/>
      <c r="C62" s="34" t="str">
        <f t="shared" si="0"/>
        <v/>
      </c>
      <c r="E62" s="42"/>
      <c r="F62" s="42"/>
      <c r="G62" s="34" t="str">
        <f t="shared" si="1"/>
        <v/>
      </c>
      <c r="I62" s="42"/>
      <c r="J62" s="42"/>
      <c r="K62" s="34" t="str">
        <f t="shared" si="2"/>
        <v/>
      </c>
      <c r="M62" s="42"/>
      <c r="N62" s="42"/>
      <c r="O62" s="34" t="str">
        <f t="shared" si="3"/>
        <v/>
      </c>
      <c r="Q62" s="42"/>
      <c r="R62" s="42"/>
      <c r="S62" s="34" t="str">
        <f t="shared" si="4"/>
        <v/>
      </c>
    </row>
    <row r="63" spans="1:19" x14ac:dyDescent="0.25">
      <c r="A63" s="42"/>
      <c r="B63" s="42"/>
      <c r="C63" s="34" t="str">
        <f t="shared" si="0"/>
        <v/>
      </c>
      <c r="E63" s="42"/>
      <c r="F63" s="42"/>
      <c r="G63" s="34" t="str">
        <f t="shared" si="1"/>
        <v/>
      </c>
      <c r="I63" s="42"/>
      <c r="J63" s="42"/>
      <c r="K63" s="34" t="str">
        <f t="shared" si="2"/>
        <v/>
      </c>
      <c r="M63" s="42"/>
      <c r="N63" s="42"/>
      <c r="O63" s="34" t="str">
        <f t="shared" si="3"/>
        <v/>
      </c>
      <c r="Q63" s="42"/>
      <c r="R63" s="42"/>
      <c r="S63" s="34" t="str">
        <f t="shared" si="4"/>
        <v/>
      </c>
    </row>
    <row r="64" spans="1:19" x14ac:dyDescent="0.25">
      <c r="A64" s="42"/>
      <c r="B64" s="42"/>
      <c r="C64" s="34" t="str">
        <f t="shared" si="0"/>
        <v/>
      </c>
      <c r="E64" s="42"/>
      <c r="F64" s="42"/>
      <c r="G64" s="34" t="str">
        <f t="shared" si="1"/>
        <v/>
      </c>
      <c r="I64" s="42"/>
      <c r="J64" s="42"/>
      <c r="K64" s="34" t="str">
        <f t="shared" si="2"/>
        <v/>
      </c>
      <c r="M64" s="42"/>
      <c r="N64" s="42"/>
      <c r="O64" s="34" t="str">
        <f t="shared" si="3"/>
        <v/>
      </c>
      <c r="Q64" s="42"/>
      <c r="R64" s="42"/>
      <c r="S64" s="34" t="str">
        <f t="shared" si="4"/>
        <v/>
      </c>
    </row>
    <row r="65" spans="1:19" x14ac:dyDescent="0.25">
      <c r="A65" s="42"/>
      <c r="B65" s="42"/>
      <c r="C65" s="34" t="str">
        <f t="shared" si="0"/>
        <v/>
      </c>
      <c r="E65" s="42"/>
      <c r="F65" s="42"/>
      <c r="G65" s="34" t="str">
        <f t="shared" si="1"/>
        <v/>
      </c>
      <c r="I65" s="42"/>
      <c r="J65" s="42"/>
      <c r="K65" s="34" t="str">
        <f t="shared" si="2"/>
        <v/>
      </c>
      <c r="M65" s="42"/>
      <c r="N65" s="42"/>
      <c r="O65" s="34" t="str">
        <f t="shared" si="3"/>
        <v/>
      </c>
      <c r="Q65" s="42"/>
      <c r="R65" s="42"/>
      <c r="S65" s="34" t="str">
        <f t="shared" si="4"/>
        <v/>
      </c>
    </row>
    <row r="66" spans="1:19" x14ac:dyDescent="0.25">
      <c r="A66" s="42"/>
      <c r="B66" s="42"/>
      <c r="C66" s="34" t="str">
        <f t="shared" si="0"/>
        <v/>
      </c>
      <c r="E66" s="42"/>
      <c r="F66" s="42"/>
      <c r="G66" s="34" t="str">
        <f t="shared" si="1"/>
        <v/>
      </c>
      <c r="I66" s="42"/>
      <c r="J66" s="42"/>
      <c r="K66" s="34" t="str">
        <f t="shared" si="2"/>
        <v/>
      </c>
      <c r="M66" s="42"/>
      <c r="N66" s="42"/>
      <c r="O66" s="34" t="str">
        <f t="shared" si="3"/>
        <v/>
      </c>
      <c r="Q66" s="42"/>
      <c r="R66" s="42"/>
      <c r="S66" s="34" t="str">
        <f t="shared" si="4"/>
        <v/>
      </c>
    </row>
    <row r="67" spans="1:19" x14ac:dyDescent="0.25">
      <c r="A67" s="42"/>
      <c r="B67" s="42"/>
      <c r="C67" s="34" t="str">
        <f t="shared" si="0"/>
        <v/>
      </c>
      <c r="E67" s="42"/>
      <c r="F67" s="42"/>
      <c r="G67" s="34" t="str">
        <f t="shared" si="1"/>
        <v/>
      </c>
      <c r="I67" s="42"/>
      <c r="J67" s="42"/>
      <c r="K67" s="34" t="str">
        <f t="shared" si="2"/>
        <v/>
      </c>
      <c r="M67" s="42"/>
      <c r="N67" s="42"/>
      <c r="O67" s="34" t="str">
        <f t="shared" si="3"/>
        <v/>
      </c>
      <c r="Q67" s="42"/>
      <c r="R67" s="42"/>
      <c r="S67" s="34" t="str">
        <f t="shared" si="4"/>
        <v/>
      </c>
    </row>
    <row r="68" spans="1:19" x14ac:dyDescent="0.25">
      <c r="A68" s="42"/>
      <c r="B68" s="42"/>
      <c r="C68" s="34" t="str">
        <f t="shared" si="0"/>
        <v/>
      </c>
      <c r="E68" s="42"/>
      <c r="F68" s="42"/>
      <c r="G68" s="34" t="str">
        <f t="shared" si="1"/>
        <v/>
      </c>
      <c r="I68" s="42"/>
      <c r="J68" s="42"/>
      <c r="K68" s="34" t="str">
        <f t="shared" si="2"/>
        <v/>
      </c>
      <c r="M68" s="42"/>
      <c r="N68" s="42"/>
      <c r="O68" s="34" t="str">
        <f t="shared" si="3"/>
        <v/>
      </c>
      <c r="Q68" s="42"/>
      <c r="R68" s="42"/>
      <c r="S68" s="34" t="str">
        <f t="shared" si="4"/>
        <v/>
      </c>
    </row>
    <row r="69" spans="1:19" x14ac:dyDescent="0.25">
      <c r="A69" s="42"/>
      <c r="B69" s="42"/>
      <c r="C69" s="34" t="str">
        <f t="shared" si="0"/>
        <v/>
      </c>
      <c r="E69" s="42"/>
      <c r="F69" s="42"/>
      <c r="G69" s="34" t="str">
        <f t="shared" si="1"/>
        <v/>
      </c>
      <c r="I69" s="42"/>
      <c r="J69" s="42"/>
      <c r="K69" s="34" t="str">
        <f t="shared" si="2"/>
        <v/>
      </c>
      <c r="M69" s="42"/>
      <c r="N69" s="42"/>
      <c r="O69" s="34" t="str">
        <f t="shared" si="3"/>
        <v/>
      </c>
      <c r="Q69" s="42"/>
      <c r="R69" s="42"/>
      <c r="S69" s="34" t="str">
        <f t="shared" si="4"/>
        <v/>
      </c>
    </row>
    <row r="70" spans="1:19" x14ac:dyDescent="0.25">
      <c r="A70" s="42"/>
      <c r="B70" s="42"/>
      <c r="C70" s="34" t="str">
        <f t="shared" si="0"/>
        <v/>
      </c>
      <c r="E70" s="42"/>
      <c r="F70" s="42"/>
      <c r="G70" s="34" t="str">
        <f t="shared" si="1"/>
        <v/>
      </c>
      <c r="I70" s="42"/>
      <c r="J70" s="42"/>
      <c r="K70" s="34" t="str">
        <f t="shared" si="2"/>
        <v/>
      </c>
      <c r="M70" s="42"/>
      <c r="N70" s="42"/>
      <c r="O70" s="34" t="str">
        <f t="shared" si="3"/>
        <v/>
      </c>
      <c r="Q70" s="42"/>
      <c r="R70" s="42"/>
      <c r="S70" s="34" t="str">
        <f t="shared" si="4"/>
        <v/>
      </c>
    </row>
    <row r="71" spans="1:19" x14ac:dyDescent="0.25">
      <c r="A71" s="42"/>
      <c r="B71" s="42"/>
      <c r="C71" s="34" t="str">
        <f t="shared" si="0"/>
        <v/>
      </c>
      <c r="E71" s="42"/>
      <c r="F71" s="42"/>
      <c r="G71" s="34" t="str">
        <f t="shared" si="1"/>
        <v/>
      </c>
      <c r="I71" s="42"/>
      <c r="J71" s="42"/>
      <c r="K71" s="34" t="str">
        <f t="shared" si="2"/>
        <v/>
      </c>
      <c r="M71" s="42"/>
      <c r="N71" s="42"/>
      <c r="O71" s="34" t="str">
        <f t="shared" si="3"/>
        <v/>
      </c>
      <c r="Q71" s="42"/>
      <c r="R71" s="42"/>
      <c r="S71" s="34" t="str">
        <f t="shared" si="4"/>
        <v/>
      </c>
    </row>
    <row r="72" spans="1:19" x14ac:dyDescent="0.25">
      <c r="A72" s="42"/>
      <c r="B72" s="42"/>
      <c r="C72" s="34" t="str">
        <f t="shared" si="0"/>
        <v/>
      </c>
      <c r="E72" s="42"/>
      <c r="F72" s="42"/>
      <c r="G72" s="34" t="str">
        <f t="shared" si="1"/>
        <v/>
      </c>
      <c r="I72" s="42"/>
      <c r="J72" s="42"/>
      <c r="K72" s="34" t="str">
        <f t="shared" si="2"/>
        <v/>
      </c>
      <c r="M72" s="42"/>
      <c r="N72" s="42"/>
      <c r="O72" s="34" t="str">
        <f t="shared" si="3"/>
        <v/>
      </c>
      <c r="Q72" s="42"/>
      <c r="R72" s="42"/>
      <c r="S72" s="34" t="str">
        <f t="shared" si="4"/>
        <v/>
      </c>
    </row>
    <row r="73" spans="1:19" x14ac:dyDescent="0.25">
      <c r="A73" s="42"/>
      <c r="B73" s="42"/>
      <c r="C73" s="34" t="str">
        <f t="shared" si="0"/>
        <v/>
      </c>
      <c r="E73" s="42"/>
      <c r="F73" s="42"/>
      <c r="G73" s="34" t="str">
        <f t="shared" si="1"/>
        <v/>
      </c>
      <c r="I73" s="42"/>
      <c r="J73" s="42"/>
      <c r="K73" s="34" t="str">
        <f t="shared" si="2"/>
        <v/>
      </c>
      <c r="M73" s="42"/>
      <c r="N73" s="42"/>
      <c r="O73" s="34" t="str">
        <f t="shared" si="3"/>
        <v/>
      </c>
      <c r="Q73" s="42"/>
      <c r="R73" s="42"/>
      <c r="S73" s="34" t="str">
        <f t="shared" si="4"/>
        <v/>
      </c>
    </row>
    <row r="74" spans="1:19" x14ac:dyDescent="0.25">
      <c r="A74" s="42"/>
      <c r="B74" s="42"/>
      <c r="C74" s="34" t="str">
        <f t="shared" ref="C74:C137" si="5">IF(OR(B74="",B$4=""),"",B74/B$4)</f>
        <v/>
      </c>
      <c r="E74" s="42"/>
      <c r="F74" s="42"/>
      <c r="G74" s="34" t="str">
        <f t="shared" ref="G74:G137" si="6">IF(OR(F74="",F$4=""),"",F74/F$4)</f>
        <v/>
      </c>
      <c r="I74" s="42"/>
      <c r="J74" s="42"/>
      <c r="K74" s="34" t="str">
        <f t="shared" ref="K74:K137" si="7">IF(OR(J74="",J$4=""),"",J74/J$4)</f>
        <v/>
      </c>
      <c r="M74" s="42"/>
      <c r="N74" s="42"/>
      <c r="O74" s="34" t="str">
        <f t="shared" ref="O74:O137" si="8">IF(OR(N74="",N$4=""),"",N74/N$4)</f>
        <v/>
      </c>
      <c r="Q74" s="42"/>
      <c r="R74" s="42"/>
      <c r="S74" s="34" t="str">
        <f t="shared" ref="S74:S137" si="9">IF(OR(R74="",R$4=""),"",R74/R$4)</f>
        <v/>
      </c>
    </row>
    <row r="75" spans="1:19" x14ac:dyDescent="0.25">
      <c r="A75" s="42"/>
      <c r="B75" s="42"/>
      <c r="C75" s="34" t="str">
        <f t="shared" si="5"/>
        <v/>
      </c>
      <c r="E75" s="42"/>
      <c r="F75" s="42"/>
      <c r="G75" s="34" t="str">
        <f t="shared" si="6"/>
        <v/>
      </c>
      <c r="I75" s="42"/>
      <c r="J75" s="42"/>
      <c r="K75" s="34" t="str">
        <f t="shared" si="7"/>
        <v/>
      </c>
      <c r="M75" s="42"/>
      <c r="N75" s="42"/>
      <c r="O75" s="34" t="str">
        <f t="shared" si="8"/>
        <v/>
      </c>
      <c r="Q75" s="42"/>
      <c r="R75" s="42"/>
      <c r="S75" s="34" t="str">
        <f t="shared" si="9"/>
        <v/>
      </c>
    </row>
    <row r="76" spans="1:19" x14ac:dyDescent="0.25">
      <c r="A76" s="42"/>
      <c r="B76" s="42"/>
      <c r="C76" s="34" t="str">
        <f t="shared" si="5"/>
        <v/>
      </c>
      <c r="E76" s="42"/>
      <c r="F76" s="42"/>
      <c r="G76" s="34" t="str">
        <f t="shared" si="6"/>
        <v/>
      </c>
      <c r="I76" s="42"/>
      <c r="J76" s="42"/>
      <c r="K76" s="34" t="str">
        <f t="shared" si="7"/>
        <v/>
      </c>
      <c r="M76" s="42"/>
      <c r="N76" s="42"/>
      <c r="O76" s="34" t="str">
        <f t="shared" si="8"/>
        <v/>
      </c>
      <c r="Q76" s="42"/>
      <c r="R76" s="42"/>
      <c r="S76" s="34" t="str">
        <f t="shared" si="9"/>
        <v/>
      </c>
    </row>
    <row r="77" spans="1:19" x14ac:dyDescent="0.25">
      <c r="A77" s="42"/>
      <c r="B77" s="42"/>
      <c r="C77" s="34" t="str">
        <f t="shared" si="5"/>
        <v/>
      </c>
      <c r="E77" s="42"/>
      <c r="F77" s="42"/>
      <c r="G77" s="34" t="str">
        <f t="shared" si="6"/>
        <v/>
      </c>
      <c r="I77" s="42"/>
      <c r="J77" s="42"/>
      <c r="K77" s="34" t="str">
        <f t="shared" si="7"/>
        <v/>
      </c>
      <c r="M77" s="42"/>
      <c r="N77" s="42"/>
      <c r="O77" s="34" t="str">
        <f t="shared" si="8"/>
        <v/>
      </c>
      <c r="Q77" s="42"/>
      <c r="R77" s="42"/>
      <c r="S77" s="34" t="str">
        <f t="shared" si="9"/>
        <v/>
      </c>
    </row>
    <row r="78" spans="1:19" x14ac:dyDescent="0.25">
      <c r="A78" s="42"/>
      <c r="B78" s="42"/>
      <c r="C78" s="34" t="str">
        <f t="shared" si="5"/>
        <v/>
      </c>
      <c r="E78" s="42"/>
      <c r="F78" s="42"/>
      <c r="G78" s="34" t="str">
        <f t="shared" si="6"/>
        <v/>
      </c>
      <c r="I78" s="42"/>
      <c r="J78" s="42"/>
      <c r="K78" s="34" t="str">
        <f t="shared" si="7"/>
        <v/>
      </c>
      <c r="M78" s="42"/>
      <c r="N78" s="42"/>
      <c r="O78" s="34" t="str">
        <f t="shared" si="8"/>
        <v/>
      </c>
      <c r="Q78" s="42"/>
      <c r="R78" s="42"/>
      <c r="S78" s="34" t="str">
        <f t="shared" si="9"/>
        <v/>
      </c>
    </row>
    <row r="79" spans="1:19" x14ac:dyDescent="0.25">
      <c r="A79" s="42"/>
      <c r="B79" s="42"/>
      <c r="C79" s="34" t="str">
        <f t="shared" si="5"/>
        <v/>
      </c>
      <c r="E79" s="42"/>
      <c r="F79" s="42"/>
      <c r="G79" s="34" t="str">
        <f t="shared" si="6"/>
        <v/>
      </c>
      <c r="I79" s="42"/>
      <c r="J79" s="42"/>
      <c r="K79" s="34" t="str">
        <f t="shared" si="7"/>
        <v/>
      </c>
      <c r="M79" s="42"/>
      <c r="N79" s="42"/>
      <c r="O79" s="34" t="str">
        <f t="shared" si="8"/>
        <v/>
      </c>
      <c r="Q79" s="42"/>
      <c r="R79" s="42"/>
      <c r="S79" s="34" t="str">
        <f t="shared" si="9"/>
        <v/>
      </c>
    </row>
    <row r="80" spans="1:19" x14ac:dyDescent="0.25">
      <c r="A80" s="42"/>
      <c r="B80" s="42"/>
      <c r="C80" s="34" t="str">
        <f t="shared" si="5"/>
        <v/>
      </c>
      <c r="E80" s="42"/>
      <c r="F80" s="42"/>
      <c r="G80" s="34" t="str">
        <f t="shared" si="6"/>
        <v/>
      </c>
      <c r="I80" s="42"/>
      <c r="J80" s="42"/>
      <c r="K80" s="34" t="str">
        <f t="shared" si="7"/>
        <v/>
      </c>
      <c r="M80" s="42"/>
      <c r="N80" s="42"/>
      <c r="O80" s="34" t="str">
        <f t="shared" si="8"/>
        <v/>
      </c>
      <c r="Q80" s="42"/>
      <c r="R80" s="42"/>
      <c r="S80" s="34" t="str">
        <f t="shared" si="9"/>
        <v/>
      </c>
    </row>
    <row r="81" spans="1:19" x14ac:dyDescent="0.25">
      <c r="A81" s="42"/>
      <c r="B81" s="42"/>
      <c r="C81" s="34" t="str">
        <f t="shared" si="5"/>
        <v/>
      </c>
      <c r="E81" s="42"/>
      <c r="F81" s="42"/>
      <c r="G81" s="34" t="str">
        <f t="shared" si="6"/>
        <v/>
      </c>
      <c r="I81" s="42"/>
      <c r="J81" s="42"/>
      <c r="K81" s="34" t="str">
        <f t="shared" si="7"/>
        <v/>
      </c>
      <c r="M81" s="42"/>
      <c r="N81" s="42"/>
      <c r="O81" s="34" t="str">
        <f t="shared" si="8"/>
        <v/>
      </c>
      <c r="Q81" s="42"/>
      <c r="R81" s="42"/>
      <c r="S81" s="34" t="str">
        <f t="shared" si="9"/>
        <v/>
      </c>
    </row>
    <row r="82" spans="1:19" x14ac:dyDescent="0.25">
      <c r="A82" s="42"/>
      <c r="B82" s="42"/>
      <c r="C82" s="34" t="str">
        <f t="shared" si="5"/>
        <v/>
      </c>
      <c r="E82" s="42"/>
      <c r="F82" s="42"/>
      <c r="G82" s="34" t="str">
        <f t="shared" si="6"/>
        <v/>
      </c>
      <c r="I82" s="42"/>
      <c r="J82" s="42"/>
      <c r="K82" s="34" t="str">
        <f t="shared" si="7"/>
        <v/>
      </c>
      <c r="M82" s="42"/>
      <c r="N82" s="42"/>
      <c r="O82" s="34" t="str">
        <f t="shared" si="8"/>
        <v/>
      </c>
      <c r="Q82" s="42"/>
      <c r="R82" s="42"/>
      <c r="S82" s="34" t="str">
        <f t="shared" si="9"/>
        <v/>
      </c>
    </row>
    <row r="83" spans="1:19" x14ac:dyDescent="0.25">
      <c r="A83" s="42"/>
      <c r="B83" s="42"/>
      <c r="C83" s="34" t="str">
        <f t="shared" si="5"/>
        <v/>
      </c>
      <c r="E83" s="42"/>
      <c r="F83" s="42"/>
      <c r="G83" s="34" t="str">
        <f t="shared" si="6"/>
        <v/>
      </c>
      <c r="I83" s="42"/>
      <c r="J83" s="42"/>
      <c r="K83" s="34" t="str">
        <f t="shared" si="7"/>
        <v/>
      </c>
      <c r="M83" s="42"/>
      <c r="N83" s="42"/>
      <c r="O83" s="34" t="str">
        <f t="shared" si="8"/>
        <v/>
      </c>
      <c r="Q83" s="42"/>
      <c r="R83" s="42"/>
      <c r="S83" s="34" t="str">
        <f t="shared" si="9"/>
        <v/>
      </c>
    </row>
    <row r="84" spans="1:19" x14ac:dyDescent="0.25">
      <c r="A84" s="42"/>
      <c r="B84" s="42"/>
      <c r="C84" s="34" t="str">
        <f t="shared" si="5"/>
        <v/>
      </c>
      <c r="E84" s="42"/>
      <c r="F84" s="42"/>
      <c r="G84" s="34" t="str">
        <f t="shared" si="6"/>
        <v/>
      </c>
      <c r="I84" s="42"/>
      <c r="J84" s="42"/>
      <c r="K84" s="34" t="str">
        <f t="shared" si="7"/>
        <v/>
      </c>
      <c r="M84" s="42"/>
      <c r="N84" s="42"/>
      <c r="O84" s="34" t="str">
        <f t="shared" si="8"/>
        <v/>
      </c>
      <c r="Q84" s="42"/>
      <c r="R84" s="42"/>
      <c r="S84" s="34" t="str">
        <f t="shared" si="9"/>
        <v/>
      </c>
    </row>
    <row r="85" spans="1:19" x14ac:dyDescent="0.25">
      <c r="A85" s="42"/>
      <c r="B85" s="42"/>
      <c r="C85" s="34" t="str">
        <f t="shared" si="5"/>
        <v/>
      </c>
      <c r="E85" s="42"/>
      <c r="F85" s="42"/>
      <c r="G85" s="34" t="str">
        <f t="shared" si="6"/>
        <v/>
      </c>
      <c r="I85" s="42"/>
      <c r="J85" s="42"/>
      <c r="K85" s="34" t="str">
        <f t="shared" si="7"/>
        <v/>
      </c>
      <c r="M85" s="42"/>
      <c r="N85" s="42"/>
      <c r="O85" s="34" t="str">
        <f t="shared" si="8"/>
        <v/>
      </c>
      <c r="Q85" s="42"/>
      <c r="R85" s="42"/>
      <c r="S85" s="34" t="str">
        <f t="shared" si="9"/>
        <v/>
      </c>
    </row>
    <row r="86" spans="1:19" x14ac:dyDescent="0.25">
      <c r="A86" s="42"/>
      <c r="B86" s="42"/>
      <c r="C86" s="34" t="str">
        <f t="shared" si="5"/>
        <v/>
      </c>
      <c r="E86" s="42"/>
      <c r="F86" s="42"/>
      <c r="G86" s="34" t="str">
        <f t="shared" si="6"/>
        <v/>
      </c>
      <c r="I86" s="42"/>
      <c r="J86" s="42"/>
      <c r="K86" s="34" t="str">
        <f t="shared" si="7"/>
        <v/>
      </c>
      <c r="M86" s="42"/>
      <c r="N86" s="42"/>
      <c r="O86" s="34" t="str">
        <f t="shared" si="8"/>
        <v/>
      </c>
      <c r="Q86" s="42"/>
      <c r="R86" s="42"/>
      <c r="S86" s="34" t="str">
        <f t="shared" si="9"/>
        <v/>
      </c>
    </row>
    <row r="87" spans="1:19" x14ac:dyDescent="0.25">
      <c r="A87" s="42"/>
      <c r="B87" s="42"/>
      <c r="C87" s="34" t="str">
        <f t="shared" si="5"/>
        <v/>
      </c>
      <c r="E87" s="42"/>
      <c r="F87" s="42"/>
      <c r="G87" s="34" t="str">
        <f t="shared" si="6"/>
        <v/>
      </c>
      <c r="I87" s="42"/>
      <c r="J87" s="42"/>
      <c r="K87" s="34" t="str">
        <f t="shared" si="7"/>
        <v/>
      </c>
      <c r="M87" s="42"/>
      <c r="N87" s="42"/>
      <c r="O87" s="34" t="str">
        <f t="shared" si="8"/>
        <v/>
      </c>
      <c r="Q87" s="42"/>
      <c r="R87" s="42"/>
      <c r="S87" s="34" t="str">
        <f t="shared" si="9"/>
        <v/>
      </c>
    </row>
    <row r="88" spans="1:19" x14ac:dyDescent="0.25">
      <c r="A88" s="42"/>
      <c r="B88" s="42"/>
      <c r="C88" s="34" t="str">
        <f t="shared" si="5"/>
        <v/>
      </c>
      <c r="E88" s="42"/>
      <c r="F88" s="42"/>
      <c r="G88" s="34" t="str">
        <f t="shared" si="6"/>
        <v/>
      </c>
      <c r="I88" s="42"/>
      <c r="J88" s="42"/>
      <c r="K88" s="34" t="str">
        <f t="shared" si="7"/>
        <v/>
      </c>
      <c r="M88" s="42"/>
      <c r="N88" s="42"/>
      <c r="O88" s="34" t="str">
        <f t="shared" si="8"/>
        <v/>
      </c>
      <c r="Q88" s="42"/>
      <c r="R88" s="42"/>
      <c r="S88" s="34" t="str">
        <f t="shared" si="9"/>
        <v/>
      </c>
    </row>
    <row r="89" spans="1:19" x14ac:dyDescent="0.25">
      <c r="A89" s="42"/>
      <c r="B89" s="42"/>
      <c r="C89" s="34" t="str">
        <f t="shared" si="5"/>
        <v/>
      </c>
      <c r="E89" s="42"/>
      <c r="F89" s="42"/>
      <c r="G89" s="34" t="str">
        <f t="shared" si="6"/>
        <v/>
      </c>
      <c r="I89" s="42"/>
      <c r="J89" s="42"/>
      <c r="K89" s="34" t="str">
        <f t="shared" si="7"/>
        <v/>
      </c>
      <c r="M89" s="42"/>
      <c r="N89" s="42"/>
      <c r="O89" s="34" t="str">
        <f t="shared" si="8"/>
        <v/>
      </c>
      <c r="Q89" s="42"/>
      <c r="R89" s="42"/>
      <c r="S89" s="34" t="str">
        <f t="shared" si="9"/>
        <v/>
      </c>
    </row>
    <row r="90" spans="1:19" x14ac:dyDescent="0.25">
      <c r="A90" s="42"/>
      <c r="B90" s="42"/>
      <c r="C90" s="34" t="str">
        <f t="shared" si="5"/>
        <v/>
      </c>
      <c r="E90" s="42"/>
      <c r="F90" s="42"/>
      <c r="G90" s="34" t="str">
        <f t="shared" si="6"/>
        <v/>
      </c>
      <c r="I90" s="42"/>
      <c r="J90" s="42"/>
      <c r="K90" s="34" t="str">
        <f t="shared" si="7"/>
        <v/>
      </c>
      <c r="M90" s="42"/>
      <c r="N90" s="42"/>
      <c r="O90" s="34" t="str">
        <f t="shared" si="8"/>
        <v/>
      </c>
      <c r="Q90" s="42"/>
      <c r="R90" s="42"/>
      <c r="S90" s="34" t="str">
        <f t="shared" si="9"/>
        <v/>
      </c>
    </row>
    <row r="91" spans="1:19" x14ac:dyDescent="0.25">
      <c r="A91" s="42"/>
      <c r="B91" s="42"/>
      <c r="C91" s="34" t="str">
        <f t="shared" si="5"/>
        <v/>
      </c>
      <c r="E91" s="42"/>
      <c r="F91" s="42"/>
      <c r="G91" s="34" t="str">
        <f t="shared" si="6"/>
        <v/>
      </c>
      <c r="I91" s="42"/>
      <c r="J91" s="42"/>
      <c r="K91" s="34" t="str">
        <f t="shared" si="7"/>
        <v/>
      </c>
      <c r="M91" s="42"/>
      <c r="N91" s="42"/>
      <c r="O91" s="34" t="str">
        <f t="shared" si="8"/>
        <v/>
      </c>
      <c r="Q91" s="42"/>
      <c r="R91" s="42"/>
      <c r="S91" s="34" t="str">
        <f t="shared" si="9"/>
        <v/>
      </c>
    </row>
    <row r="92" spans="1:19" x14ac:dyDescent="0.25">
      <c r="A92" s="42"/>
      <c r="B92" s="42"/>
      <c r="C92" s="34" t="str">
        <f t="shared" si="5"/>
        <v/>
      </c>
      <c r="E92" s="42"/>
      <c r="F92" s="42"/>
      <c r="G92" s="34" t="str">
        <f t="shared" si="6"/>
        <v/>
      </c>
      <c r="I92" s="42"/>
      <c r="J92" s="42"/>
      <c r="K92" s="34" t="str">
        <f t="shared" si="7"/>
        <v/>
      </c>
      <c r="M92" s="42"/>
      <c r="N92" s="42"/>
      <c r="O92" s="34" t="str">
        <f t="shared" si="8"/>
        <v/>
      </c>
      <c r="Q92" s="42"/>
      <c r="R92" s="42"/>
      <c r="S92" s="34" t="str">
        <f t="shared" si="9"/>
        <v/>
      </c>
    </row>
    <row r="93" spans="1:19" x14ac:dyDescent="0.25">
      <c r="A93" s="42"/>
      <c r="B93" s="42"/>
      <c r="C93" s="34" t="str">
        <f t="shared" si="5"/>
        <v/>
      </c>
      <c r="E93" s="42"/>
      <c r="F93" s="42"/>
      <c r="G93" s="34" t="str">
        <f t="shared" si="6"/>
        <v/>
      </c>
      <c r="I93" s="42"/>
      <c r="J93" s="42"/>
      <c r="K93" s="34" t="str">
        <f t="shared" si="7"/>
        <v/>
      </c>
      <c r="M93" s="42"/>
      <c r="N93" s="42"/>
      <c r="O93" s="34" t="str">
        <f t="shared" si="8"/>
        <v/>
      </c>
      <c r="Q93" s="42"/>
      <c r="R93" s="42"/>
      <c r="S93" s="34" t="str">
        <f t="shared" si="9"/>
        <v/>
      </c>
    </row>
    <row r="94" spans="1:19" x14ac:dyDescent="0.25">
      <c r="A94" s="42"/>
      <c r="B94" s="42"/>
      <c r="C94" s="34" t="str">
        <f t="shared" si="5"/>
        <v/>
      </c>
      <c r="E94" s="42"/>
      <c r="F94" s="42"/>
      <c r="G94" s="34" t="str">
        <f t="shared" si="6"/>
        <v/>
      </c>
      <c r="I94" s="42"/>
      <c r="J94" s="42"/>
      <c r="K94" s="34" t="str">
        <f t="shared" si="7"/>
        <v/>
      </c>
      <c r="M94" s="42"/>
      <c r="N94" s="42"/>
      <c r="O94" s="34" t="str">
        <f t="shared" si="8"/>
        <v/>
      </c>
      <c r="Q94" s="42"/>
      <c r="R94" s="42"/>
      <c r="S94" s="34" t="str">
        <f t="shared" si="9"/>
        <v/>
      </c>
    </row>
    <row r="95" spans="1:19" x14ac:dyDescent="0.25">
      <c r="A95" s="42"/>
      <c r="B95" s="42"/>
      <c r="C95" s="34" t="str">
        <f t="shared" si="5"/>
        <v/>
      </c>
      <c r="E95" s="42"/>
      <c r="F95" s="42"/>
      <c r="G95" s="34" t="str">
        <f t="shared" si="6"/>
        <v/>
      </c>
      <c r="I95" s="42"/>
      <c r="J95" s="42"/>
      <c r="K95" s="34" t="str">
        <f t="shared" si="7"/>
        <v/>
      </c>
      <c r="M95" s="42"/>
      <c r="N95" s="42"/>
      <c r="O95" s="34" t="str">
        <f t="shared" si="8"/>
        <v/>
      </c>
      <c r="Q95" s="42"/>
      <c r="R95" s="42"/>
      <c r="S95" s="34" t="str">
        <f t="shared" si="9"/>
        <v/>
      </c>
    </row>
    <row r="96" spans="1:19" x14ac:dyDescent="0.25">
      <c r="A96" s="42"/>
      <c r="B96" s="42"/>
      <c r="C96" s="34" t="str">
        <f t="shared" si="5"/>
        <v/>
      </c>
      <c r="E96" s="42"/>
      <c r="F96" s="42"/>
      <c r="G96" s="34" t="str">
        <f t="shared" si="6"/>
        <v/>
      </c>
      <c r="I96" s="42"/>
      <c r="J96" s="42"/>
      <c r="K96" s="34" t="str">
        <f t="shared" si="7"/>
        <v/>
      </c>
      <c r="M96" s="42"/>
      <c r="N96" s="42"/>
      <c r="O96" s="34" t="str">
        <f t="shared" si="8"/>
        <v/>
      </c>
      <c r="Q96" s="42"/>
      <c r="R96" s="42"/>
      <c r="S96" s="34" t="str">
        <f t="shared" si="9"/>
        <v/>
      </c>
    </row>
    <row r="97" spans="1:19" x14ac:dyDescent="0.25">
      <c r="A97" s="42"/>
      <c r="B97" s="42"/>
      <c r="C97" s="34" t="str">
        <f t="shared" si="5"/>
        <v/>
      </c>
      <c r="E97" s="42"/>
      <c r="F97" s="42"/>
      <c r="G97" s="34" t="str">
        <f t="shared" si="6"/>
        <v/>
      </c>
      <c r="I97" s="42"/>
      <c r="J97" s="42"/>
      <c r="K97" s="34" t="str">
        <f t="shared" si="7"/>
        <v/>
      </c>
      <c r="M97" s="42"/>
      <c r="N97" s="42"/>
      <c r="O97" s="34" t="str">
        <f t="shared" si="8"/>
        <v/>
      </c>
      <c r="Q97" s="42"/>
      <c r="R97" s="42"/>
      <c r="S97" s="34" t="str">
        <f t="shared" si="9"/>
        <v/>
      </c>
    </row>
    <row r="98" spans="1:19" x14ac:dyDescent="0.25">
      <c r="A98" s="42"/>
      <c r="B98" s="42"/>
      <c r="C98" s="34" t="str">
        <f t="shared" si="5"/>
        <v/>
      </c>
      <c r="E98" s="42"/>
      <c r="F98" s="42"/>
      <c r="G98" s="34" t="str">
        <f t="shared" si="6"/>
        <v/>
      </c>
      <c r="I98" s="42"/>
      <c r="J98" s="42"/>
      <c r="K98" s="34" t="str">
        <f t="shared" si="7"/>
        <v/>
      </c>
      <c r="M98" s="42"/>
      <c r="N98" s="42"/>
      <c r="O98" s="34" t="str">
        <f t="shared" si="8"/>
        <v/>
      </c>
      <c r="Q98" s="42"/>
      <c r="R98" s="42"/>
      <c r="S98" s="34" t="str">
        <f t="shared" si="9"/>
        <v/>
      </c>
    </row>
    <row r="99" spans="1:19" x14ac:dyDescent="0.25">
      <c r="A99" s="42"/>
      <c r="B99" s="42"/>
      <c r="C99" s="34" t="str">
        <f t="shared" si="5"/>
        <v/>
      </c>
      <c r="E99" s="42"/>
      <c r="F99" s="42"/>
      <c r="G99" s="34" t="str">
        <f t="shared" si="6"/>
        <v/>
      </c>
      <c r="I99" s="42"/>
      <c r="J99" s="42"/>
      <c r="K99" s="34" t="str">
        <f t="shared" si="7"/>
        <v/>
      </c>
      <c r="M99" s="42"/>
      <c r="N99" s="42"/>
      <c r="O99" s="34" t="str">
        <f t="shared" si="8"/>
        <v/>
      </c>
      <c r="Q99" s="42"/>
      <c r="R99" s="42"/>
      <c r="S99" s="34" t="str">
        <f t="shared" si="9"/>
        <v/>
      </c>
    </row>
    <row r="100" spans="1:19" x14ac:dyDescent="0.25">
      <c r="A100" s="42"/>
      <c r="B100" s="42"/>
      <c r="C100" s="34" t="str">
        <f t="shared" si="5"/>
        <v/>
      </c>
      <c r="E100" s="42"/>
      <c r="F100" s="42"/>
      <c r="G100" s="34" t="str">
        <f t="shared" si="6"/>
        <v/>
      </c>
      <c r="I100" s="42"/>
      <c r="J100" s="42"/>
      <c r="K100" s="34" t="str">
        <f t="shared" si="7"/>
        <v/>
      </c>
      <c r="M100" s="42"/>
      <c r="N100" s="42"/>
      <c r="O100" s="34" t="str">
        <f t="shared" si="8"/>
        <v/>
      </c>
      <c r="Q100" s="42"/>
      <c r="R100" s="42"/>
      <c r="S100" s="34" t="str">
        <f t="shared" si="9"/>
        <v/>
      </c>
    </row>
    <row r="101" spans="1:19" x14ac:dyDescent="0.25">
      <c r="A101" s="42"/>
      <c r="B101" s="42"/>
      <c r="C101" s="34" t="str">
        <f t="shared" si="5"/>
        <v/>
      </c>
      <c r="E101" s="42"/>
      <c r="F101" s="42"/>
      <c r="G101" s="34" t="str">
        <f t="shared" si="6"/>
        <v/>
      </c>
      <c r="I101" s="42"/>
      <c r="J101" s="42"/>
      <c r="K101" s="34" t="str">
        <f t="shared" si="7"/>
        <v/>
      </c>
      <c r="M101" s="42"/>
      <c r="N101" s="42"/>
      <c r="O101" s="34" t="str">
        <f t="shared" si="8"/>
        <v/>
      </c>
      <c r="Q101" s="42"/>
      <c r="R101" s="42"/>
      <c r="S101" s="34" t="str">
        <f t="shared" si="9"/>
        <v/>
      </c>
    </row>
    <row r="102" spans="1:19" x14ac:dyDescent="0.25">
      <c r="A102" s="42"/>
      <c r="B102" s="42"/>
      <c r="C102" s="34" t="str">
        <f t="shared" si="5"/>
        <v/>
      </c>
      <c r="E102" s="42"/>
      <c r="F102" s="42"/>
      <c r="G102" s="34" t="str">
        <f t="shared" si="6"/>
        <v/>
      </c>
      <c r="I102" s="42"/>
      <c r="J102" s="42"/>
      <c r="K102" s="34" t="str">
        <f t="shared" si="7"/>
        <v/>
      </c>
      <c r="M102" s="42"/>
      <c r="N102" s="42"/>
      <c r="O102" s="34" t="str">
        <f t="shared" si="8"/>
        <v/>
      </c>
      <c r="Q102" s="42"/>
      <c r="R102" s="42"/>
      <c r="S102" s="34" t="str">
        <f t="shared" si="9"/>
        <v/>
      </c>
    </row>
    <row r="103" spans="1:19" x14ac:dyDescent="0.25">
      <c r="A103" s="42"/>
      <c r="B103" s="42"/>
      <c r="C103" s="34" t="str">
        <f t="shared" si="5"/>
        <v/>
      </c>
      <c r="E103" s="42"/>
      <c r="F103" s="42"/>
      <c r="G103" s="34" t="str">
        <f t="shared" si="6"/>
        <v/>
      </c>
      <c r="I103" s="42"/>
      <c r="J103" s="42"/>
      <c r="K103" s="34" t="str">
        <f t="shared" si="7"/>
        <v/>
      </c>
      <c r="M103" s="42"/>
      <c r="N103" s="42"/>
      <c r="O103" s="34" t="str">
        <f t="shared" si="8"/>
        <v/>
      </c>
      <c r="Q103" s="42"/>
      <c r="R103" s="42"/>
      <c r="S103" s="34" t="str">
        <f t="shared" si="9"/>
        <v/>
      </c>
    </row>
    <row r="104" spans="1:19" x14ac:dyDescent="0.25">
      <c r="A104" s="42"/>
      <c r="B104" s="42"/>
      <c r="C104" s="34" t="str">
        <f t="shared" si="5"/>
        <v/>
      </c>
      <c r="E104" s="42"/>
      <c r="F104" s="42"/>
      <c r="G104" s="34" t="str">
        <f t="shared" si="6"/>
        <v/>
      </c>
      <c r="I104" s="42"/>
      <c r="J104" s="42"/>
      <c r="K104" s="34" t="str">
        <f t="shared" si="7"/>
        <v/>
      </c>
      <c r="M104" s="42"/>
      <c r="N104" s="42"/>
      <c r="O104" s="34" t="str">
        <f t="shared" si="8"/>
        <v/>
      </c>
      <c r="Q104" s="42"/>
      <c r="R104" s="42"/>
      <c r="S104" s="34" t="str">
        <f t="shared" si="9"/>
        <v/>
      </c>
    </row>
    <row r="105" spans="1:19" x14ac:dyDescent="0.25">
      <c r="A105" s="42"/>
      <c r="B105" s="42"/>
      <c r="C105" s="34" t="str">
        <f t="shared" si="5"/>
        <v/>
      </c>
      <c r="E105" s="42"/>
      <c r="F105" s="42"/>
      <c r="G105" s="34" t="str">
        <f t="shared" si="6"/>
        <v/>
      </c>
      <c r="I105" s="42"/>
      <c r="J105" s="42"/>
      <c r="K105" s="34" t="str">
        <f t="shared" si="7"/>
        <v/>
      </c>
      <c r="M105" s="42"/>
      <c r="N105" s="42"/>
      <c r="O105" s="34" t="str">
        <f t="shared" si="8"/>
        <v/>
      </c>
      <c r="Q105" s="42"/>
      <c r="R105" s="42"/>
      <c r="S105" s="34" t="str">
        <f t="shared" si="9"/>
        <v/>
      </c>
    </row>
    <row r="106" spans="1:19" x14ac:dyDescent="0.25">
      <c r="A106" s="42"/>
      <c r="B106" s="42"/>
      <c r="C106" s="34" t="str">
        <f t="shared" si="5"/>
        <v/>
      </c>
      <c r="E106" s="42"/>
      <c r="F106" s="42"/>
      <c r="G106" s="34" t="str">
        <f t="shared" si="6"/>
        <v/>
      </c>
      <c r="I106" s="42"/>
      <c r="J106" s="42"/>
      <c r="K106" s="34" t="str">
        <f t="shared" si="7"/>
        <v/>
      </c>
      <c r="M106" s="42"/>
      <c r="N106" s="42"/>
      <c r="O106" s="34" t="str">
        <f t="shared" si="8"/>
        <v/>
      </c>
      <c r="Q106" s="42"/>
      <c r="R106" s="42"/>
      <c r="S106" s="34" t="str">
        <f t="shared" si="9"/>
        <v/>
      </c>
    </row>
    <row r="107" spans="1:19" x14ac:dyDescent="0.25">
      <c r="A107" s="42"/>
      <c r="B107" s="42"/>
      <c r="C107" s="34" t="str">
        <f t="shared" si="5"/>
        <v/>
      </c>
      <c r="E107" s="42"/>
      <c r="F107" s="42"/>
      <c r="G107" s="34" t="str">
        <f t="shared" si="6"/>
        <v/>
      </c>
      <c r="I107" s="42"/>
      <c r="J107" s="42"/>
      <c r="K107" s="34" t="str">
        <f t="shared" si="7"/>
        <v/>
      </c>
      <c r="M107" s="42"/>
      <c r="N107" s="42"/>
      <c r="O107" s="34" t="str">
        <f t="shared" si="8"/>
        <v/>
      </c>
      <c r="Q107" s="42"/>
      <c r="R107" s="42"/>
      <c r="S107" s="34" t="str">
        <f t="shared" si="9"/>
        <v/>
      </c>
    </row>
    <row r="108" spans="1:19" x14ac:dyDescent="0.25">
      <c r="A108" s="42"/>
      <c r="B108" s="42"/>
      <c r="C108" s="34" t="str">
        <f t="shared" si="5"/>
        <v/>
      </c>
      <c r="E108" s="42"/>
      <c r="F108" s="42"/>
      <c r="G108" s="34" t="str">
        <f t="shared" si="6"/>
        <v/>
      </c>
      <c r="I108" s="42"/>
      <c r="J108" s="42"/>
      <c r="K108" s="34" t="str">
        <f t="shared" si="7"/>
        <v/>
      </c>
      <c r="M108" s="42"/>
      <c r="N108" s="42"/>
      <c r="O108" s="34" t="str">
        <f t="shared" si="8"/>
        <v/>
      </c>
      <c r="Q108" s="42"/>
      <c r="R108" s="42"/>
      <c r="S108" s="34" t="str">
        <f t="shared" si="9"/>
        <v/>
      </c>
    </row>
    <row r="109" spans="1:19" x14ac:dyDescent="0.25">
      <c r="A109" s="42"/>
      <c r="B109" s="42"/>
      <c r="C109" s="34" t="str">
        <f t="shared" si="5"/>
        <v/>
      </c>
      <c r="E109" s="42"/>
      <c r="F109" s="42"/>
      <c r="G109" s="34" t="str">
        <f t="shared" si="6"/>
        <v/>
      </c>
      <c r="I109" s="42"/>
      <c r="J109" s="42"/>
      <c r="K109" s="34" t="str">
        <f t="shared" si="7"/>
        <v/>
      </c>
      <c r="M109" s="42"/>
      <c r="N109" s="42"/>
      <c r="O109" s="34" t="str">
        <f t="shared" si="8"/>
        <v/>
      </c>
      <c r="Q109" s="42"/>
      <c r="R109" s="42"/>
      <c r="S109" s="34" t="str">
        <f t="shared" si="9"/>
        <v/>
      </c>
    </row>
    <row r="110" spans="1:19" x14ac:dyDescent="0.25">
      <c r="A110" s="42"/>
      <c r="B110" s="42"/>
      <c r="C110" s="34" t="str">
        <f t="shared" si="5"/>
        <v/>
      </c>
      <c r="E110" s="42"/>
      <c r="F110" s="42"/>
      <c r="G110" s="34" t="str">
        <f t="shared" si="6"/>
        <v/>
      </c>
      <c r="I110" s="42"/>
      <c r="J110" s="42"/>
      <c r="K110" s="34" t="str">
        <f t="shared" si="7"/>
        <v/>
      </c>
      <c r="M110" s="42"/>
      <c r="N110" s="42"/>
      <c r="O110" s="34" t="str">
        <f t="shared" si="8"/>
        <v/>
      </c>
      <c r="Q110" s="42"/>
      <c r="R110" s="42"/>
      <c r="S110" s="34" t="str">
        <f t="shared" si="9"/>
        <v/>
      </c>
    </row>
    <row r="111" spans="1:19" x14ac:dyDescent="0.25">
      <c r="A111" s="42"/>
      <c r="B111" s="42"/>
      <c r="C111" s="34" t="str">
        <f t="shared" si="5"/>
        <v/>
      </c>
      <c r="E111" s="42"/>
      <c r="F111" s="42"/>
      <c r="G111" s="34" t="str">
        <f t="shared" si="6"/>
        <v/>
      </c>
      <c r="I111" s="42"/>
      <c r="J111" s="42"/>
      <c r="K111" s="34" t="str">
        <f t="shared" si="7"/>
        <v/>
      </c>
      <c r="M111" s="42"/>
      <c r="N111" s="42"/>
      <c r="O111" s="34" t="str">
        <f t="shared" si="8"/>
        <v/>
      </c>
      <c r="Q111" s="42"/>
      <c r="R111" s="42"/>
      <c r="S111" s="34" t="str">
        <f t="shared" si="9"/>
        <v/>
      </c>
    </row>
    <row r="112" spans="1:19" x14ac:dyDescent="0.25">
      <c r="A112" s="42"/>
      <c r="B112" s="42"/>
      <c r="C112" s="34" t="str">
        <f t="shared" si="5"/>
        <v/>
      </c>
      <c r="E112" s="42"/>
      <c r="F112" s="42"/>
      <c r="G112" s="34" t="str">
        <f t="shared" si="6"/>
        <v/>
      </c>
      <c r="I112" s="42"/>
      <c r="J112" s="42"/>
      <c r="K112" s="34" t="str">
        <f t="shared" si="7"/>
        <v/>
      </c>
      <c r="M112" s="42"/>
      <c r="N112" s="42"/>
      <c r="O112" s="34" t="str">
        <f t="shared" si="8"/>
        <v/>
      </c>
      <c r="Q112" s="42"/>
      <c r="R112" s="42"/>
      <c r="S112" s="34" t="str">
        <f t="shared" si="9"/>
        <v/>
      </c>
    </row>
    <row r="113" spans="1:19" x14ac:dyDescent="0.25">
      <c r="A113" s="42"/>
      <c r="B113" s="42"/>
      <c r="C113" s="34" t="str">
        <f t="shared" si="5"/>
        <v/>
      </c>
      <c r="E113" s="42"/>
      <c r="F113" s="42"/>
      <c r="G113" s="34" t="str">
        <f t="shared" si="6"/>
        <v/>
      </c>
      <c r="I113" s="42"/>
      <c r="J113" s="42"/>
      <c r="K113" s="34" t="str">
        <f t="shared" si="7"/>
        <v/>
      </c>
      <c r="M113" s="42"/>
      <c r="N113" s="42"/>
      <c r="O113" s="34" t="str">
        <f t="shared" si="8"/>
        <v/>
      </c>
      <c r="Q113" s="42"/>
      <c r="R113" s="42"/>
      <c r="S113" s="34" t="str">
        <f t="shared" si="9"/>
        <v/>
      </c>
    </row>
    <row r="114" spans="1:19" x14ac:dyDescent="0.25">
      <c r="A114" s="42"/>
      <c r="B114" s="42"/>
      <c r="C114" s="34" t="str">
        <f t="shared" si="5"/>
        <v/>
      </c>
      <c r="E114" s="42"/>
      <c r="F114" s="42"/>
      <c r="G114" s="34" t="str">
        <f t="shared" si="6"/>
        <v/>
      </c>
      <c r="I114" s="42"/>
      <c r="J114" s="42"/>
      <c r="K114" s="34" t="str">
        <f t="shared" si="7"/>
        <v/>
      </c>
      <c r="M114" s="42"/>
      <c r="N114" s="42"/>
      <c r="O114" s="34" t="str">
        <f t="shared" si="8"/>
        <v/>
      </c>
      <c r="Q114" s="42"/>
      <c r="R114" s="42"/>
      <c r="S114" s="34" t="str">
        <f t="shared" si="9"/>
        <v/>
      </c>
    </row>
    <row r="115" spans="1:19" x14ac:dyDescent="0.25">
      <c r="A115" s="42"/>
      <c r="B115" s="42"/>
      <c r="C115" s="34" t="str">
        <f t="shared" si="5"/>
        <v/>
      </c>
      <c r="E115" s="42"/>
      <c r="F115" s="42"/>
      <c r="G115" s="34" t="str">
        <f t="shared" si="6"/>
        <v/>
      </c>
      <c r="I115" s="42"/>
      <c r="J115" s="42"/>
      <c r="K115" s="34" t="str">
        <f t="shared" si="7"/>
        <v/>
      </c>
      <c r="M115" s="42"/>
      <c r="N115" s="42"/>
      <c r="O115" s="34" t="str">
        <f t="shared" si="8"/>
        <v/>
      </c>
      <c r="Q115" s="42"/>
      <c r="R115" s="42"/>
      <c r="S115" s="34" t="str">
        <f t="shared" si="9"/>
        <v/>
      </c>
    </row>
    <row r="116" spans="1:19" x14ac:dyDescent="0.25">
      <c r="A116" s="42"/>
      <c r="B116" s="42"/>
      <c r="C116" s="34" t="str">
        <f t="shared" si="5"/>
        <v/>
      </c>
      <c r="E116" s="42"/>
      <c r="F116" s="42"/>
      <c r="G116" s="34" t="str">
        <f t="shared" si="6"/>
        <v/>
      </c>
      <c r="I116" s="42"/>
      <c r="J116" s="42"/>
      <c r="K116" s="34" t="str">
        <f t="shared" si="7"/>
        <v/>
      </c>
      <c r="M116" s="42"/>
      <c r="N116" s="42"/>
      <c r="O116" s="34" t="str">
        <f t="shared" si="8"/>
        <v/>
      </c>
      <c r="Q116" s="42"/>
      <c r="R116" s="42"/>
      <c r="S116" s="34" t="str">
        <f t="shared" si="9"/>
        <v/>
      </c>
    </row>
    <row r="117" spans="1:19" x14ac:dyDescent="0.25">
      <c r="A117" s="42"/>
      <c r="B117" s="42"/>
      <c r="C117" s="34" t="str">
        <f t="shared" si="5"/>
        <v/>
      </c>
      <c r="E117" s="42"/>
      <c r="F117" s="42"/>
      <c r="G117" s="34" t="str">
        <f t="shared" si="6"/>
        <v/>
      </c>
      <c r="I117" s="42"/>
      <c r="J117" s="42"/>
      <c r="K117" s="34" t="str">
        <f t="shared" si="7"/>
        <v/>
      </c>
      <c r="M117" s="42"/>
      <c r="N117" s="42"/>
      <c r="O117" s="34" t="str">
        <f t="shared" si="8"/>
        <v/>
      </c>
      <c r="Q117" s="42"/>
      <c r="R117" s="42"/>
      <c r="S117" s="34" t="str">
        <f t="shared" si="9"/>
        <v/>
      </c>
    </row>
    <row r="118" spans="1:19" x14ac:dyDescent="0.25">
      <c r="A118" s="42"/>
      <c r="B118" s="42"/>
      <c r="C118" s="34" t="str">
        <f t="shared" si="5"/>
        <v/>
      </c>
      <c r="E118" s="42"/>
      <c r="F118" s="42"/>
      <c r="G118" s="34" t="str">
        <f t="shared" si="6"/>
        <v/>
      </c>
      <c r="I118" s="42"/>
      <c r="J118" s="42"/>
      <c r="K118" s="34" t="str">
        <f t="shared" si="7"/>
        <v/>
      </c>
      <c r="M118" s="42"/>
      <c r="N118" s="42"/>
      <c r="O118" s="34" t="str">
        <f t="shared" si="8"/>
        <v/>
      </c>
      <c r="Q118" s="42"/>
      <c r="R118" s="42"/>
      <c r="S118" s="34" t="str">
        <f t="shared" si="9"/>
        <v/>
      </c>
    </row>
    <row r="119" spans="1:19" x14ac:dyDescent="0.25">
      <c r="A119" s="42"/>
      <c r="B119" s="42"/>
      <c r="C119" s="34" t="str">
        <f t="shared" si="5"/>
        <v/>
      </c>
      <c r="E119" s="42"/>
      <c r="F119" s="42"/>
      <c r="G119" s="34" t="str">
        <f t="shared" si="6"/>
        <v/>
      </c>
      <c r="I119" s="42"/>
      <c r="J119" s="42"/>
      <c r="K119" s="34" t="str">
        <f t="shared" si="7"/>
        <v/>
      </c>
      <c r="M119" s="42"/>
      <c r="N119" s="42"/>
      <c r="O119" s="34" t="str">
        <f t="shared" si="8"/>
        <v/>
      </c>
      <c r="Q119" s="42"/>
      <c r="R119" s="42"/>
      <c r="S119" s="34" t="str">
        <f t="shared" si="9"/>
        <v/>
      </c>
    </row>
    <row r="120" spans="1:19" x14ac:dyDescent="0.25">
      <c r="A120" s="42"/>
      <c r="B120" s="42"/>
      <c r="C120" s="34" t="str">
        <f t="shared" si="5"/>
        <v/>
      </c>
      <c r="E120" s="42"/>
      <c r="F120" s="42"/>
      <c r="G120" s="34" t="str">
        <f t="shared" si="6"/>
        <v/>
      </c>
      <c r="I120" s="42"/>
      <c r="J120" s="42"/>
      <c r="K120" s="34" t="str">
        <f t="shared" si="7"/>
        <v/>
      </c>
      <c r="M120" s="42"/>
      <c r="N120" s="42"/>
      <c r="O120" s="34" t="str">
        <f t="shared" si="8"/>
        <v/>
      </c>
      <c r="Q120" s="42"/>
      <c r="R120" s="42"/>
      <c r="S120" s="34" t="str">
        <f t="shared" si="9"/>
        <v/>
      </c>
    </row>
    <row r="121" spans="1:19" x14ac:dyDescent="0.25">
      <c r="A121" s="42"/>
      <c r="B121" s="42"/>
      <c r="C121" s="34" t="str">
        <f t="shared" si="5"/>
        <v/>
      </c>
      <c r="E121" s="42"/>
      <c r="F121" s="42"/>
      <c r="G121" s="34" t="str">
        <f t="shared" si="6"/>
        <v/>
      </c>
      <c r="I121" s="42"/>
      <c r="J121" s="42"/>
      <c r="K121" s="34" t="str">
        <f t="shared" si="7"/>
        <v/>
      </c>
      <c r="M121" s="42"/>
      <c r="N121" s="42"/>
      <c r="O121" s="34" t="str">
        <f t="shared" si="8"/>
        <v/>
      </c>
      <c r="Q121" s="42"/>
      <c r="R121" s="42"/>
      <c r="S121" s="34" t="str">
        <f t="shared" si="9"/>
        <v/>
      </c>
    </row>
    <row r="122" spans="1:19" x14ac:dyDescent="0.25">
      <c r="A122" s="42"/>
      <c r="B122" s="42"/>
      <c r="C122" s="34" t="str">
        <f t="shared" si="5"/>
        <v/>
      </c>
      <c r="E122" s="42"/>
      <c r="F122" s="42"/>
      <c r="G122" s="34" t="str">
        <f t="shared" si="6"/>
        <v/>
      </c>
      <c r="I122" s="42"/>
      <c r="J122" s="42"/>
      <c r="K122" s="34" t="str">
        <f t="shared" si="7"/>
        <v/>
      </c>
      <c r="M122" s="42"/>
      <c r="N122" s="42"/>
      <c r="O122" s="34" t="str">
        <f t="shared" si="8"/>
        <v/>
      </c>
      <c r="Q122" s="42"/>
      <c r="R122" s="42"/>
      <c r="S122" s="34" t="str">
        <f t="shared" si="9"/>
        <v/>
      </c>
    </row>
    <row r="123" spans="1:19" x14ac:dyDescent="0.25">
      <c r="A123" s="42"/>
      <c r="B123" s="42"/>
      <c r="C123" s="34" t="str">
        <f t="shared" si="5"/>
        <v/>
      </c>
      <c r="E123" s="42"/>
      <c r="F123" s="42"/>
      <c r="G123" s="34" t="str">
        <f t="shared" si="6"/>
        <v/>
      </c>
      <c r="I123" s="42"/>
      <c r="J123" s="42"/>
      <c r="K123" s="34" t="str">
        <f t="shared" si="7"/>
        <v/>
      </c>
      <c r="M123" s="42"/>
      <c r="N123" s="42"/>
      <c r="O123" s="34" t="str">
        <f t="shared" si="8"/>
        <v/>
      </c>
      <c r="Q123" s="42"/>
      <c r="R123" s="42"/>
      <c r="S123" s="34" t="str">
        <f t="shared" si="9"/>
        <v/>
      </c>
    </row>
    <row r="124" spans="1:19" x14ac:dyDescent="0.25">
      <c r="A124" s="42"/>
      <c r="B124" s="42"/>
      <c r="C124" s="34" t="str">
        <f t="shared" si="5"/>
        <v/>
      </c>
      <c r="E124" s="42"/>
      <c r="F124" s="42"/>
      <c r="G124" s="34" t="str">
        <f t="shared" si="6"/>
        <v/>
      </c>
      <c r="I124" s="42"/>
      <c r="J124" s="42"/>
      <c r="K124" s="34" t="str">
        <f t="shared" si="7"/>
        <v/>
      </c>
      <c r="M124" s="42"/>
      <c r="N124" s="42"/>
      <c r="O124" s="34" t="str">
        <f t="shared" si="8"/>
        <v/>
      </c>
      <c r="Q124" s="42"/>
      <c r="R124" s="42"/>
      <c r="S124" s="34" t="str">
        <f t="shared" si="9"/>
        <v/>
      </c>
    </row>
    <row r="125" spans="1:19" x14ac:dyDescent="0.25">
      <c r="A125" s="42"/>
      <c r="B125" s="42"/>
      <c r="C125" s="34" t="str">
        <f t="shared" si="5"/>
        <v/>
      </c>
      <c r="E125" s="42"/>
      <c r="F125" s="42"/>
      <c r="G125" s="34" t="str">
        <f t="shared" si="6"/>
        <v/>
      </c>
      <c r="I125" s="42"/>
      <c r="J125" s="42"/>
      <c r="K125" s="34" t="str">
        <f t="shared" si="7"/>
        <v/>
      </c>
      <c r="M125" s="42"/>
      <c r="N125" s="42"/>
      <c r="O125" s="34" t="str">
        <f t="shared" si="8"/>
        <v/>
      </c>
      <c r="Q125" s="42"/>
      <c r="R125" s="42"/>
      <c r="S125" s="34" t="str">
        <f t="shared" si="9"/>
        <v/>
      </c>
    </row>
    <row r="126" spans="1:19" x14ac:dyDescent="0.25">
      <c r="A126" s="42"/>
      <c r="B126" s="42"/>
      <c r="C126" s="34" t="str">
        <f t="shared" si="5"/>
        <v/>
      </c>
      <c r="E126" s="42"/>
      <c r="F126" s="42"/>
      <c r="G126" s="34" t="str">
        <f t="shared" si="6"/>
        <v/>
      </c>
      <c r="I126" s="42"/>
      <c r="J126" s="42"/>
      <c r="K126" s="34" t="str">
        <f t="shared" si="7"/>
        <v/>
      </c>
      <c r="M126" s="42"/>
      <c r="N126" s="42"/>
      <c r="O126" s="34" t="str">
        <f t="shared" si="8"/>
        <v/>
      </c>
      <c r="Q126" s="42"/>
      <c r="R126" s="42"/>
      <c r="S126" s="34" t="str">
        <f t="shared" si="9"/>
        <v/>
      </c>
    </row>
    <row r="127" spans="1:19" x14ac:dyDescent="0.25">
      <c r="A127" s="42"/>
      <c r="B127" s="42"/>
      <c r="C127" s="34" t="str">
        <f t="shared" si="5"/>
        <v/>
      </c>
      <c r="E127" s="42"/>
      <c r="F127" s="42"/>
      <c r="G127" s="34" t="str">
        <f t="shared" si="6"/>
        <v/>
      </c>
      <c r="I127" s="42"/>
      <c r="J127" s="42"/>
      <c r="K127" s="34" t="str">
        <f t="shared" si="7"/>
        <v/>
      </c>
      <c r="M127" s="42"/>
      <c r="N127" s="42"/>
      <c r="O127" s="34" t="str">
        <f t="shared" si="8"/>
        <v/>
      </c>
      <c r="Q127" s="42"/>
      <c r="R127" s="42"/>
      <c r="S127" s="34" t="str">
        <f t="shared" si="9"/>
        <v/>
      </c>
    </row>
    <row r="128" spans="1:19" x14ac:dyDescent="0.25">
      <c r="A128" s="42"/>
      <c r="B128" s="42"/>
      <c r="C128" s="34" t="str">
        <f t="shared" si="5"/>
        <v/>
      </c>
      <c r="E128" s="42"/>
      <c r="F128" s="42"/>
      <c r="G128" s="34" t="str">
        <f t="shared" si="6"/>
        <v/>
      </c>
      <c r="I128" s="42"/>
      <c r="J128" s="42"/>
      <c r="K128" s="34" t="str">
        <f t="shared" si="7"/>
        <v/>
      </c>
      <c r="M128" s="42"/>
      <c r="N128" s="42"/>
      <c r="O128" s="34" t="str">
        <f t="shared" si="8"/>
        <v/>
      </c>
      <c r="Q128" s="42"/>
      <c r="R128" s="42"/>
      <c r="S128" s="34" t="str">
        <f t="shared" si="9"/>
        <v/>
      </c>
    </row>
    <row r="129" spans="1:19" x14ac:dyDescent="0.25">
      <c r="A129" s="42"/>
      <c r="B129" s="42"/>
      <c r="C129" s="34" t="str">
        <f t="shared" si="5"/>
        <v/>
      </c>
      <c r="E129" s="42"/>
      <c r="F129" s="42"/>
      <c r="G129" s="34" t="str">
        <f t="shared" si="6"/>
        <v/>
      </c>
      <c r="I129" s="42"/>
      <c r="J129" s="42"/>
      <c r="K129" s="34" t="str">
        <f t="shared" si="7"/>
        <v/>
      </c>
      <c r="M129" s="42"/>
      <c r="N129" s="42"/>
      <c r="O129" s="34" t="str">
        <f t="shared" si="8"/>
        <v/>
      </c>
      <c r="Q129" s="42"/>
      <c r="R129" s="42"/>
      <c r="S129" s="34" t="str">
        <f t="shared" si="9"/>
        <v/>
      </c>
    </row>
    <row r="130" spans="1:19" x14ac:dyDescent="0.25">
      <c r="A130" s="42"/>
      <c r="B130" s="42"/>
      <c r="C130" s="34" t="str">
        <f t="shared" si="5"/>
        <v/>
      </c>
      <c r="E130" s="42"/>
      <c r="F130" s="42"/>
      <c r="G130" s="34" t="str">
        <f t="shared" si="6"/>
        <v/>
      </c>
      <c r="I130" s="42"/>
      <c r="J130" s="42"/>
      <c r="K130" s="34" t="str">
        <f t="shared" si="7"/>
        <v/>
      </c>
      <c r="M130" s="42"/>
      <c r="N130" s="42"/>
      <c r="O130" s="34" t="str">
        <f t="shared" si="8"/>
        <v/>
      </c>
      <c r="Q130" s="42"/>
      <c r="R130" s="42"/>
      <c r="S130" s="34" t="str">
        <f t="shared" si="9"/>
        <v/>
      </c>
    </row>
    <row r="131" spans="1:19" x14ac:dyDescent="0.25">
      <c r="A131" s="42"/>
      <c r="B131" s="42"/>
      <c r="C131" s="34" t="str">
        <f t="shared" si="5"/>
        <v/>
      </c>
      <c r="E131" s="42"/>
      <c r="F131" s="42"/>
      <c r="G131" s="34" t="str">
        <f t="shared" si="6"/>
        <v/>
      </c>
      <c r="I131" s="42"/>
      <c r="J131" s="42"/>
      <c r="K131" s="34" t="str">
        <f t="shared" si="7"/>
        <v/>
      </c>
      <c r="M131" s="42"/>
      <c r="N131" s="42"/>
      <c r="O131" s="34" t="str">
        <f t="shared" si="8"/>
        <v/>
      </c>
      <c r="Q131" s="42"/>
      <c r="R131" s="42"/>
      <c r="S131" s="34" t="str">
        <f t="shared" si="9"/>
        <v/>
      </c>
    </row>
    <row r="132" spans="1:19" x14ac:dyDescent="0.25">
      <c r="A132" s="42"/>
      <c r="B132" s="42"/>
      <c r="C132" s="34" t="str">
        <f t="shared" si="5"/>
        <v/>
      </c>
      <c r="E132" s="42"/>
      <c r="F132" s="42"/>
      <c r="G132" s="34" t="str">
        <f t="shared" si="6"/>
        <v/>
      </c>
      <c r="I132" s="42"/>
      <c r="J132" s="42"/>
      <c r="K132" s="34" t="str">
        <f t="shared" si="7"/>
        <v/>
      </c>
      <c r="M132" s="42"/>
      <c r="N132" s="42"/>
      <c r="O132" s="34" t="str">
        <f t="shared" si="8"/>
        <v/>
      </c>
      <c r="Q132" s="42"/>
      <c r="R132" s="42"/>
      <c r="S132" s="34" t="str">
        <f t="shared" si="9"/>
        <v/>
      </c>
    </row>
    <row r="133" spans="1:19" x14ac:dyDescent="0.25">
      <c r="A133" s="42"/>
      <c r="B133" s="42"/>
      <c r="C133" s="34" t="str">
        <f t="shared" si="5"/>
        <v/>
      </c>
      <c r="E133" s="42"/>
      <c r="F133" s="42"/>
      <c r="G133" s="34" t="str">
        <f t="shared" si="6"/>
        <v/>
      </c>
      <c r="I133" s="42"/>
      <c r="J133" s="42"/>
      <c r="K133" s="34" t="str">
        <f t="shared" si="7"/>
        <v/>
      </c>
      <c r="M133" s="42"/>
      <c r="N133" s="42"/>
      <c r="O133" s="34" t="str">
        <f t="shared" si="8"/>
        <v/>
      </c>
      <c r="Q133" s="42"/>
      <c r="R133" s="42"/>
      <c r="S133" s="34" t="str">
        <f t="shared" si="9"/>
        <v/>
      </c>
    </row>
    <row r="134" spans="1:19" x14ac:dyDescent="0.25">
      <c r="A134" s="42"/>
      <c r="B134" s="42"/>
      <c r="C134" s="34" t="str">
        <f t="shared" si="5"/>
        <v/>
      </c>
      <c r="E134" s="42"/>
      <c r="F134" s="42"/>
      <c r="G134" s="34" t="str">
        <f t="shared" si="6"/>
        <v/>
      </c>
      <c r="I134" s="42"/>
      <c r="J134" s="42"/>
      <c r="K134" s="34" t="str">
        <f t="shared" si="7"/>
        <v/>
      </c>
      <c r="M134" s="42"/>
      <c r="N134" s="42"/>
      <c r="O134" s="34" t="str">
        <f t="shared" si="8"/>
        <v/>
      </c>
      <c r="Q134" s="42"/>
      <c r="R134" s="42"/>
      <c r="S134" s="34" t="str">
        <f t="shared" si="9"/>
        <v/>
      </c>
    </row>
    <row r="135" spans="1:19" x14ac:dyDescent="0.25">
      <c r="A135" s="42"/>
      <c r="B135" s="42"/>
      <c r="C135" s="34" t="str">
        <f t="shared" si="5"/>
        <v/>
      </c>
      <c r="E135" s="42"/>
      <c r="F135" s="42"/>
      <c r="G135" s="34" t="str">
        <f t="shared" si="6"/>
        <v/>
      </c>
      <c r="I135" s="42"/>
      <c r="J135" s="42"/>
      <c r="K135" s="34" t="str">
        <f t="shared" si="7"/>
        <v/>
      </c>
      <c r="M135" s="42"/>
      <c r="N135" s="42"/>
      <c r="O135" s="34" t="str">
        <f t="shared" si="8"/>
        <v/>
      </c>
      <c r="Q135" s="42"/>
      <c r="R135" s="42"/>
      <c r="S135" s="34" t="str">
        <f t="shared" si="9"/>
        <v/>
      </c>
    </row>
    <row r="136" spans="1:19" x14ac:dyDescent="0.25">
      <c r="A136" s="42"/>
      <c r="B136" s="42"/>
      <c r="C136" s="34" t="str">
        <f t="shared" si="5"/>
        <v/>
      </c>
      <c r="E136" s="42"/>
      <c r="F136" s="42"/>
      <c r="G136" s="34" t="str">
        <f t="shared" si="6"/>
        <v/>
      </c>
      <c r="I136" s="42"/>
      <c r="J136" s="42"/>
      <c r="K136" s="34" t="str">
        <f t="shared" si="7"/>
        <v/>
      </c>
      <c r="M136" s="42"/>
      <c r="N136" s="42"/>
      <c r="O136" s="34" t="str">
        <f t="shared" si="8"/>
        <v/>
      </c>
      <c r="Q136" s="42"/>
      <c r="R136" s="42"/>
      <c r="S136" s="34" t="str">
        <f t="shared" si="9"/>
        <v/>
      </c>
    </row>
    <row r="137" spans="1:19" x14ac:dyDescent="0.25">
      <c r="A137" s="42"/>
      <c r="B137" s="42"/>
      <c r="C137" s="34" t="str">
        <f t="shared" si="5"/>
        <v/>
      </c>
      <c r="E137" s="42"/>
      <c r="F137" s="42"/>
      <c r="G137" s="34" t="str">
        <f t="shared" si="6"/>
        <v/>
      </c>
      <c r="I137" s="42"/>
      <c r="J137" s="42"/>
      <c r="K137" s="34" t="str">
        <f t="shared" si="7"/>
        <v/>
      </c>
      <c r="M137" s="42"/>
      <c r="N137" s="42"/>
      <c r="O137" s="34" t="str">
        <f t="shared" si="8"/>
        <v/>
      </c>
      <c r="Q137" s="42"/>
      <c r="R137" s="42"/>
      <c r="S137" s="34" t="str">
        <f t="shared" si="9"/>
        <v/>
      </c>
    </row>
    <row r="138" spans="1:19" x14ac:dyDescent="0.25">
      <c r="A138" s="42"/>
      <c r="B138" s="42"/>
      <c r="C138" s="34" t="str">
        <f t="shared" ref="C138:C201" si="10">IF(OR(B138="",B$4=""),"",B138/B$4)</f>
        <v/>
      </c>
      <c r="E138" s="42"/>
      <c r="F138" s="42"/>
      <c r="G138" s="34" t="str">
        <f t="shared" ref="G138:G201" si="11">IF(OR(F138="",F$4=""),"",F138/F$4)</f>
        <v/>
      </c>
      <c r="I138" s="42"/>
      <c r="J138" s="42"/>
      <c r="K138" s="34" t="str">
        <f t="shared" ref="K138:K201" si="12">IF(OR(J138="",J$4=""),"",J138/J$4)</f>
        <v/>
      </c>
      <c r="M138" s="42"/>
      <c r="N138" s="42"/>
      <c r="O138" s="34" t="str">
        <f t="shared" ref="O138:O201" si="13">IF(OR(N138="",N$4=""),"",N138/N$4)</f>
        <v/>
      </c>
      <c r="Q138" s="42"/>
      <c r="R138" s="42"/>
      <c r="S138" s="34" t="str">
        <f t="shared" ref="S138:S201" si="14">IF(OR(R138="",R$4=""),"",R138/R$4)</f>
        <v/>
      </c>
    </row>
    <row r="139" spans="1:19" x14ac:dyDescent="0.25">
      <c r="A139" s="42"/>
      <c r="B139" s="42"/>
      <c r="C139" s="34" t="str">
        <f t="shared" si="10"/>
        <v/>
      </c>
      <c r="E139" s="42"/>
      <c r="F139" s="42"/>
      <c r="G139" s="34" t="str">
        <f t="shared" si="11"/>
        <v/>
      </c>
      <c r="I139" s="42"/>
      <c r="J139" s="42"/>
      <c r="K139" s="34" t="str">
        <f t="shared" si="12"/>
        <v/>
      </c>
      <c r="M139" s="42"/>
      <c r="N139" s="42"/>
      <c r="O139" s="34" t="str">
        <f t="shared" si="13"/>
        <v/>
      </c>
      <c r="Q139" s="42"/>
      <c r="R139" s="42"/>
      <c r="S139" s="34" t="str">
        <f t="shared" si="14"/>
        <v/>
      </c>
    </row>
    <row r="140" spans="1:19" x14ac:dyDescent="0.25">
      <c r="A140" s="42"/>
      <c r="B140" s="42"/>
      <c r="C140" s="34" t="str">
        <f t="shared" si="10"/>
        <v/>
      </c>
      <c r="E140" s="42"/>
      <c r="F140" s="42"/>
      <c r="G140" s="34" t="str">
        <f t="shared" si="11"/>
        <v/>
      </c>
      <c r="I140" s="42"/>
      <c r="J140" s="42"/>
      <c r="K140" s="34" t="str">
        <f t="shared" si="12"/>
        <v/>
      </c>
      <c r="M140" s="42"/>
      <c r="N140" s="42"/>
      <c r="O140" s="34" t="str">
        <f t="shared" si="13"/>
        <v/>
      </c>
      <c r="Q140" s="42"/>
      <c r="R140" s="42"/>
      <c r="S140" s="34" t="str">
        <f t="shared" si="14"/>
        <v/>
      </c>
    </row>
    <row r="141" spans="1:19" x14ac:dyDescent="0.25">
      <c r="A141" s="42"/>
      <c r="B141" s="42"/>
      <c r="C141" s="34" t="str">
        <f t="shared" si="10"/>
        <v/>
      </c>
      <c r="E141" s="42"/>
      <c r="F141" s="42"/>
      <c r="G141" s="34" t="str">
        <f t="shared" si="11"/>
        <v/>
      </c>
      <c r="I141" s="42"/>
      <c r="J141" s="42"/>
      <c r="K141" s="34" t="str">
        <f t="shared" si="12"/>
        <v/>
      </c>
      <c r="M141" s="42"/>
      <c r="N141" s="42"/>
      <c r="O141" s="34" t="str">
        <f t="shared" si="13"/>
        <v/>
      </c>
      <c r="Q141" s="42"/>
      <c r="R141" s="42"/>
      <c r="S141" s="34" t="str">
        <f t="shared" si="14"/>
        <v/>
      </c>
    </row>
    <row r="142" spans="1:19" x14ac:dyDescent="0.25">
      <c r="A142" s="42"/>
      <c r="B142" s="42"/>
      <c r="C142" s="34" t="str">
        <f t="shared" si="10"/>
        <v/>
      </c>
      <c r="E142" s="42"/>
      <c r="F142" s="42"/>
      <c r="G142" s="34" t="str">
        <f t="shared" si="11"/>
        <v/>
      </c>
      <c r="I142" s="42"/>
      <c r="J142" s="42"/>
      <c r="K142" s="34" t="str">
        <f t="shared" si="12"/>
        <v/>
      </c>
      <c r="M142" s="42"/>
      <c r="N142" s="42"/>
      <c r="O142" s="34" t="str">
        <f t="shared" si="13"/>
        <v/>
      </c>
      <c r="Q142" s="42"/>
      <c r="R142" s="42"/>
      <c r="S142" s="34" t="str">
        <f t="shared" si="14"/>
        <v/>
      </c>
    </row>
    <row r="143" spans="1:19" x14ac:dyDescent="0.25">
      <c r="A143" s="42"/>
      <c r="B143" s="42"/>
      <c r="C143" s="34" t="str">
        <f t="shared" si="10"/>
        <v/>
      </c>
      <c r="E143" s="42"/>
      <c r="F143" s="42"/>
      <c r="G143" s="34" t="str">
        <f t="shared" si="11"/>
        <v/>
      </c>
      <c r="I143" s="42"/>
      <c r="J143" s="42"/>
      <c r="K143" s="34" t="str">
        <f t="shared" si="12"/>
        <v/>
      </c>
      <c r="M143" s="42"/>
      <c r="N143" s="42"/>
      <c r="O143" s="34" t="str">
        <f t="shared" si="13"/>
        <v/>
      </c>
      <c r="Q143" s="42"/>
      <c r="R143" s="42"/>
      <c r="S143" s="34" t="str">
        <f t="shared" si="14"/>
        <v/>
      </c>
    </row>
    <row r="144" spans="1:19" x14ac:dyDescent="0.25">
      <c r="A144" s="42"/>
      <c r="B144" s="42"/>
      <c r="C144" s="34" t="str">
        <f t="shared" si="10"/>
        <v/>
      </c>
      <c r="E144" s="42"/>
      <c r="F144" s="42"/>
      <c r="G144" s="34" t="str">
        <f t="shared" si="11"/>
        <v/>
      </c>
      <c r="I144" s="42"/>
      <c r="J144" s="42"/>
      <c r="K144" s="34" t="str">
        <f t="shared" si="12"/>
        <v/>
      </c>
      <c r="M144" s="42"/>
      <c r="N144" s="42"/>
      <c r="O144" s="34" t="str">
        <f t="shared" si="13"/>
        <v/>
      </c>
      <c r="Q144" s="42"/>
      <c r="R144" s="42"/>
      <c r="S144" s="34" t="str">
        <f t="shared" si="14"/>
        <v/>
      </c>
    </row>
    <row r="145" spans="1:19" x14ac:dyDescent="0.25">
      <c r="A145" s="42"/>
      <c r="B145" s="42"/>
      <c r="C145" s="34" t="str">
        <f t="shared" si="10"/>
        <v/>
      </c>
      <c r="E145" s="42"/>
      <c r="F145" s="42"/>
      <c r="G145" s="34" t="str">
        <f t="shared" si="11"/>
        <v/>
      </c>
      <c r="I145" s="42"/>
      <c r="J145" s="42"/>
      <c r="K145" s="34" t="str">
        <f t="shared" si="12"/>
        <v/>
      </c>
      <c r="M145" s="42"/>
      <c r="N145" s="42"/>
      <c r="O145" s="34" t="str">
        <f t="shared" si="13"/>
        <v/>
      </c>
      <c r="Q145" s="42"/>
      <c r="R145" s="42"/>
      <c r="S145" s="34" t="str">
        <f t="shared" si="14"/>
        <v/>
      </c>
    </row>
    <row r="146" spans="1:19" x14ac:dyDescent="0.25">
      <c r="A146" s="42"/>
      <c r="B146" s="42"/>
      <c r="C146" s="34" t="str">
        <f t="shared" si="10"/>
        <v/>
      </c>
      <c r="E146" s="42"/>
      <c r="F146" s="42"/>
      <c r="G146" s="34" t="str">
        <f t="shared" si="11"/>
        <v/>
      </c>
      <c r="I146" s="42"/>
      <c r="J146" s="42"/>
      <c r="K146" s="34" t="str">
        <f t="shared" si="12"/>
        <v/>
      </c>
      <c r="M146" s="42"/>
      <c r="N146" s="42"/>
      <c r="O146" s="34" t="str">
        <f t="shared" si="13"/>
        <v/>
      </c>
      <c r="Q146" s="42"/>
      <c r="R146" s="42"/>
      <c r="S146" s="34" t="str">
        <f t="shared" si="14"/>
        <v/>
      </c>
    </row>
    <row r="147" spans="1:19" x14ac:dyDescent="0.25">
      <c r="A147" s="42"/>
      <c r="B147" s="42"/>
      <c r="C147" s="34" t="str">
        <f t="shared" si="10"/>
        <v/>
      </c>
      <c r="E147" s="42"/>
      <c r="F147" s="42"/>
      <c r="G147" s="34" t="str">
        <f t="shared" si="11"/>
        <v/>
      </c>
      <c r="I147" s="42"/>
      <c r="J147" s="42"/>
      <c r="K147" s="34" t="str">
        <f t="shared" si="12"/>
        <v/>
      </c>
      <c r="M147" s="42"/>
      <c r="N147" s="42"/>
      <c r="O147" s="34" t="str">
        <f t="shared" si="13"/>
        <v/>
      </c>
      <c r="Q147" s="42"/>
      <c r="R147" s="42"/>
      <c r="S147" s="34" t="str">
        <f t="shared" si="14"/>
        <v/>
      </c>
    </row>
    <row r="148" spans="1:19" x14ac:dyDescent="0.25">
      <c r="A148" s="42"/>
      <c r="B148" s="42"/>
      <c r="C148" s="34" t="str">
        <f t="shared" si="10"/>
        <v/>
      </c>
      <c r="E148" s="42"/>
      <c r="F148" s="42"/>
      <c r="G148" s="34" t="str">
        <f t="shared" si="11"/>
        <v/>
      </c>
      <c r="I148" s="42"/>
      <c r="J148" s="42"/>
      <c r="K148" s="34" t="str">
        <f t="shared" si="12"/>
        <v/>
      </c>
      <c r="M148" s="42"/>
      <c r="N148" s="42"/>
      <c r="O148" s="34" t="str">
        <f t="shared" si="13"/>
        <v/>
      </c>
      <c r="Q148" s="42"/>
      <c r="R148" s="42"/>
      <c r="S148" s="34" t="str">
        <f t="shared" si="14"/>
        <v/>
      </c>
    </row>
    <row r="149" spans="1:19" x14ac:dyDescent="0.25">
      <c r="A149" s="42"/>
      <c r="B149" s="42"/>
      <c r="C149" s="34" t="str">
        <f t="shared" si="10"/>
        <v/>
      </c>
      <c r="E149" s="42"/>
      <c r="F149" s="42"/>
      <c r="G149" s="34" t="str">
        <f t="shared" si="11"/>
        <v/>
      </c>
      <c r="I149" s="42"/>
      <c r="J149" s="42"/>
      <c r="K149" s="34" t="str">
        <f t="shared" si="12"/>
        <v/>
      </c>
      <c r="M149" s="42"/>
      <c r="N149" s="42"/>
      <c r="O149" s="34" t="str">
        <f t="shared" si="13"/>
        <v/>
      </c>
      <c r="Q149" s="42"/>
      <c r="R149" s="42"/>
      <c r="S149" s="34" t="str">
        <f t="shared" si="14"/>
        <v/>
      </c>
    </row>
    <row r="150" spans="1:19" x14ac:dyDescent="0.25">
      <c r="A150" s="42"/>
      <c r="B150" s="42"/>
      <c r="C150" s="34" t="str">
        <f t="shared" si="10"/>
        <v/>
      </c>
      <c r="E150" s="42"/>
      <c r="F150" s="42"/>
      <c r="G150" s="34" t="str">
        <f t="shared" si="11"/>
        <v/>
      </c>
      <c r="I150" s="42"/>
      <c r="J150" s="42"/>
      <c r="K150" s="34" t="str">
        <f t="shared" si="12"/>
        <v/>
      </c>
      <c r="M150" s="42"/>
      <c r="N150" s="42"/>
      <c r="O150" s="34" t="str">
        <f t="shared" si="13"/>
        <v/>
      </c>
      <c r="Q150" s="42"/>
      <c r="R150" s="42"/>
      <c r="S150" s="34" t="str">
        <f t="shared" si="14"/>
        <v/>
      </c>
    </row>
    <row r="151" spans="1:19" x14ac:dyDescent="0.25">
      <c r="A151" s="42"/>
      <c r="B151" s="42"/>
      <c r="C151" s="34" t="str">
        <f t="shared" si="10"/>
        <v/>
      </c>
      <c r="E151" s="42"/>
      <c r="F151" s="42"/>
      <c r="G151" s="34" t="str">
        <f t="shared" si="11"/>
        <v/>
      </c>
      <c r="I151" s="42"/>
      <c r="J151" s="42"/>
      <c r="K151" s="34" t="str">
        <f t="shared" si="12"/>
        <v/>
      </c>
      <c r="M151" s="42"/>
      <c r="N151" s="42"/>
      <c r="O151" s="34" t="str">
        <f t="shared" si="13"/>
        <v/>
      </c>
      <c r="Q151" s="42"/>
      <c r="R151" s="42"/>
      <c r="S151" s="34" t="str">
        <f t="shared" si="14"/>
        <v/>
      </c>
    </row>
    <row r="152" spans="1:19" x14ac:dyDescent="0.25">
      <c r="A152" s="42"/>
      <c r="B152" s="42"/>
      <c r="C152" s="34" t="str">
        <f t="shared" si="10"/>
        <v/>
      </c>
      <c r="E152" s="42"/>
      <c r="F152" s="42"/>
      <c r="G152" s="34" t="str">
        <f t="shared" si="11"/>
        <v/>
      </c>
      <c r="I152" s="42"/>
      <c r="J152" s="42"/>
      <c r="K152" s="34" t="str">
        <f t="shared" si="12"/>
        <v/>
      </c>
      <c r="M152" s="42"/>
      <c r="N152" s="42"/>
      <c r="O152" s="34" t="str">
        <f t="shared" si="13"/>
        <v/>
      </c>
      <c r="Q152" s="42"/>
      <c r="R152" s="42"/>
      <c r="S152" s="34" t="str">
        <f t="shared" si="14"/>
        <v/>
      </c>
    </row>
    <row r="153" spans="1:19" x14ac:dyDescent="0.25">
      <c r="A153" s="42"/>
      <c r="B153" s="42"/>
      <c r="C153" s="34" t="str">
        <f t="shared" si="10"/>
        <v/>
      </c>
      <c r="E153" s="42"/>
      <c r="F153" s="42"/>
      <c r="G153" s="34" t="str">
        <f t="shared" si="11"/>
        <v/>
      </c>
      <c r="I153" s="42"/>
      <c r="J153" s="42"/>
      <c r="K153" s="34" t="str">
        <f t="shared" si="12"/>
        <v/>
      </c>
      <c r="M153" s="42"/>
      <c r="N153" s="42"/>
      <c r="O153" s="34" t="str">
        <f t="shared" si="13"/>
        <v/>
      </c>
      <c r="Q153" s="42"/>
      <c r="R153" s="42"/>
      <c r="S153" s="34" t="str">
        <f t="shared" si="14"/>
        <v/>
      </c>
    </row>
    <row r="154" spans="1:19" x14ac:dyDescent="0.25">
      <c r="A154" s="42"/>
      <c r="B154" s="42"/>
      <c r="C154" s="34" t="str">
        <f t="shared" si="10"/>
        <v/>
      </c>
      <c r="E154" s="42"/>
      <c r="F154" s="42"/>
      <c r="G154" s="34" t="str">
        <f t="shared" si="11"/>
        <v/>
      </c>
      <c r="I154" s="42"/>
      <c r="J154" s="42"/>
      <c r="K154" s="34" t="str">
        <f t="shared" si="12"/>
        <v/>
      </c>
      <c r="M154" s="42"/>
      <c r="N154" s="42"/>
      <c r="O154" s="34" t="str">
        <f t="shared" si="13"/>
        <v/>
      </c>
      <c r="Q154" s="42"/>
      <c r="R154" s="42"/>
      <c r="S154" s="34" t="str">
        <f t="shared" si="14"/>
        <v/>
      </c>
    </row>
    <row r="155" spans="1:19" x14ac:dyDescent="0.25">
      <c r="A155" s="42"/>
      <c r="B155" s="42"/>
      <c r="C155" s="34" t="str">
        <f t="shared" si="10"/>
        <v/>
      </c>
      <c r="E155" s="42"/>
      <c r="F155" s="42"/>
      <c r="G155" s="34" t="str">
        <f t="shared" si="11"/>
        <v/>
      </c>
      <c r="I155" s="42"/>
      <c r="J155" s="42"/>
      <c r="K155" s="34" t="str">
        <f t="shared" si="12"/>
        <v/>
      </c>
      <c r="M155" s="42"/>
      <c r="N155" s="42"/>
      <c r="O155" s="34" t="str">
        <f t="shared" si="13"/>
        <v/>
      </c>
      <c r="Q155" s="42"/>
      <c r="R155" s="42"/>
      <c r="S155" s="34" t="str">
        <f t="shared" si="14"/>
        <v/>
      </c>
    </row>
    <row r="156" spans="1:19" x14ac:dyDescent="0.25">
      <c r="A156" s="42"/>
      <c r="B156" s="42"/>
      <c r="C156" s="34" t="str">
        <f t="shared" si="10"/>
        <v/>
      </c>
      <c r="E156" s="42"/>
      <c r="F156" s="42"/>
      <c r="G156" s="34" t="str">
        <f t="shared" si="11"/>
        <v/>
      </c>
      <c r="I156" s="42"/>
      <c r="J156" s="42"/>
      <c r="K156" s="34" t="str">
        <f t="shared" si="12"/>
        <v/>
      </c>
      <c r="M156" s="42"/>
      <c r="N156" s="42"/>
      <c r="O156" s="34" t="str">
        <f t="shared" si="13"/>
        <v/>
      </c>
      <c r="Q156" s="42"/>
      <c r="R156" s="42"/>
      <c r="S156" s="34" t="str">
        <f t="shared" si="14"/>
        <v/>
      </c>
    </row>
    <row r="157" spans="1:19" x14ac:dyDescent="0.25">
      <c r="A157" s="42"/>
      <c r="B157" s="42"/>
      <c r="C157" s="34" t="str">
        <f t="shared" si="10"/>
        <v/>
      </c>
      <c r="E157" s="42"/>
      <c r="F157" s="42"/>
      <c r="G157" s="34" t="str">
        <f t="shared" si="11"/>
        <v/>
      </c>
      <c r="I157" s="42"/>
      <c r="J157" s="42"/>
      <c r="K157" s="34" t="str">
        <f t="shared" si="12"/>
        <v/>
      </c>
      <c r="M157" s="42"/>
      <c r="N157" s="42"/>
      <c r="O157" s="34" t="str">
        <f t="shared" si="13"/>
        <v/>
      </c>
      <c r="Q157" s="42"/>
      <c r="R157" s="42"/>
      <c r="S157" s="34" t="str">
        <f t="shared" si="14"/>
        <v/>
      </c>
    </row>
    <row r="158" spans="1:19" x14ac:dyDescent="0.25">
      <c r="A158" s="42"/>
      <c r="B158" s="42"/>
      <c r="C158" s="34" t="str">
        <f t="shared" si="10"/>
        <v/>
      </c>
      <c r="E158" s="42"/>
      <c r="F158" s="42"/>
      <c r="G158" s="34" t="str">
        <f t="shared" si="11"/>
        <v/>
      </c>
      <c r="I158" s="42"/>
      <c r="J158" s="42"/>
      <c r="K158" s="34" t="str">
        <f t="shared" si="12"/>
        <v/>
      </c>
      <c r="M158" s="42"/>
      <c r="N158" s="42"/>
      <c r="O158" s="34" t="str">
        <f t="shared" si="13"/>
        <v/>
      </c>
      <c r="Q158" s="42"/>
      <c r="R158" s="42"/>
      <c r="S158" s="34" t="str">
        <f t="shared" si="14"/>
        <v/>
      </c>
    </row>
    <row r="159" spans="1:19" x14ac:dyDescent="0.25">
      <c r="A159" s="42"/>
      <c r="B159" s="42"/>
      <c r="C159" s="34" t="str">
        <f t="shared" si="10"/>
        <v/>
      </c>
      <c r="E159" s="42"/>
      <c r="F159" s="42"/>
      <c r="G159" s="34" t="str">
        <f t="shared" si="11"/>
        <v/>
      </c>
      <c r="I159" s="42"/>
      <c r="J159" s="42"/>
      <c r="K159" s="34" t="str">
        <f t="shared" si="12"/>
        <v/>
      </c>
      <c r="M159" s="42"/>
      <c r="N159" s="42"/>
      <c r="O159" s="34" t="str">
        <f t="shared" si="13"/>
        <v/>
      </c>
      <c r="Q159" s="42"/>
      <c r="R159" s="42"/>
      <c r="S159" s="34" t="str">
        <f t="shared" si="14"/>
        <v/>
      </c>
    </row>
    <row r="160" spans="1:19" x14ac:dyDescent="0.25">
      <c r="A160" s="42"/>
      <c r="B160" s="42"/>
      <c r="C160" s="34" t="str">
        <f t="shared" si="10"/>
        <v/>
      </c>
      <c r="E160" s="42"/>
      <c r="F160" s="42"/>
      <c r="G160" s="34" t="str">
        <f t="shared" si="11"/>
        <v/>
      </c>
      <c r="I160" s="42"/>
      <c r="J160" s="42"/>
      <c r="K160" s="34" t="str">
        <f t="shared" si="12"/>
        <v/>
      </c>
      <c r="M160" s="42"/>
      <c r="N160" s="42"/>
      <c r="O160" s="34" t="str">
        <f t="shared" si="13"/>
        <v/>
      </c>
      <c r="Q160" s="42"/>
      <c r="R160" s="42"/>
      <c r="S160" s="34" t="str">
        <f t="shared" si="14"/>
        <v/>
      </c>
    </row>
    <row r="161" spans="1:19" x14ac:dyDescent="0.25">
      <c r="A161" s="42"/>
      <c r="B161" s="42"/>
      <c r="C161" s="34" t="str">
        <f t="shared" si="10"/>
        <v/>
      </c>
      <c r="E161" s="42"/>
      <c r="F161" s="42"/>
      <c r="G161" s="34" t="str">
        <f t="shared" si="11"/>
        <v/>
      </c>
      <c r="I161" s="42"/>
      <c r="J161" s="42"/>
      <c r="K161" s="34" t="str">
        <f t="shared" si="12"/>
        <v/>
      </c>
      <c r="M161" s="42"/>
      <c r="N161" s="42"/>
      <c r="O161" s="34" t="str">
        <f t="shared" si="13"/>
        <v/>
      </c>
      <c r="Q161" s="42"/>
      <c r="R161" s="42"/>
      <c r="S161" s="34" t="str">
        <f t="shared" si="14"/>
        <v/>
      </c>
    </row>
    <row r="162" spans="1:19" x14ac:dyDescent="0.25">
      <c r="A162" s="42"/>
      <c r="B162" s="42"/>
      <c r="C162" s="34" t="str">
        <f t="shared" si="10"/>
        <v/>
      </c>
      <c r="E162" s="42"/>
      <c r="F162" s="42"/>
      <c r="G162" s="34" t="str">
        <f t="shared" si="11"/>
        <v/>
      </c>
      <c r="I162" s="42"/>
      <c r="J162" s="42"/>
      <c r="K162" s="34" t="str">
        <f t="shared" si="12"/>
        <v/>
      </c>
      <c r="M162" s="42"/>
      <c r="N162" s="42"/>
      <c r="O162" s="34" t="str">
        <f t="shared" si="13"/>
        <v/>
      </c>
      <c r="Q162" s="42"/>
      <c r="R162" s="42"/>
      <c r="S162" s="34" t="str">
        <f t="shared" si="14"/>
        <v/>
      </c>
    </row>
    <row r="163" spans="1:19" x14ac:dyDescent="0.25">
      <c r="A163" s="42"/>
      <c r="B163" s="42"/>
      <c r="C163" s="34" t="str">
        <f t="shared" si="10"/>
        <v/>
      </c>
      <c r="E163" s="42"/>
      <c r="F163" s="42"/>
      <c r="G163" s="34" t="str">
        <f t="shared" si="11"/>
        <v/>
      </c>
      <c r="I163" s="42"/>
      <c r="J163" s="42"/>
      <c r="K163" s="34" t="str">
        <f t="shared" si="12"/>
        <v/>
      </c>
      <c r="M163" s="42"/>
      <c r="N163" s="42"/>
      <c r="O163" s="34" t="str">
        <f t="shared" si="13"/>
        <v/>
      </c>
      <c r="Q163" s="42"/>
      <c r="R163" s="42"/>
      <c r="S163" s="34" t="str">
        <f t="shared" si="14"/>
        <v/>
      </c>
    </row>
    <row r="164" spans="1:19" x14ac:dyDescent="0.25">
      <c r="A164" s="42"/>
      <c r="B164" s="42"/>
      <c r="C164" s="34" t="str">
        <f t="shared" si="10"/>
        <v/>
      </c>
      <c r="E164" s="42"/>
      <c r="F164" s="42"/>
      <c r="G164" s="34" t="str">
        <f t="shared" si="11"/>
        <v/>
      </c>
      <c r="I164" s="42"/>
      <c r="J164" s="42"/>
      <c r="K164" s="34" t="str">
        <f t="shared" si="12"/>
        <v/>
      </c>
      <c r="M164" s="42"/>
      <c r="N164" s="42"/>
      <c r="O164" s="34" t="str">
        <f t="shared" si="13"/>
        <v/>
      </c>
      <c r="Q164" s="42"/>
      <c r="R164" s="42"/>
      <c r="S164" s="34" t="str">
        <f t="shared" si="14"/>
        <v/>
      </c>
    </row>
    <row r="165" spans="1:19" x14ac:dyDescent="0.25">
      <c r="A165" s="42"/>
      <c r="B165" s="42"/>
      <c r="C165" s="34" t="str">
        <f t="shared" si="10"/>
        <v/>
      </c>
      <c r="E165" s="42"/>
      <c r="F165" s="42"/>
      <c r="G165" s="34" t="str">
        <f t="shared" si="11"/>
        <v/>
      </c>
      <c r="I165" s="42"/>
      <c r="J165" s="42"/>
      <c r="K165" s="34" t="str">
        <f t="shared" si="12"/>
        <v/>
      </c>
      <c r="M165" s="42"/>
      <c r="N165" s="42"/>
      <c r="O165" s="34" t="str">
        <f t="shared" si="13"/>
        <v/>
      </c>
      <c r="Q165" s="42"/>
      <c r="R165" s="42"/>
      <c r="S165" s="34" t="str">
        <f t="shared" si="14"/>
        <v/>
      </c>
    </row>
    <row r="166" spans="1:19" x14ac:dyDescent="0.25">
      <c r="A166" s="42"/>
      <c r="B166" s="42"/>
      <c r="C166" s="34" t="str">
        <f t="shared" si="10"/>
        <v/>
      </c>
      <c r="E166" s="42"/>
      <c r="F166" s="42"/>
      <c r="G166" s="34" t="str">
        <f t="shared" si="11"/>
        <v/>
      </c>
      <c r="I166" s="42"/>
      <c r="J166" s="42"/>
      <c r="K166" s="34" t="str">
        <f t="shared" si="12"/>
        <v/>
      </c>
      <c r="M166" s="42"/>
      <c r="N166" s="42"/>
      <c r="O166" s="34" t="str">
        <f t="shared" si="13"/>
        <v/>
      </c>
      <c r="Q166" s="42"/>
      <c r="R166" s="42"/>
      <c r="S166" s="34" t="str">
        <f t="shared" si="14"/>
        <v/>
      </c>
    </row>
    <row r="167" spans="1:19" x14ac:dyDescent="0.25">
      <c r="A167" s="42"/>
      <c r="B167" s="42"/>
      <c r="C167" s="34" t="str">
        <f t="shared" si="10"/>
        <v/>
      </c>
      <c r="E167" s="42"/>
      <c r="F167" s="42"/>
      <c r="G167" s="34" t="str">
        <f t="shared" si="11"/>
        <v/>
      </c>
      <c r="I167" s="42"/>
      <c r="J167" s="42"/>
      <c r="K167" s="34" t="str">
        <f t="shared" si="12"/>
        <v/>
      </c>
      <c r="M167" s="42"/>
      <c r="N167" s="42"/>
      <c r="O167" s="34" t="str">
        <f t="shared" si="13"/>
        <v/>
      </c>
      <c r="Q167" s="42"/>
      <c r="R167" s="42"/>
      <c r="S167" s="34" t="str">
        <f t="shared" si="14"/>
        <v/>
      </c>
    </row>
    <row r="168" spans="1:19" x14ac:dyDescent="0.25">
      <c r="A168" s="42"/>
      <c r="B168" s="42"/>
      <c r="C168" s="34" t="str">
        <f t="shared" si="10"/>
        <v/>
      </c>
      <c r="E168" s="42"/>
      <c r="F168" s="42"/>
      <c r="G168" s="34" t="str">
        <f t="shared" si="11"/>
        <v/>
      </c>
      <c r="I168" s="42"/>
      <c r="J168" s="42"/>
      <c r="K168" s="34" t="str">
        <f t="shared" si="12"/>
        <v/>
      </c>
      <c r="M168" s="42"/>
      <c r="N168" s="42"/>
      <c r="O168" s="34" t="str">
        <f t="shared" si="13"/>
        <v/>
      </c>
      <c r="Q168" s="42"/>
      <c r="R168" s="42"/>
      <c r="S168" s="34" t="str">
        <f t="shared" si="14"/>
        <v/>
      </c>
    </row>
    <row r="169" spans="1:19" x14ac:dyDescent="0.25">
      <c r="A169" s="42"/>
      <c r="B169" s="42"/>
      <c r="C169" s="34" t="str">
        <f t="shared" si="10"/>
        <v/>
      </c>
      <c r="E169" s="42"/>
      <c r="F169" s="42"/>
      <c r="G169" s="34" t="str">
        <f t="shared" si="11"/>
        <v/>
      </c>
      <c r="I169" s="42"/>
      <c r="J169" s="42"/>
      <c r="K169" s="34" t="str">
        <f t="shared" si="12"/>
        <v/>
      </c>
      <c r="M169" s="42"/>
      <c r="N169" s="42"/>
      <c r="O169" s="34" t="str">
        <f t="shared" si="13"/>
        <v/>
      </c>
      <c r="Q169" s="42"/>
      <c r="R169" s="42"/>
      <c r="S169" s="34" t="str">
        <f t="shared" si="14"/>
        <v/>
      </c>
    </row>
    <row r="170" spans="1:19" x14ac:dyDescent="0.25">
      <c r="A170" s="42"/>
      <c r="B170" s="42"/>
      <c r="C170" s="34" t="str">
        <f t="shared" si="10"/>
        <v/>
      </c>
      <c r="E170" s="42"/>
      <c r="F170" s="42"/>
      <c r="G170" s="34" t="str">
        <f t="shared" si="11"/>
        <v/>
      </c>
      <c r="I170" s="42"/>
      <c r="J170" s="42"/>
      <c r="K170" s="34" t="str">
        <f t="shared" si="12"/>
        <v/>
      </c>
      <c r="M170" s="42"/>
      <c r="N170" s="42"/>
      <c r="O170" s="34" t="str">
        <f t="shared" si="13"/>
        <v/>
      </c>
      <c r="Q170" s="42"/>
      <c r="R170" s="42"/>
      <c r="S170" s="34" t="str">
        <f t="shared" si="14"/>
        <v/>
      </c>
    </row>
    <row r="171" spans="1:19" x14ac:dyDescent="0.25">
      <c r="A171" s="42"/>
      <c r="B171" s="42"/>
      <c r="C171" s="34" t="str">
        <f t="shared" si="10"/>
        <v/>
      </c>
      <c r="E171" s="42"/>
      <c r="F171" s="42"/>
      <c r="G171" s="34" t="str">
        <f t="shared" si="11"/>
        <v/>
      </c>
      <c r="I171" s="42"/>
      <c r="J171" s="42"/>
      <c r="K171" s="34" t="str">
        <f t="shared" si="12"/>
        <v/>
      </c>
      <c r="M171" s="42"/>
      <c r="N171" s="42"/>
      <c r="O171" s="34" t="str">
        <f t="shared" si="13"/>
        <v/>
      </c>
      <c r="Q171" s="42"/>
      <c r="R171" s="42"/>
      <c r="S171" s="34" t="str">
        <f t="shared" si="14"/>
        <v/>
      </c>
    </row>
    <row r="172" spans="1:19" x14ac:dyDescent="0.25">
      <c r="A172" s="42"/>
      <c r="B172" s="42"/>
      <c r="C172" s="34" t="str">
        <f t="shared" si="10"/>
        <v/>
      </c>
      <c r="E172" s="42"/>
      <c r="F172" s="42"/>
      <c r="G172" s="34" t="str">
        <f t="shared" si="11"/>
        <v/>
      </c>
      <c r="I172" s="42"/>
      <c r="J172" s="42"/>
      <c r="K172" s="34" t="str">
        <f t="shared" si="12"/>
        <v/>
      </c>
      <c r="M172" s="42"/>
      <c r="N172" s="42"/>
      <c r="O172" s="34" t="str">
        <f t="shared" si="13"/>
        <v/>
      </c>
      <c r="Q172" s="42"/>
      <c r="R172" s="42"/>
      <c r="S172" s="34" t="str">
        <f t="shared" si="14"/>
        <v/>
      </c>
    </row>
    <row r="173" spans="1:19" x14ac:dyDescent="0.25">
      <c r="A173" s="42"/>
      <c r="B173" s="42"/>
      <c r="C173" s="34" t="str">
        <f t="shared" si="10"/>
        <v/>
      </c>
      <c r="E173" s="42"/>
      <c r="F173" s="42"/>
      <c r="G173" s="34" t="str">
        <f t="shared" si="11"/>
        <v/>
      </c>
      <c r="I173" s="42"/>
      <c r="J173" s="42"/>
      <c r="K173" s="34" t="str">
        <f t="shared" si="12"/>
        <v/>
      </c>
      <c r="M173" s="42"/>
      <c r="N173" s="42"/>
      <c r="O173" s="34" t="str">
        <f t="shared" si="13"/>
        <v/>
      </c>
      <c r="Q173" s="42"/>
      <c r="R173" s="42"/>
      <c r="S173" s="34" t="str">
        <f t="shared" si="14"/>
        <v/>
      </c>
    </row>
    <row r="174" spans="1:19" x14ac:dyDescent="0.25">
      <c r="A174" s="42"/>
      <c r="B174" s="42"/>
      <c r="C174" s="34" t="str">
        <f t="shared" si="10"/>
        <v/>
      </c>
      <c r="E174" s="42"/>
      <c r="F174" s="42"/>
      <c r="G174" s="34" t="str">
        <f t="shared" si="11"/>
        <v/>
      </c>
      <c r="I174" s="42"/>
      <c r="J174" s="42"/>
      <c r="K174" s="34" t="str">
        <f t="shared" si="12"/>
        <v/>
      </c>
      <c r="M174" s="42"/>
      <c r="N174" s="42"/>
      <c r="O174" s="34" t="str">
        <f t="shared" si="13"/>
        <v/>
      </c>
      <c r="Q174" s="42"/>
      <c r="R174" s="42"/>
      <c r="S174" s="34" t="str">
        <f t="shared" si="14"/>
        <v/>
      </c>
    </row>
    <row r="175" spans="1:19" x14ac:dyDescent="0.25">
      <c r="A175" s="42"/>
      <c r="B175" s="42"/>
      <c r="C175" s="34" t="str">
        <f t="shared" si="10"/>
        <v/>
      </c>
      <c r="E175" s="42"/>
      <c r="F175" s="42"/>
      <c r="G175" s="34" t="str">
        <f t="shared" si="11"/>
        <v/>
      </c>
      <c r="I175" s="42"/>
      <c r="J175" s="42"/>
      <c r="K175" s="34" t="str">
        <f t="shared" si="12"/>
        <v/>
      </c>
      <c r="M175" s="42"/>
      <c r="N175" s="42"/>
      <c r="O175" s="34" t="str">
        <f t="shared" si="13"/>
        <v/>
      </c>
      <c r="Q175" s="42"/>
      <c r="R175" s="42"/>
      <c r="S175" s="34" t="str">
        <f t="shared" si="14"/>
        <v/>
      </c>
    </row>
    <row r="176" spans="1:19" x14ac:dyDescent="0.25">
      <c r="A176" s="42"/>
      <c r="B176" s="42"/>
      <c r="C176" s="34" t="str">
        <f t="shared" si="10"/>
        <v/>
      </c>
      <c r="E176" s="42"/>
      <c r="F176" s="42"/>
      <c r="G176" s="34" t="str">
        <f t="shared" si="11"/>
        <v/>
      </c>
      <c r="I176" s="42"/>
      <c r="J176" s="42"/>
      <c r="K176" s="34" t="str">
        <f t="shared" si="12"/>
        <v/>
      </c>
      <c r="M176" s="42"/>
      <c r="N176" s="42"/>
      <c r="O176" s="34" t="str">
        <f t="shared" si="13"/>
        <v/>
      </c>
      <c r="Q176" s="42"/>
      <c r="R176" s="42"/>
      <c r="S176" s="34" t="str">
        <f t="shared" si="14"/>
        <v/>
      </c>
    </row>
    <row r="177" spans="1:19" x14ac:dyDescent="0.25">
      <c r="A177" s="42"/>
      <c r="B177" s="42"/>
      <c r="C177" s="34" t="str">
        <f t="shared" si="10"/>
        <v/>
      </c>
      <c r="E177" s="42"/>
      <c r="F177" s="42"/>
      <c r="G177" s="34" t="str">
        <f t="shared" si="11"/>
        <v/>
      </c>
      <c r="I177" s="42"/>
      <c r="J177" s="42"/>
      <c r="K177" s="34" t="str">
        <f t="shared" si="12"/>
        <v/>
      </c>
      <c r="M177" s="42"/>
      <c r="N177" s="42"/>
      <c r="O177" s="34" t="str">
        <f t="shared" si="13"/>
        <v/>
      </c>
      <c r="Q177" s="42"/>
      <c r="R177" s="42"/>
      <c r="S177" s="34" t="str">
        <f t="shared" si="14"/>
        <v/>
      </c>
    </row>
    <row r="178" spans="1:19" x14ac:dyDescent="0.25">
      <c r="A178" s="42"/>
      <c r="B178" s="42"/>
      <c r="C178" s="34" t="str">
        <f t="shared" si="10"/>
        <v/>
      </c>
      <c r="E178" s="42"/>
      <c r="F178" s="42"/>
      <c r="G178" s="34" t="str">
        <f t="shared" si="11"/>
        <v/>
      </c>
      <c r="I178" s="42"/>
      <c r="J178" s="42"/>
      <c r="K178" s="34" t="str">
        <f t="shared" si="12"/>
        <v/>
      </c>
      <c r="M178" s="42"/>
      <c r="N178" s="42"/>
      <c r="O178" s="34" t="str">
        <f t="shared" si="13"/>
        <v/>
      </c>
      <c r="Q178" s="42"/>
      <c r="R178" s="42"/>
      <c r="S178" s="34" t="str">
        <f t="shared" si="14"/>
        <v/>
      </c>
    </row>
    <row r="179" spans="1:19" x14ac:dyDescent="0.25">
      <c r="A179" s="42"/>
      <c r="B179" s="42"/>
      <c r="C179" s="34" t="str">
        <f t="shared" si="10"/>
        <v/>
      </c>
      <c r="E179" s="42"/>
      <c r="F179" s="42"/>
      <c r="G179" s="34" t="str">
        <f t="shared" si="11"/>
        <v/>
      </c>
      <c r="I179" s="42"/>
      <c r="J179" s="42"/>
      <c r="K179" s="34" t="str">
        <f t="shared" si="12"/>
        <v/>
      </c>
      <c r="M179" s="42"/>
      <c r="N179" s="42"/>
      <c r="O179" s="34" t="str">
        <f t="shared" si="13"/>
        <v/>
      </c>
      <c r="Q179" s="42"/>
      <c r="R179" s="42"/>
      <c r="S179" s="34" t="str">
        <f t="shared" si="14"/>
        <v/>
      </c>
    </row>
    <row r="180" spans="1:19" x14ac:dyDescent="0.25">
      <c r="A180" s="42"/>
      <c r="B180" s="42"/>
      <c r="C180" s="34" t="str">
        <f t="shared" si="10"/>
        <v/>
      </c>
      <c r="E180" s="42"/>
      <c r="F180" s="42"/>
      <c r="G180" s="34" t="str">
        <f t="shared" si="11"/>
        <v/>
      </c>
      <c r="I180" s="42"/>
      <c r="J180" s="42"/>
      <c r="K180" s="34" t="str">
        <f t="shared" si="12"/>
        <v/>
      </c>
      <c r="M180" s="42"/>
      <c r="N180" s="42"/>
      <c r="O180" s="34" t="str">
        <f t="shared" si="13"/>
        <v/>
      </c>
      <c r="Q180" s="42"/>
      <c r="R180" s="42"/>
      <c r="S180" s="34" t="str">
        <f t="shared" si="14"/>
        <v/>
      </c>
    </row>
    <row r="181" spans="1:19" x14ac:dyDescent="0.25">
      <c r="A181" s="42"/>
      <c r="B181" s="42"/>
      <c r="C181" s="34" t="str">
        <f t="shared" si="10"/>
        <v/>
      </c>
      <c r="E181" s="42"/>
      <c r="F181" s="42"/>
      <c r="G181" s="34" t="str">
        <f t="shared" si="11"/>
        <v/>
      </c>
      <c r="I181" s="42"/>
      <c r="J181" s="42"/>
      <c r="K181" s="34" t="str">
        <f t="shared" si="12"/>
        <v/>
      </c>
      <c r="M181" s="42"/>
      <c r="N181" s="42"/>
      <c r="O181" s="34" t="str">
        <f t="shared" si="13"/>
        <v/>
      </c>
      <c r="Q181" s="42"/>
      <c r="R181" s="42"/>
      <c r="S181" s="34" t="str">
        <f t="shared" si="14"/>
        <v/>
      </c>
    </row>
    <row r="182" spans="1:19" x14ac:dyDescent="0.25">
      <c r="A182" s="42"/>
      <c r="B182" s="42"/>
      <c r="C182" s="34" t="str">
        <f t="shared" si="10"/>
        <v/>
      </c>
      <c r="E182" s="42"/>
      <c r="F182" s="42"/>
      <c r="G182" s="34" t="str">
        <f t="shared" si="11"/>
        <v/>
      </c>
      <c r="I182" s="42"/>
      <c r="J182" s="42"/>
      <c r="K182" s="34" t="str">
        <f t="shared" si="12"/>
        <v/>
      </c>
      <c r="M182" s="42"/>
      <c r="N182" s="42"/>
      <c r="O182" s="34" t="str">
        <f t="shared" si="13"/>
        <v/>
      </c>
      <c r="Q182" s="42"/>
      <c r="R182" s="42"/>
      <c r="S182" s="34" t="str">
        <f t="shared" si="14"/>
        <v/>
      </c>
    </row>
    <row r="183" spans="1:19" x14ac:dyDescent="0.25">
      <c r="A183" s="42"/>
      <c r="B183" s="42"/>
      <c r="C183" s="34" t="str">
        <f t="shared" si="10"/>
        <v/>
      </c>
      <c r="E183" s="42"/>
      <c r="F183" s="42"/>
      <c r="G183" s="34" t="str">
        <f t="shared" si="11"/>
        <v/>
      </c>
      <c r="I183" s="42"/>
      <c r="J183" s="42"/>
      <c r="K183" s="34" t="str">
        <f t="shared" si="12"/>
        <v/>
      </c>
      <c r="M183" s="42"/>
      <c r="N183" s="42"/>
      <c r="O183" s="34" t="str">
        <f t="shared" si="13"/>
        <v/>
      </c>
      <c r="Q183" s="42"/>
      <c r="R183" s="42"/>
      <c r="S183" s="34" t="str">
        <f t="shared" si="14"/>
        <v/>
      </c>
    </row>
    <row r="184" spans="1:19" x14ac:dyDescent="0.25">
      <c r="A184" s="42"/>
      <c r="B184" s="42"/>
      <c r="C184" s="34" t="str">
        <f t="shared" si="10"/>
        <v/>
      </c>
      <c r="E184" s="42"/>
      <c r="F184" s="42"/>
      <c r="G184" s="34" t="str">
        <f t="shared" si="11"/>
        <v/>
      </c>
      <c r="I184" s="42"/>
      <c r="J184" s="42"/>
      <c r="K184" s="34" t="str">
        <f t="shared" si="12"/>
        <v/>
      </c>
      <c r="M184" s="42"/>
      <c r="N184" s="42"/>
      <c r="O184" s="34" t="str">
        <f t="shared" si="13"/>
        <v/>
      </c>
      <c r="Q184" s="42"/>
      <c r="R184" s="42"/>
      <c r="S184" s="34" t="str">
        <f t="shared" si="14"/>
        <v/>
      </c>
    </row>
    <row r="185" spans="1:19" x14ac:dyDescent="0.25">
      <c r="A185" s="42"/>
      <c r="B185" s="42"/>
      <c r="C185" s="34" t="str">
        <f t="shared" si="10"/>
        <v/>
      </c>
      <c r="E185" s="42"/>
      <c r="F185" s="42"/>
      <c r="G185" s="34" t="str">
        <f t="shared" si="11"/>
        <v/>
      </c>
      <c r="I185" s="42"/>
      <c r="J185" s="42"/>
      <c r="K185" s="34" t="str">
        <f t="shared" si="12"/>
        <v/>
      </c>
      <c r="M185" s="42"/>
      <c r="N185" s="42"/>
      <c r="O185" s="34" t="str">
        <f t="shared" si="13"/>
        <v/>
      </c>
      <c r="Q185" s="42"/>
      <c r="R185" s="42"/>
      <c r="S185" s="34" t="str">
        <f t="shared" si="14"/>
        <v/>
      </c>
    </row>
    <row r="186" spans="1:19" x14ac:dyDescent="0.25">
      <c r="A186" s="42"/>
      <c r="B186" s="42"/>
      <c r="C186" s="34" t="str">
        <f t="shared" si="10"/>
        <v/>
      </c>
      <c r="E186" s="42"/>
      <c r="F186" s="42"/>
      <c r="G186" s="34" t="str">
        <f t="shared" si="11"/>
        <v/>
      </c>
      <c r="I186" s="42"/>
      <c r="J186" s="42"/>
      <c r="K186" s="34" t="str">
        <f t="shared" si="12"/>
        <v/>
      </c>
      <c r="M186" s="42"/>
      <c r="N186" s="42"/>
      <c r="O186" s="34" t="str">
        <f t="shared" si="13"/>
        <v/>
      </c>
      <c r="Q186" s="42"/>
      <c r="R186" s="42"/>
      <c r="S186" s="34" t="str">
        <f t="shared" si="14"/>
        <v/>
      </c>
    </row>
    <row r="187" spans="1:19" x14ac:dyDescent="0.25">
      <c r="A187" s="42"/>
      <c r="B187" s="42"/>
      <c r="C187" s="34" t="str">
        <f t="shared" si="10"/>
        <v/>
      </c>
      <c r="E187" s="42"/>
      <c r="F187" s="42"/>
      <c r="G187" s="34" t="str">
        <f t="shared" si="11"/>
        <v/>
      </c>
      <c r="I187" s="42"/>
      <c r="J187" s="42"/>
      <c r="K187" s="34" t="str">
        <f t="shared" si="12"/>
        <v/>
      </c>
      <c r="M187" s="42"/>
      <c r="N187" s="42"/>
      <c r="O187" s="34" t="str">
        <f t="shared" si="13"/>
        <v/>
      </c>
      <c r="Q187" s="42"/>
      <c r="R187" s="42"/>
      <c r="S187" s="34" t="str">
        <f t="shared" si="14"/>
        <v/>
      </c>
    </row>
    <row r="188" spans="1:19" x14ac:dyDescent="0.25">
      <c r="A188" s="42"/>
      <c r="B188" s="42"/>
      <c r="C188" s="34" t="str">
        <f t="shared" si="10"/>
        <v/>
      </c>
      <c r="E188" s="42"/>
      <c r="F188" s="42"/>
      <c r="G188" s="34" t="str">
        <f t="shared" si="11"/>
        <v/>
      </c>
      <c r="I188" s="42"/>
      <c r="J188" s="42"/>
      <c r="K188" s="34" t="str">
        <f t="shared" si="12"/>
        <v/>
      </c>
      <c r="M188" s="42"/>
      <c r="N188" s="42"/>
      <c r="O188" s="34" t="str">
        <f t="shared" si="13"/>
        <v/>
      </c>
      <c r="Q188" s="42"/>
      <c r="R188" s="42"/>
      <c r="S188" s="34" t="str">
        <f t="shared" si="14"/>
        <v/>
      </c>
    </row>
    <row r="189" spans="1:19" x14ac:dyDescent="0.25">
      <c r="A189" s="42"/>
      <c r="B189" s="42"/>
      <c r="C189" s="34" t="str">
        <f t="shared" si="10"/>
        <v/>
      </c>
      <c r="E189" s="42"/>
      <c r="F189" s="42"/>
      <c r="G189" s="34" t="str">
        <f t="shared" si="11"/>
        <v/>
      </c>
      <c r="I189" s="42"/>
      <c r="J189" s="42"/>
      <c r="K189" s="34" t="str">
        <f t="shared" si="12"/>
        <v/>
      </c>
      <c r="M189" s="42"/>
      <c r="N189" s="42"/>
      <c r="O189" s="34" t="str">
        <f t="shared" si="13"/>
        <v/>
      </c>
      <c r="Q189" s="42"/>
      <c r="R189" s="42"/>
      <c r="S189" s="34" t="str">
        <f t="shared" si="14"/>
        <v/>
      </c>
    </row>
    <row r="190" spans="1:19" x14ac:dyDescent="0.25">
      <c r="A190" s="42"/>
      <c r="B190" s="42"/>
      <c r="C190" s="34" t="str">
        <f t="shared" si="10"/>
        <v/>
      </c>
      <c r="E190" s="42"/>
      <c r="F190" s="42"/>
      <c r="G190" s="34" t="str">
        <f t="shared" si="11"/>
        <v/>
      </c>
      <c r="I190" s="42"/>
      <c r="J190" s="42"/>
      <c r="K190" s="34" t="str">
        <f t="shared" si="12"/>
        <v/>
      </c>
      <c r="M190" s="42"/>
      <c r="N190" s="42"/>
      <c r="O190" s="34" t="str">
        <f t="shared" si="13"/>
        <v/>
      </c>
      <c r="Q190" s="42"/>
      <c r="R190" s="42"/>
      <c r="S190" s="34" t="str">
        <f t="shared" si="14"/>
        <v/>
      </c>
    </row>
    <row r="191" spans="1:19" x14ac:dyDescent="0.25">
      <c r="A191" s="42"/>
      <c r="B191" s="42"/>
      <c r="C191" s="34" t="str">
        <f t="shared" si="10"/>
        <v/>
      </c>
      <c r="E191" s="42"/>
      <c r="F191" s="42"/>
      <c r="G191" s="34" t="str">
        <f t="shared" si="11"/>
        <v/>
      </c>
      <c r="I191" s="42"/>
      <c r="J191" s="42"/>
      <c r="K191" s="34" t="str">
        <f t="shared" si="12"/>
        <v/>
      </c>
      <c r="M191" s="42"/>
      <c r="N191" s="42"/>
      <c r="O191" s="34" t="str">
        <f t="shared" si="13"/>
        <v/>
      </c>
      <c r="Q191" s="42"/>
      <c r="R191" s="42"/>
      <c r="S191" s="34" t="str">
        <f t="shared" si="14"/>
        <v/>
      </c>
    </row>
    <row r="192" spans="1:19" x14ac:dyDescent="0.25">
      <c r="A192" s="42"/>
      <c r="B192" s="42"/>
      <c r="C192" s="34" t="str">
        <f t="shared" si="10"/>
        <v/>
      </c>
      <c r="E192" s="42"/>
      <c r="F192" s="42"/>
      <c r="G192" s="34" t="str">
        <f t="shared" si="11"/>
        <v/>
      </c>
      <c r="I192" s="42"/>
      <c r="J192" s="42"/>
      <c r="K192" s="34" t="str">
        <f t="shared" si="12"/>
        <v/>
      </c>
      <c r="M192" s="42"/>
      <c r="N192" s="42"/>
      <c r="O192" s="34" t="str">
        <f t="shared" si="13"/>
        <v/>
      </c>
      <c r="Q192" s="42"/>
      <c r="R192" s="42"/>
      <c r="S192" s="34" t="str">
        <f t="shared" si="14"/>
        <v/>
      </c>
    </row>
    <row r="193" spans="1:19" x14ac:dyDescent="0.25">
      <c r="A193" s="42"/>
      <c r="B193" s="42"/>
      <c r="C193" s="34" t="str">
        <f t="shared" si="10"/>
        <v/>
      </c>
      <c r="E193" s="42"/>
      <c r="F193" s="42"/>
      <c r="G193" s="34" t="str">
        <f t="shared" si="11"/>
        <v/>
      </c>
      <c r="I193" s="42"/>
      <c r="J193" s="42"/>
      <c r="K193" s="34" t="str">
        <f t="shared" si="12"/>
        <v/>
      </c>
      <c r="M193" s="42"/>
      <c r="N193" s="42"/>
      <c r="O193" s="34" t="str">
        <f t="shared" si="13"/>
        <v/>
      </c>
      <c r="Q193" s="42"/>
      <c r="R193" s="42"/>
      <c r="S193" s="34" t="str">
        <f t="shared" si="14"/>
        <v/>
      </c>
    </row>
    <row r="194" spans="1:19" x14ac:dyDescent="0.25">
      <c r="A194" s="42"/>
      <c r="B194" s="42"/>
      <c r="C194" s="34" t="str">
        <f t="shared" si="10"/>
        <v/>
      </c>
      <c r="E194" s="42"/>
      <c r="F194" s="42"/>
      <c r="G194" s="34" t="str">
        <f t="shared" si="11"/>
        <v/>
      </c>
      <c r="I194" s="42"/>
      <c r="J194" s="42"/>
      <c r="K194" s="34" t="str">
        <f t="shared" si="12"/>
        <v/>
      </c>
      <c r="M194" s="42"/>
      <c r="N194" s="42"/>
      <c r="O194" s="34" t="str">
        <f t="shared" si="13"/>
        <v/>
      </c>
      <c r="Q194" s="42"/>
      <c r="R194" s="42"/>
      <c r="S194" s="34" t="str">
        <f t="shared" si="14"/>
        <v/>
      </c>
    </row>
    <row r="195" spans="1:19" x14ac:dyDescent="0.25">
      <c r="A195" s="42"/>
      <c r="B195" s="42"/>
      <c r="C195" s="34" t="str">
        <f t="shared" si="10"/>
        <v/>
      </c>
      <c r="E195" s="42"/>
      <c r="F195" s="42"/>
      <c r="G195" s="34" t="str">
        <f t="shared" si="11"/>
        <v/>
      </c>
      <c r="I195" s="42"/>
      <c r="J195" s="42"/>
      <c r="K195" s="34" t="str">
        <f t="shared" si="12"/>
        <v/>
      </c>
      <c r="M195" s="42"/>
      <c r="N195" s="42"/>
      <c r="O195" s="34" t="str">
        <f t="shared" si="13"/>
        <v/>
      </c>
      <c r="Q195" s="42"/>
      <c r="R195" s="42"/>
      <c r="S195" s="34" t="str">
        <f t="shared" si="14"/>
        <v/>
      </c>
    </row>
    <row r="196" spans="1:19" x14ac:dyDescent="0.25">
      <c r="A196" s="42"/>
      <c r="B196" s="42"/>
      <c r="C196" s="34" t="str">
        <f t="shared" si="10"/>
        <v/>
      </c>
      <c r="E196" s="42"/>
      <c r="F196" s="42"/>
      <c r="G196" s="34" t="str">
        <f t="shared" si="11"/>
        <v/>
      </c>
      <c r="I196" s="42"/>
      <c r="J196" s="42"/>
      <c r="K196" s="34" t="str">
        <f t="shared" si="12"/>
        <v/>
      </c>
      <c r="M196" s="42"/>
      <c r="N196" s="42"/>
      <c r="O196" s="34" t="str">
        <f t="shared" si="13"/>
        <v/>
      </c>
      <c r="Q196" s="42"/>
      <c r="R196" s="42"/>
      <c r="S196" s="34" t="str">
        <f t="shared" si="14"/>
        <v/>
      </c>
    </row>
    <row r="197" spans="1:19" x14ac:dyDescent="0.25">
      <c r="A197" s="42"/>
      <c r="B197" s="42"/>
      <c r="C197" s="34" t="str">
        <f t="shared" si="10"/>
        <v/>
      </c>
      <c r="E197" s="42"/>
      <c r="F197" s="42"/>
      <c r="G197" s="34" t="str">
        <f t="shared" si="11"/>
        <v/>
      </c>
      <c r="I197" s="42"/>
      <c r="J197" s="42"/>
      <c r="K197" s="34" t="str">
        <f t="shared" si="12"/>
        <v/>
      </c>
      <c r="M197" s="42"/>
      <c r="N197" s="42"/>
      <c r="O197" s="34" t="str">
        <f t="shared" si="13"/>
        <v/>
      </c>
      <c r="Q197" s="42"/>
      <c r="R197" s="42"/>
      <c r="S197" s="34" t="str">
        <f t="shared" si="14"/>
        <v/>
      </c>
    </row>
    <row r="198" spans="1:19" x14ac:dyDescent="0.25">
      <c r="A198" s="42"/>
      <c r="B198" s="42"/>
      <c r="C198" s="34" t="str">
        <f t="shared" si="10"/>
        <v/>
      </c>
      <c r="E198" s="42"/>
      <c r="F198" s="42"/>
      <c r="G198" s="34" t="str">
        <f t="shared" si="11"/>
        <v/>
      </c>
      <c r="I198" s="42"/>
      <c r="J198" s="42"/>
      <c r="K198" s="34" t="str">
        <f t="shared" si="12"/>
        <v/>
      </c>
      <c r="M198" s="42"/>
      <c r="N198" s="42"/>
      <c r="O198" s="34" t="str">
        <f t="shared" si="13"/>
        <v/>
      </c>
      <c r="Q198" s="42"/>
      <c r="R198" s="42"/>
      <c r="S198" s="34" t="str">
        <f t="shared" si="14"/>
        <v/>
      </c>
    </row>
    <row r="199" spans="1:19" x14ac:dyDescent="0.25">
      <c r="A199" s="42"/>
      <c r="B199" s="42"/>
      <c r="C199" s="34" t="str">
        <f t="shared" si="10"/>
        <v/>
      </c>
      <c r="E199" s="42"/>
      <c r="F199" s="42"/>
      <c r="G199" s="34" t="str">
        <f t="shared" si="11"/>
        <v/>
      </c>
      <c r="I199" s="42"/>
      <c r="J199" s="42"/>
      <c r="K199" s="34" t="str">
        <f t="shared" si="12"/>
        <v/>
      </c>
      <c r="M199" s="42"/>
      <c r="N199" s="42"/>
      <c r="O199" s="34" t="str">
        <f t="shared" si="13"/>
        <v/>
      </c>
      <c r="Q199" s="42"/>
      <c r="R199" s="42"/>
      <c r="S199" s="34" t="str">
        <f t="shared" si="14"/>
        <v/>
      </c>
    </row>
    <row r="200" spans="1:19" x14ac:dyDescent="0.25">
      <c r="A200" s="42"/>
      <c r="B200" s="42"/>
      <c r="C200" s="34" t="str">
        <f t="shared" si="10"/>
        <v/>
      </c>
      <c r="E200" s="42"/>
      <c r="F200" s="42"/>
      <c r="G200" s="34" t="str">
        <f t="shared" si="11"/>
        <v/>
      </c>
      <c r="I200" s="42"/>
      <c r="J200" s="42"/>
      <c r="K200" s="34" t="str">
        <f t="shared" si="12"/>
        <v/>
      </c>
      <c r="M200" s="42"/>
      <c r="N200" s="42"/>
      <c r="O200" s="34" t="str">
        <f t="shared" si="13"/>
        <v/>
      </c>
      <c r="Q200" s="42"/>
      <c r="R200" s="42"/>
      <c r="S200" s="34" t="str">
        <f t="shared" si="14"/>
        <v/>
      </c>
    </row>
    <row r="201" spans="1:19" x14ac:dyDescent="0.25">
      <c r="A201" s="42"/>
      <c r="B201" s="42"/>
      <c r="C201" s="34" t="str">
        <f t="shared" si="10"/>
        <v/>
      </c>
      <c r="E201" s="42"/>
      <c r="F201" s="42"/>
      <c r="G201" s="34" t="str">
        <f t="shared" si="11"/>
        <v/>
      </c>
      <c r="I201" s="42"/>
      <c r="J201" s="42"/>
      <c r="K201" s="34" t="str">
        <f t="shared" si="12"/>
        <v/>
      </c>
      <c r="M201" s="42"/>
      <c r="N201" s="42"/>
      <c r="O201" s="34" t="str">
        <f t="shared" si="13"/>
        <v/>
      </c>
      <c r="Q201" s="42"/>
      <c r="R201" s="42"/>
      <c r="S201" s="34" t="str">
        <f t="shared" si="14"/>
        <v/>
      </c>
    </row>
    <row r="202" spans="1:19" x14ac:dyDescent="0.25">
      <c r="A202" s="42"/>
      <c r="B202" s="42"/>
      <c r="C202" s="34" t="str">
        <f t="shared" ref="C202:C265" si="15">IF(OR(B202="",B$4=""),"",B202/B$4)</f>
        <v/>
      </c>
      <c r="E202" s="42"/>
      <c r="F202" s="42"/>
      <c r="G202" s="34" t="str">
        <f t="shared" ref="G202:G265" si="16">IF(OR(F202="",F$4=""),"",F202/F$4)</f>
        <v/>
      </c>
      <c r="I202" s="42"/>
      <c r="J202" s="42"/>
      <c r="K202" s="34" t="str">
        <f t="shared" ref="K202:K265" si="17">IF(OR(J202="",J$4=""),"",J202/J$4)</f>
        <v/>
      </c>
      <c r="M202" s="42"/>
      <c r="N202" s="42"/>
      <c r="O202" s="34" t="str">
        <f t="shared" ref="O202:O265" si="18">IF(OR(N202="",N$4=""),"",N202/N$4)</f>
        <v/>
      </c>
      <c r="Q202" s="42"/>
      <c r="R202" s="42"/>
      <c r="S202" s="34" t="str">
        <f t="shared" ref="S202:S265" si="19">IF(OR(R202="",R$4=""),"",R202/R$4)</f>
        <v/>
      </c>
    </row>
    <row r="203" spans="1:19" x14ac:dyDescent="0.25">
      <c r="A203" s="42"/>
      <c r="B203" s="42"/>
      <c r="C203" s="34" t="str">
        <f t="shared" si="15"/>
        <v/>
      </c>
      <c r="E203" s="42"/>
      <c r="F203" s="42"/>
      <c r="G203" s="34" t="str">
        <f t="shared" si="16"/>
        <v/>
      </c>
      <c r="I203" s="42"/>
      <c r="J203" s="42"/>
      <c r="K203" s="34" t="str">
        <f t="shared" si="17"/>
        <v/>
      </c>
      <c r="M203" s="42"/>
      <c r="N203" s="42"/>
      <c r="O203" s="34" t="str">
        <f t="shared" si="18"/>
        <v/>
      </c>
      <c r="Q203" s="42"/>
      <c r="R203" s="42"/>
      <c r="S203" s="34" t="str">
        <f t="shared" si="19"/>
        <v/>
      </c>
    </row>
    <row r="204" spans="1:19" x14ac:dyDescent="0.25">
      <c r="A204" s="42"/>
      <c r="B204" s="42"/>
      <c r="C204" s="34" t="str">
        <f t="shared" si="15"/>
        <v/>
      </c>
      <c r="E204" s="42"/>
      <c r="F204" s="42"/>
      <c r="G204" s="34" t="str">
        <f t="shared" si="16"/>
        <v/>
      </c>
      <c r="I204" s="42"/>
      <c r="J204" s="42"/>
      <c r="K204" s="34" t="str">
        <f t="shared" si="17"/>
        <v/>
      </c>
      <c r="M204" s="42"/>
      <c r="N204" s="42"/>
      <c r="O204" s="34" t="str">
        <f t="shared" si="18"/>
        <v/>
      </c>
      <c r="Q204" s="42"/>
      <c r="R204" s="42"/>
      <c r="S204" s="34" t="str">
        <f t="shared" si="19"/>
        <v/>
      </c>
    </row>
    <row r="205" spans="1:19" x14ac:dyDescent="0.25">
      <c r="A205" s="42"/>
      <c r="B205" s="42"/>
      <c r="C205" s="34" t="str">
        <f t="shared" si="15"/>
        <v/>
      </c>
      <c r="E205" s="42"/>
      <c r="F205" s="42"/>
      <c r="G205" s="34" t="str">
        <f t="shared" si="16"/>
        <v/>
      </c>
      <c r="I205" s="42"/>
      <c r="J205" s="42"/>
      <c r="K205" s="34" t="str">
        <f t="shared" si="17"/>
        <v/>
      </c>
      <c r="M205" s="42"/>
      <c r="N205" s="42"/>
      <c r="O205" s="34" t="str">
        <f t="shared" si="18"/>
        <v/>
      </c>
      <c r="Q205" s="42"/>
      <c r="R205" s="42"/>
      <c r="S205" s="34" t="str">
        <f t="shared" si="19"/>
        <v/>
      </c>
    </row>
    <row r="206" spans="1:19" x14ac:dyDescent="0.25">
      <c r="A206" s="42"/>
      <c r="B206" s="42"/>
      <c r="C206" s="34" t="str">
        <f t="shared" si="15"/>
        <v/>
      </c>
      <c r="E206" s="42"/>
      <c r="F206" s="42"/>
      <c r="G206" s="34" t="str">
        <f t="shared" si="16"/>
        <v/>
      </c>
      <c r="I206" s="42"/>
      <c r="J206" s="42"/>
      <c r="K206" s="34" t="str">
        <f t="shared" si="17"/>
        <v/>
      </c>
      <c r="M206" s="42"/>
      <c r="N206" s="42"/>
      <c r="O206" s="34" t="str">
        <f t="shared" si="18"/>
        <v/>
      </c>
      <c r="Q206" s="42"/>
      <c r="R206" s="42"/>
      <c r="S206" s="34" t="str">
        <f t="shared" si="19"/>
        <v/>
      </c>
    </row>
    <row r="207" spans="1:19" x14ac:dyDescent="0.25">
      <c r="A207" s="42"/>
      <c r="B207" s="42"/>
      <c r="C207" s="34" t="str">
        <f t="shared" si="15"/>
        <v/>
      </c>
      <c r="E207" s="42"/>
      <c r="F207" s="42"/>
      <c r="G207" s="34" t="str">
        <f t="shared" si="16"/>
        <v/>
      </c>
      <c r="I207" s="42"/>
      <c r="J207" s="42"/>
      <c r="K207" s="34" t="str">
        <f t="shared" si="17"/>
        <v/>
      </c>
      <c r="M207" s="42"/>
      <c r="N207" s="42"/>
      <c r="O207" s="34" t="str">
        <f t="shared" si="18"/>
        <v/>
      </c>
      <c r="Q207" s="42"/>
      <c r="R207" s="42"/>
      <c r="S207" s="34" t="str">
        <f t="shared" si="19"/>
        <v/>
      </c>
    </row>
    <row r="208" spans="1:19" x14ac:dyDescent="0.25">
      <c r="A208" s="42"/>
      <c r="B208" s="42"/>
      <c r="C208" s="34" t="str">
        <f t="shared" si="15"/>
        <v/>
      </c>
      <c r="E208" s="42"/>
      <c r="F208" s="42"/>
      <c r="G208" s="34" t="str">
        <f t="shared" si="16"/>
        <v/>
      </c>
      <c r="I208" s="42"/>
      <c r="J208" s="42"/>
      <c r="K208" s="34" t="str">
        <f t="shared" si="17"/>
        <v/>
      </c>
      <c r="M208" s="42"/>
      <c r="N208" s="42"/>
      <c r="O208" s="34" t="str">
        <f t="shared" si="18"/>
        <v/>
      </c>
      <c r="Q208" s="42"/>
      <c r="R208" s="42"/>
      <c r="S208" s="34" t="str">
        <f t="shared" si="19"/>
        <v/>
      </c>
    </row>
    <row r="209" spans="1:19" x14ac:dyDescent="0.25">
      <c r="A209" s="42"/>
      <c r="B209" s="42"/>
      <c r="C209" s="34" t="str">
        <f t="shared" si="15"/>
        <v/>
      </c>
      <c r="E209" s="42"/>
      <c r="F209" s="42"/>
      <c r="G209" s="34" t="str">
        <f t="shared" si="16"/>
        <v/>
      </c>
      <c r="I209" s="42"/>
      <c r="J209" s="42"/>
      <c r="K209" s="34" t="str">
        <f t="shared" si="17"/>
        <v/>
      </c>
      <c r="M209" s="42"/>
      <c r="N209" s="42"/>
      <c r="O209" s="34" t="str">
        <f t="shared" si="18"/>
        <v/>
      </c>
      <c r="Q209" s="42"/>
      <c r="R209" s="42"/>
      <c r="S209" s="34" t="str">
        <f t="shared" si="19"/>
        <v/>
      </c>
    </row>
    <row r="210" spans="1:19" x14ac:dyDescent="0.25">
      <c r="A210" s="42"/>
      <c r="B210" s="42"/>
      <c r="C210" s="34" t="str">
        <f t="shared" si="15"/>
        <v/>
      </c>
      <c r="E210" s="42"/>
      <c r="F210" s="42"/>
      <c r="G210" s="34" t="str">
        <f t="shared" si="16"/>
        <v/>
      </c>
      <c r="I210" s="42"/>
      <c r="J210" s="42"/>
      <c r="K210" s="34" t="str">
        <f t="shared" si="17"/>
        <v/>
      </c>
      <c r="M210" s="42"/>
      <c r="N210" s="42"/>
      <c r="O210" s="34" t="str">
        <f t="shared" si="18"/>
        <v/>
      </c>
      <c r="Q210" s="42"/>
      <c r="R210" s="42"/>
      <c r="S210" s="34" t="str">
        <f t="shared" si="19"/>
        <v/>
      </c>
    </row>
    <row r="211" spans="1:19" x14ac:dyDescent="0.25">
      <c r="A211" s="42"/>
      <c r="B211" s="42"/>
      <c r="C211" s="34" t="str">
        <f t="shared" si="15"/>
        <v/>
      </c>
      <c r="E211" s="42"/>
      <c r="F211" s="42"/>
      <c r="G211" s="34" t="str">
        <f t="shared" si="16"/>
        <v/>
      </c>
      <c r="I211" s="42"/>
      <c r="J211" s="42"/>
      <c r="K211" s="34" t="str">
        <f t="shared" si="17"/>
        <v/>
      </c>
      <c r="M211" s="42"/>
      <c r="N211" s="42"/>
      <c r="O211" s="34" t="str">
        <f t="shared" si="18"/>
        <v/>
      </c>
      <c r="Q211" s="42"/>
      <c r="R211" s="42"/>
      <c r="S211" s="34" t="str">
        <f t="shared" si="19"/>
        <v/>
      </c>
    </row>
    <row r="212" spans="1:19" x14ac:dyDescent="0.25">
      <c r="A212" s="42"/>
      <c r="B212" s="42"/>
      <c r="C212" s="34" t="str">
        <f t="shared" si="15"/>
        <v/>
      </c>
      <c r="E212" s="42"/>
      <c r="F212" s="42"/>
      <c r="G212" s="34" t="str">
        <f t="shared" si="16"/>
        <v/>
      </c>
      <c r="I212" s="42"/>
      <c r="J212" s="42"/>
      <c r="K212" s="34" t="str">
        <f t="shared" si="17"/>
        <v/>
      </c>
      <c r="M212" s="42"/>
      <c r="N212" s="42"/>
      <c r="O212" s="34" t="str">
        <f t="shared" si="18"/>
        <v/>
      </c>
      <c r="Q212" s="42"/>
      <c r="R212" s="42"/>
      <c r="S212" s="34" t="str">
        <f t="shared" si="19"/>
        <v/>
      </c>
    </row>
    <row r="213" spans="1:19" x14ac:dyDescent="0.25">
      <c r="A213" s="42"/>
      <c r="B213" s="42"/>
      <c r="C213" s="34" t="str">
        <f t="shared" si="15"/>
        <v/>
      </c>
      <c r="E213" s="42"/>
      <c r="F213" s="42"/>
      <c r="G213" s="34" t="str">
        <f t="shared" si="16"/>
        <v/>
      </c>
      <c r="I213" s="42"/>
      <c r="J213" s="42"/>
      <c r="K213" s="34" t="str">
        <f t="shared" si="17"/>
        <v/>
      </c>
      <c r="M213" s="42"/>
      <c r="N213" s="42"/>
      <c r="O213" s="34" t="str">
        <f t="shared" si="18"/>
        <v/>
      </c>
      <c r="Q213" s="42"/>
      <c r="R213" s="42"/>
      <c r="S213" s="34" t="str">
        <f t="shared" si="19"/>
        <v/>
      </c>
    </row>
    <row r="214" spans="1:19" x14ac:dyDescent="0.25">
      <c r="A214" s="42"/>
      <c r="B214" s="42"/>
      <c r="C214" s="34" t="str">
        <f t="shared" si="15"/>
        <v/>
      </c>
      <c r="E214" s="42"/>
      <c r="F214" s="42"/>
      <c r="G214" s="34" t="str">
        <f t="shared" si="16"/>
        <v/>
      </c>
      <c r="I214" s="42"/>
      <c r="J214" s="42"/>
      <c r="K214" s="34" t="str">
        <f t="shared" si="17"/>
        <v/>
      </c>
      <c r="M214" s="42"/>
      <c r="N214" s="42"/>
      <c r="O214" s="34" t="str">
        <f t="shared" si="18"/>
        <v/>
      </c>
      <c r="Q214" s="42"/>
      <c r="R214" s="42"/>
      <c r="S214" s="34" t="str">
        <f t="shared" si="19"/>
        <v/>
      </c>
    </row>
    <row r="215" spans="1:19" x14ac:dyDescent="0.25">
      <c r="A215" s="42"/>
      <c r="B215" s="42"/>
      <c r="C215" s="34" t="str">
        <f t="shared" si="15"/>
        <v/>
      </c>
      <c r="E215" s="42"/>
      <c r="F215" s="42"/>
      <c r="G215" s="34" t="str">
        <f t="shared" si="16"/>
        <v/>
      </c>
      <c r="I215" s="42"/>
      <c r="J215" s="42"/>
      <c r="K215" s="34" t="str">
        <f t="shared" si="17"/>
        <v/>
      </c>
      <c r="M215" s="42"/>
      <c r="N215" s="42"/>
      <c r="O215" s="34" t="str">
        <f t="shared" si="18"/>
        <v/>
      </c>
      <c r="Q215" s="42"/>
      <c r="R215" s="42"/>
      <c r="S215" s="34" t="str">
        <f t="shared" si="19"/>
        <v/>
      </c>
    </row>
    <row r="216" spans="1:19" x14ac:dyDescent="0.25">
      <c r="A216" s="42"/>
      <c r="B216" s="42"/>
      <c r="C216" s="34" t="str">
        <f t="shared" si="15"/>
        <v/>
      </c>
      <c r="E216" s="42"/>
      <c r="F216" s="42"/>
      <c r="G216" s="34" t="str">
        <f t="shared" si="16"/>
        <v/>
      </c>
      <c r="I216" s="42"/>
      <c r="J216" s="42"/>
      <c r="K216" s="34" t="str">
        <f t="shared" si="17"/>
        <v/>
      </c>
      <c r="M216" s="42"/>
      <c r="N216" s="42"/>
      <c r="O216" s="34" t="str">
        <f t="shared" si="18"/>
        <v/>
      </c>
      <c r="Q216" s="42"/>
      <c r="R216" s="42"/>
      <c r="S216" s="34" t="str">
        <f t="shared" si="19"/>
        <v/>
      </c>
    </row>
    <row r="217" spans="1:19" x14ac:dyDescent="0.25">
      <c r="A217" s="42"/>
      <c r="B217" s="42"/>
      <c r="C217" s="34" t="str">
        <f t="shared" si="15"/>
        <v/>
      </c>
      <c r="E217" s="42"/>
      <c r="F217" s="42"/>
      <c r="G217" s="34" t="str">
        <f t="shared" si="16"/>
        <v/>
      </c>
      <c r="I217" s="42"/>
      <c r="J217" s="42"/>
      <c r="K217" s="34" t="str">
        <f t="shared" si="17"/>
        <v/>
      </c>
      <c r="M217" s="42"/>
      <c r="N217" s="42"/>
      <c r="O217" s="34" t="str">
        <f t="shared" si="18"/>
        <v/>
      </c>
      <c r="Q217" s="42"/>
      <c r="R217" s="42"/>
      <c r="S217" s="34" t="str">
        <f t="shared" si="19"/>
        <v/>
      </c>
    </row>
    <row r="218" spans="1:19" x14ac:dyDescent="0.25">
      <c r="A218" s="42"/>
      <c r="B218" s="42"/>
      <c r="C218" s="34" t="str">
        <f t="shared" si="15"/>
        <v/>
      </c>
      <c r="E218" s="42"/>
      <c r="F218" s="42"/>
      <c r="G218" s="34" t="str">
        <f t="shared" si="16"/>
        <v/>
      </c>
      <c r="I218" s="42"/>
      <c r="J218" s="42"/>
      <c r="K218" s="34" t="str">
        <f t="shared" si="17"/>
        <v/>
      </c>
      <c r="M218" s="42"/>
      <c r="N218" s="42"/>
      <c r="O218" s="34" t="str">
        <f t="shared" si="18"/>
        <v/>
      </c>
      <c r="Q218" s="42"/>
      <c r="R218" s="42"/>
      <c r="S218" s="34" t="str">
        <f t="shared" si="19"/>
        <v/>
      </c>
    </row>
    <row r="219" spans="1:19" x14ac:dyDescent="0.25">
      <c r="A219" s="42"/>
      <c r="B219" s="42"/>
      <c r="C219" s="34" t="str">
        <f t="shared" si="15"/>
        <v/>
      </c>
      <c r="E219" s="42"/>
      <c r="F219" s="42"/>
      <c r="G219" s="34" t="str">
        <f t="shared" si="16"/>
        <v/>
      </c>
      <c r="I219" s="42"/>
      <c r="J219" s="42"/>
      <c r="K219" s="34" t="str">
        <f t="shared" si="17"/>
        <v/>
      </c>
      <c r="M219" s="42"/>
      <c r="N219" s="42"/>
      <c r="O219" s="34" t="str">
        <f t="shared" si="18"/>
        <v/>
      </c>
      <c r="Q219" s="42"/>
      <c r="R219" s="42"/>
      <c r="S219" s="34" t="str">
        <f t="shared" si="19"/>
        <v/>
      </c>
    </row>
    <row r="220" spans="1:19" x14ac:dyDescent="0.25">
      <c r="A220" s="42"/>
      <c r="B220" s="42"/>
      <c r="C220" s="34" t="str">
        <f t="shared" si="15"/>
        <v/>
      </c>
      <c r="E220" s="42"/>
      <c r="F220" s="42"/>
      <c r="G220" s="34" t="str">
        <f t="shared" si="16"/>
        <v/>
      </c>
      <c r="I220" s="42"/>
      <c r="J220" s="42"/>
      <c r="K220" s="34" t="str">
        <f t="shared" si="17"/>
        <v/>
      </c>
      <c r="M220" s="42"/>
      <c r="N220" s="42"/>
      <c r="O220" s="34" t="str">
        <f t="shared" si="18"/>
        <v/>
      </c>
      <c r="Q220" s="42"/>
      <c r="R220" s="42"/>
      <c r="S220" s="34" t="str">
        <f t="shared" si="19"/>
        <v/>
      </c>
    </row>
    <row r="221" spans="1:19" x14ac:dyDescent="0.25">
      <c r="A221" s="42"/>
      <c r="B221" s="42"/>
      <c r="C221" s="34" t="str">
        <f t="shared" si="15"/>
        <v/>
      </c>
      <c r="E221" s="42"/>
      <c r="F221" s="42"/>
      <c r="G221" s="34" t="str">
        <f t="shared" si="16"/>
        <v/>
      </c>
      <c r="I221" s="42"/>
      <c r="J221" s="42"/>
      <c r="K221" s="34" t="str">
        <f t="shared" si="17"/>
        <v/>
      </c>
      <c r="M221" s="42"/>
      <c r="N221" s="42"/>
      <c r="O221" s="34" t="str">
        <f t="shared" si="18"/>
        <v/>
      </c>
      <c r="Q221" s="42"/>
      <c r="R221" s="42"/>
      <c r="S221" s="34" t="str">
        <f t="shared" si="19"/>
        <v/>
      </c>
    </row>
    <row r="222" spans="1:19" x14ac:dyDescent="0.25">
      <c r="A222" s="42"/>
      <c r="B222" s="42"/>
      <c r="C222" s="34" t="str">
        <f t="shared" si="15"/>
        <v/>
      </c>
      <c r="E222" s="42"/>
      <c r="F222" s="42"/>
      <c r="G222" s="34" t="str">
        <f t="shared" si="16"/>
        <v/>
      </c>
      <c r="I222" s="42"/>
      <c r="J222" s="42"/>
      <c r="K222" s="34" t="str">
        <f t="shared" si="17"/>
        <v/>
      </c>
      <c r="M222" s="42"/>
      <c r="N222" s="42"/>
      <c r="O222" s="34" t="str">
        <f t="shared" si="18"/>
        <v/>
      </c>
      <c r="Q222" s="42"/>
      <c r="R222" s="42"/>
      <c r="S222" s="34" t="str">
        <f t="shared" si="19"/>
        <v/>
      </c>
    </row>
    <row r="223" spans="1:19" x14ac:dyDescent="0.25">
      <c r="A223" s="42"/>
      <c r="B223" s="42"/>
      <c r="C223" s="34" t="str">
        <f t="shared" si="15"/>
        <v/>
      </c>
      <c r="E223" s="42"/>
      <c r="F223" s="42"/>
      <c r="G223" s="34" t="str">
        <f t="shared" si="16"/>
        <v/>
      </c>
      <c r="I223" s="42"/>
      <c r="J223" s="42"/>
      <c r="K223" s="34" t="str">
        <f t="shared" si="17"/>
        <v/>
      </c>
      <c r="M223" s="42"/>
      <c r="N223" s="42"/>
      <c r="O223" s="34" t="str">
        <f t="shared" si="18"/>
        <v/>
      </c>
      <c r="Q223" s="42"/>
      <c r="R223" s="42"/>
      <c r="S223" s="34" t="str">
        <f t="shared" si="19"/>
        <v/>
      </c>
    </row>
    <row r="224" spans="1:19" x14ac:dyDescent="0.25">
      <c r="A224" s="42"/>
      <c r="B224" s="42"/>
      <c r="C224" s="34" t="str">
        <f t="shared" si="15"/>
        <v/>
      </c>
      <c r="E224" s="42"/>
      <c r="F224" s="42"/>
      <c r="G224" s="34" t="str">
        <f t="shared" si="16"/>
        <v/>
      </c>
      <c r="I224" s="42"/>
      <c r="J224" s="42"/>
      <c r="K224" s="34" t="str">
        <f t="shared" si="17"/>
        <v/>
      </c>
      <c r="M224" s="42"/>
      <c r="N224" s="42"/>
      <c r="O224" s="34" t="str">
        <f t="shared" si="18"/>
        <v/>
      </c>
      <c r="Q224" s="42"/>
      <c r="R224" s="42"/>
      <c r="S224" s="34" t="str">
        <f t="shared" si="19"/>
        <v/>
      </c>
    </row>
    <row r="225" spans="1:19" x14ac:dyDescent="0.25">
      <c r="A225" s="42"/>
      <c r="B225" s="42"/>
      <c r="C225" s="34" t="str">
        <f t="shared" si="15"/>
        <v/>
      </c>
      <c r="E225" s="42"/>
      <c r="F225" s="42"/>
      <c r="G225" s="34" t="str">
        <f t="shared" si="16"/>
        <v/>
      </c>
      <c r="I225" s="42"/>
      <c r="J225" s="42"/>
      <c r="K225" s="34" t="str">
        <f t="shared" si="17"/>
        <v/>
      </c>
      <c r="M225" s="42"/>
      <c r="N225" s="42"/>
      <c r="O225" s="34" t="str">
        <f t="shared" si="18"/>
        <v/>
      </c>
      <c r="Q225" s="42"/>
      <c r="R225" s="42"/>
      <c r="S225" s="34" t="str">
        <f t="shared" si="19"/>
        <v/>
      </c>
    </row>
    <row r="226" spans="1:19" x14ac:dyDescent="0.25">
      <c r="A226" s="42"/>
      <c r="B226" s="42"/>
      <c r="C226" s="34" t="str">
        <f t="shared" si="15"/>
        <v/>
      </c>
      <c r="E226" s="42"/>
      <c r="F226" s="42"/>
      <c r="G226" s="34" t="str">
        <f t="shared" si="16"/>
        <v/>
      </c>
      <c r="I226" s="42"/>
      <c r="J226" s="42"/>
      <c r="K226" s="34" t="str">
        <f t="shared" si="17"/>
        <v/>
      </c>
      <c r="M226" s="42"/>
      <c r="N226" s="42"/>
      <c r="O226" s="34" t="str">
        <f t="shared" si="18"/>
        <v/>
      </c>
      <c r="Q226" s="42"/>
      <c r="R226" s="42"/>
      <c r="S226" s="34" t="str">
        <f t="shared" si="19"/>
        <v/>
      </c>
    </row>
    <row r="227" spans="1:19" x14ac:dyDescent="0.25">
      <c r="A227" s="42"/>
      <c r="B227" s="42"/>
      <c r="C227" s="34" t="str">
        <f t="shared" si="15"/>
        <v/>
      </c>
      <c r="E227" s="42"/>
      <c r="F227" s="42"/>
      <c r="G227" s="34" t="str">
        <f t="shared" si="16"/>
        <v/>
      </c>
      <c r="I227" s="42"/>
      <c r="J227" s="42"/>
      <c r="K227" s="34" t="str">
        <f t="shared" si="17"/>
        <v/>
      </c>
      <c r="M227" s="42"/>
      <c r="N227" s="42"/>
      <c r="O227" s="34" t="str">
        <f t="shared" si="18"/>
        <v/>
      </c>
      <c r="Q227" s="42"/>
      <c r="R227" s="42"/>
      <c r="S227" s="34" t="str">
        <f t="shared" si="19"/>
        <v/>
      </c>
    </row>
    <row r="228" spans="1:19" x14ac:dyDescent="0.25">
      <c r="A228" s="42"/>
      <c r="B228" s="42"/>
      <c r="C228" s="34" t="str">
        <f t="shared" si="15"/>
        <v/>
      </c>
      <c r="E228" s="42"/>
      <c r="F228" s="42"/>
      <c r="G228" s="34" t="str">
        <f t="shared" si="16"/>
        <v/>
      </c>
      <c r="I228" s="42"/>
      <c r="J228" s="42"/>
      <c r="K228" s="34" t="str">
        <f t="shared" si="17"/>
        <v/>
      </c>
      <c r="M228" s="42"/>
      <c r="N228" s="42"/>
      <c r="O228" s="34" t="str">
        <f t="shared" si="18"/>
        <v/>
      </c>
      <c r="Q228" s="42"/>
      <c r="R228" s="42"/>
      <c r="S228" s="34" t="str">
        <f t="shared" si="19"/>
        <v/>
      </c>
    </row>
    <row r="229" spans="1:19" x14ac:dyDescent="0.25">
      <c r="A229" s="42"/>
      <c r="B229" s="42"/>
      <c r="C229" s="34" t="str">
        <f t="shared" si="15"/>
        <v/>
      </c>
      <c r="E229" s="42"/>
      <c r="F229" s="42"/>
      <c r="G229" s="34" t="str">
        <f t="shared" si="16"/>
        <v/>
      </c>
      <c r="I229" s="42"/>
      <c r="J229" s="42"/>
      <c r="K229" s="34" t="str">
        <f t="shared" si="17"/>
        <v/>
      </c>
      <c r="M229" s="42"/>
      <c r="N229" s="42"/>
      <c r="O229" s="34" t="str">
        <f t="shared" si="18"/>
        <v/>
      </c>
      <c r="Q229" s="42"/>
      <c r="R229" s="42"/>
      <c r="S229" s="34" t="str">
        <f t="shared" si="19"/>
        <v/>
      </c>
    </row>
    <row r="230" spans="1:19" x14ac:dyDescent="0.25">
      <c r="A230" s="42"/>
      <c r="B230" s="42"/>
      <c r="C230" s="34" t="str">
        <f t="shared" si="15"/>
        <v/>
      </c>
      <c r="E230" s="42"/>
      <c r="F230" s="42"/>
      <c r="G230" s="34" t="str">
        <f t="shared" si="16"/>
        <v/>
      </c>
      <c r="I230" s="42"/>
      <c r="J230" s="42"/>
      <c r="K230" s="34" t="str">
        <f t="shared" si="17"/>
        <v/>
      </c>
      <c r="M230" s="42"/>
      <c r="N230" s="42"/>
      <c r="O230" s="34" t="str">
        <f t="shared" si="18"/>
        <v/>
      </c>
      <c r="Q230" s="42"/>
      <c r="R230" s="42"/>
      <c r="S230" s="34" t="str">
        <f t="shared" si="19"/>
        <v/>
      </c>
    </row>
    <row r="231" spans="1:19" x14ac:dyDescent="0.25">
      <c r="A231" s="42"/>
      <c r="B231" s="42"/>
      <c r="C231" s="34" t="str">
        <f t="shared" si="15"/>
        <v/>
      </c>
      <c r="E231" s="42"/>
      <c r="F231" s="42"/>
      <c r="G231" s="34" t="str">
        <f t="shared" si="16"/>
        <v/>
      </c>
      <c r="I231" s="42"/>
      <c r="J231" s="42"/>
      <c r="K231" s="34" t="str">
        <f t="shared" si="17"/>
        <v/>
      </c>
      <c r="M231" s="42"/>
      <c r="N231" s="42"/>
      <c r="O231" s="34" t="str">
        <f t="shared" si="18"/>
        <v/>
      </c>
      <c r="Q231" s="42"/>
      <c r="R231" s="42"/>
      <c r="S231" s="34" t="str">
        <f t="shared" si="19"/>
        <v/>
      </c>
    </row>
    <row r="232" spans="1:19" x14ac:dyDescent="0.25">
      <c r="A232" s="42"/>
      <c r="B232" s="42"/>
      <c r="C232" s="34" t="str">
        <f t="shared" si="15"/>
        <v/>
      </c>
      <c r="E232" s="42"/>
      <c r="F232" s="42"/>
      <c r="G232" s="34" t="str">
        <f t="shared" si="16"/>
        <v/>
      </c>
      <c r="I232" s="42"/>
      <c r="J232" s="42"/>
      <c r="K232" s="34" t="str">
        <f t="shared" si="17"/>
        <v/>
      </c>
      <c r="M232" s="42"/>
      <c r="N232" s="42"/>
      <c r="O232" s="34" t="str">
        <f t="shared" si="18"/>
        <v/>
      </c>
      <c r="Q232" s="42"/>
      <c r="R232" s="42"/>
      <c r="S232" s="34" t="str">
        <f t="shared" si="19"/>
        <v/>
      </c>
    </row>
    <row r="233" spans="1:19" x14ac:dyDescent="0.25">
      <c r="A233" s="42"/>
      <c r="B233" s="42"/>
      <c r="C233" s="34" t="str">
        <f t="shared" si="15"/>
        <v/>
      </c>
      <c r="E233" s="42"/>
      <c r="F233" s="42"/>
      <c r="G233" s="34" t="str">
        <f t="shared" si="16"/>
        <v/>
      </c>
      <c r="I233" s="42"/>
      <c r="J233" s="42"/>
      <c r="K233" s="34" t="str">
        <f t="shared" si="17"/>
        <v/>
      </c>
      <c r="M233" s="42"/>
      <c r="N233" s="42"/>
      <c r="O233" s="34" t="str">
        <f t="shared" si="18"/>
        <v/>
      </c>
      <c r="Q233" s="42"/>
      <c r="R233" s="42"/>
      <c r="S233" s="34" t="str">
        <f t="shared" si="19"/>
        <v/>
      </c>
    </row>
    <row r="234" spans="1:19" x14ac:dyDescent="0.25">
      <c r="A234" s="42"/>
      <c r="B234" s="42"/>
      <c r="C234" s="34" t="str">
        <f t="shared" si="15"/>
        <v/>
      </c>
      <c r="E234" s="42"/>
      <c r="F234" s="42"/>
      <c r="G234" s="34" t="str">
        <f t="shared" si="16"/>
        <v/>
      </c>
      <c r="I234" s="42"/>
      <c r="J234" s="42"/>
      <c r="K234" s="34" t="str">
        <f t="shared" si="17"/>
        <v/>
      </c>
      <c r="M234" s="42"/>
      <c r="N234" s="42"/>
      <c r="O234" s="34" t="str">
        <f t="shared" si="18"/>
        <v/>
      </c>
      <c r="Q234" s="42"/>
      <c r="R234" s="42"/>
      <c r="S234" s="34" t="str">
        <f t="shared" si="19"/>
        <v/>
      </c>
    </row>
    <row r="235" spans="1:19" x14ac:dyDescent="0.25">
      <c r="A235" s="42"/>
      <c r="B235" s="42"/>
      <c r="C235" s="34" t="str">
        <f t="shared" si="15"/>
        <v/>
      </c>
      <c r="E235" s="42"/>
      <c r="F235" s="42"/>
      <c r="G235" s="34" t="str">
        <f t="shared" si="16"/>
        <v/>
      </c>
      <c r="I235" s="42"/>
      <c r="J235" s="42"/>
      <c r="K235" s="34" t="str">
        <f t="shared" si="17"/>
        <v/>
      </c>
      <c r="M235" s="42"/>
      <c r="N235" s="42"/>
      <c r="O235" s="34" t="str">
        <f t="shared" si="18"/>
        <v/>
      </c>
      <c r="Q235" s="42"/>
      <c r="R235" s="42"/>
      <c r="S235" s="34" t="str">
        <f t="shared" si="19"/>
        <v/>
      </c>
    </row>
    <row r="236" spans="1:19" x14ac:dyDescent="0.25">
      <c r="A236" s="42"/>
      <c r="B236" s="42"/>
      <c r="C236" s="34" t="str">
        <f t="shared" si="15"/>
        <v/>
      </c>
      <c r="E236" s="42"/>
      <c r="F236" s="42"/>
      <c r="G236" s="34" t="str">
        <f t="shared" si="16"/>
        <v/>
      </c>
      <c r="I236" s="42"/>
      <c r="J236" s="42"/>
      <c r="K236" s="34" t="str">
        <f t="shared" si="17"/>
        <v/>
      </c>
      <c r="M236" s="42"/>
      <c r="N236" s="42"/>
      <c r="O236" s="34" t="str">
        <f t="shared" si="18"/>
        <v/>
      </c>
      <c r="Q236" s="42"/>
      <c r="R236" s="42"/>
      <c r="S236" s="34" t="str">
        <f t="shared" si="19"/>
        <v/>
      </c>
    </row>
    <row r="237" spans="1:19" x14ac:dyDescent="0.25">
      <c r="A237" s="42"/>
      <c r="B237" s="42"/>
      <c r="C237" s="34" t="str">
        <f t="shared" si="15"/>
        <v/>
      </c>
      <c r="E237" s="42"/>
      <c r="F237" s="42"/>
      <c r="G237" s="34" t="str">
        <f t="shared" si="16"/>
        <v/>
      </c>
      <c r="I237" s="42"/>
      <c r="J237" s="42"/>
      <c r="K237" s="34" t="str">
        <f t="shared" si="17"/>
        <v/>
      </c>
      <c r="M237" s="42"/>
      <c r="N237" s="42"/>
      <c r="O237" s="34" t="str">
        <f t="shared" si="18"/>
        <v/>
      </c>
      <c r="Q237" s="42"/>
      <c r="R237" s="42"/>
      <c r="S237" s="34" t="str">
        <f t="shared" si="19"/>
        <v/>
      </c>
    </row>
    <row r="238" spans="1:19" x14ac:dyDescent="0.25">
      <c r="A238" s="42"/>
      <c r="B238" s="42"/>
      <c r="C238" s="34" t="str">
        <f t="shared" si="15"/>
        <v/>
      </c>
      <c r="E238" s="42"/>
      <c r="F238" s="42"/>
      <c r="G238" s="34" t="str">
        <f t="shared" si="16"/>
        <v/>
      </c>
      <c r="I238" s="42"/>
      <c r="J238" s="42"/>
      <c r="K238" s="34" t="str">
        <f t="shared" si="17"/>
        <v/>
      </c>
      <c r="M238" s="42"/>
      <c r="N238" s="42"/>
      <c r="O238" s="34" t="str">
        <f t="shared" si="18"/>
        <v/>
      </c>
      <c r="Q238" s="42"/>
      <c r="R238" s="42"/>
      <c r="S238" s="34" t="str">
        <f t="shared" si="19"/>
        <v/>
      </c>
    </row>
    <row r="239" spans="1:19" x14ac:dyDescent="0.25">
      <c r="A239" s="42"/>
      <c r="B239" s="42"/>
      <c r="C239" s="34" t="str">
        <f t="shared" si="15"/>
        <v/>
      </c>
      <c r="E239" s="42"/>
      <c r="F239" s="42"/>
      <c r="G239" s="34" t="str">
        <f t="shared" si="16"/>
        <v/>
      </c>
      <c r="I239" s="42"/>
      <c r="J239" s="42"/>
      <c r="K239" s="34" t="str">
        <f t="shared" si="17"/>
        <v/>
      </c>
      <c r="M239" s="42"/>
      <c r="N239" s="42"/>
      <c r="O239" s="34" t="str">
        <f t="shared" si="18"/>
        <v/>
      </c>
      <c r="Q239" s="42"/>
      <c r="R239" s="42"/>
      <c r="S239" s="34" t="str">
        <f t="shared" si="19"/>
        <v/>
      </c>
    </row>
    <row r="240" spans="1:19" x14ac:dyDescent="0.25">
      <c r="A240" s="42"/>
      <c r="B240" s="42"/>
      <c r="C240" s="34" t="str">
        <f t="shared" si="15"/>
        <v/>
      </c>
      <c r="E240" s="42"/>
      <c r="F240" s="42"/>
      <c r="G240" s="34" t="str">
        <f t="shared" si="16"/>
        <v/>
      </c>
      <c r="I240" s="42"/>
      <c r="J240" s="42"/>
      <c r="K240" s="34" t="str">
        <f t="shared" si="17"/>
        <v/>
      </c>
      <c r="M240" s="42"/>
      <c r="N240" s="42"/>
      <c r="O240" s="34" t="str">
        <f t="shared" si="18"/>
        <v/>
      </c>
      <c r="Q240" s="42"/>
      <c r="R240" s="42"/>
      <c r="S240" s="34" t="str">
        <f t="shared" si="19"/>
        <v/>
      </c>
    </row>
    <row r="241" spans="1:19" x14ac:dyDescent="0.25">
      <c r="A241" s="42"/>
      <c r="B241" s="42"/>
      <c r="C241" s="34" t="str">
        <f t="shared" si="15"/>
        <v/>
      </c>
      <c r="E241" s="42"/>
      <c r="F241" s="42"/>
      <c r="G241" s="34" t="str">
        <f t="shared" si="16"/>
        <v/>
      </c>
      <c r="I241" s="42"/>
      <c r="J241" s="42"/>
      <c r="K241" s="34" t="str">
        <f t="shared" si="17"/>
        <v/>
      </c>
      <c r="M241" s="42"/>
      <c r="N241" s="42"/>
      <c r="O241" s="34" t="str">
        <f t="shared" si="18"/>
        <v/>
      </c>
      <c r="Q241" s="42"/>
      <c r="R241" s="42"/>
      <c r="S241" s="34" t="str">
        <f t="shared" si="19"/>
        <v/>
      </c>
    </row>
    <row r="242" spans="1:19" x14ac:dyDescent="0.25">
      <c r="A242" s="42"/>
      <c r="B242" s="42"/>
      <c r="C242" s="34" t="str">
        <f t="shared" si="15"/>
        <v/>
      </c>
      <c r="E242" s="42"/>
      <c r="F242" s="42"/>
      <c r="G242" s="34" t="str">
        <f t="shared" si="16"/>
        <v/>
      </c>
      <c r="I242" s="42"/>
      <c r="J242" s="42"/>
      <c r="K242" s="34" t="str">
        <f t="shared" si="17"/>
        <v/>
      </c>
      <c r="M242" s="42"/>
      <c r="N242" s="42"/>
      <c r="O242" s="34" t="str">
        <f t="shared" si="18"/>
        <v/>
      </c>
      <c r="Q242" s="42"/>
      <c r="R242" s="42"/>
      <c r="S242" s="34" t="str">
        <f t="shared" si="19"/>
        <v/>
      </c>
    </row>
    <row r="243" spans="1:19" x14ac:dyDescent="0.25">
      <c r="A243" s="42"/>
      <c r="B243" s="42"/>
      <c r="C243" s="34" t="str">
        <f t="shared" si="15"/>
        <v/>
      </c>
      <c r="E243" s="42"/>
      <c r="F243" s="42"/>
      <c r="G243" s="34" t="str">
        <f t="shared" si="16"/>
        <v/>
      </c>
      <c r="I243" s="42"/>
      <c r="J243" s="42"/>
      <c r="K243" s="34" t="str">
        <f t="shared" si="17"/>
        <v/>
      </c>
      <c r="M243" s="42"/>
      <c r="N243" s="42"/>
      <c r="O243" s="34" t="str">
        <f t="shared" si="18"/>
        <v/>
      </c>
      <c r="Q243" s="42"/>
      <c r="R243" s="42"/>
      <c r="S243" s="34" t="str">
        <f t="shared" si="19"/>
        <v/>
      </c>
    </row>
    <row r="244" spans="1:19" x14ac:dyDescent="0.25">
      <c r="A244" s="42"/>
      <c r="B244" s="42"/>
      <c r="C244" s="34" t="str">
        <f t="shared" si="15"/>
        <v/>
      </c>
      <c r="E244" s="42"/>
      <c r="F244" s="42"/>
      <c r="G244" s="34" t="str">
        <f t="shared" si="16"/>
        <v/>
      </c>
      <c r="I244" s="42"/>
      <c r="J244" s="42"/>
      <c r="K244" s="34" t="str">
        <f t="shared" si="17"/>
        <v/>
      </c>
      <c r="M244" s="42"/>
      <c r="N244" s="42"/>
      <c r="O244" s="34" t="str">
        <f t="shared" si="18"/>
        <v/>
      </c>
      <c r="Q244" s="42"/>
      <c r="R244" s="42"/>
      <c r="S244" s="34" t="str">
        <f t="shared" si="19"/>
        <v/>
      </c>
    </row>
    <row r="245" spans="1:19" x14ac:dyDescent="0.25">
      <c r="A245" s="42"/>
      <c r="B245" s="42"/>
      <c r="C245" s="34" t="str">
        <f t="shared" si="15"/>
        <v/>
      </c>
      <c r="E245" s="42"/>
      <c r="F245" s="42"/>
      <c r="G245" s="34" t="str">
        <f t="shared" si="16"/>
        <v/>
      </c>
      <c r="I245" s="42"/>
      <c r="J245" s="42"/>
      <c r="K245" s="34" t="str">
        <f t="shared" si="17"/>
        <v/>
      </c>
      <c r="M245" s="42"/>
      <c r="N245" s="42"/>
      <c r="O245" s="34" t="str">
        <f t="shared" si="18"/>
        <v/>
      </c>
      <c r="Q245" s="42"/>
      <c r="R245" s="42"/>
      <c r="S245" s="34" t="str">
        <f t="shared" si="19"/>
        <v/>
      </c>
    </row>
    <row r="246" spans="1:19" x14ac:dyDescent="0.25">
      <c r="A246" s="42"/>
      <c r="B246" s="42"/>
      <c r="C246" s="34" t="str">
        <f t="shared" si="15"/>
        <v/>
      </c>
      <c r="E246" s="42"/>
      <c r="F246" s="42"/>
      <c r="G246" s="34" t="str">
        <f t="shared" si="16"/>
        <v/>
      </c>
      <c r="I246" s="42"/>
      <c r="J246" s="42"/>
      <c r="K246" s="34" t="str">
        <f t="shared" si="17"/>
        <v/>
      </c>
      <c r="M246" s="42"/>
      <c r="N246" s="42"/>
      <c r="O246" s="34" t="str">
        <f t="shared" si="18"/>
        <v/>
      </c>
      <c r="Q246" s="42"/>
      <c r="R246" s="42"/>
      <c r="S246" s="34" t="str">
        <f t="shared" si="19"/>
        <v/>
      </c>
    </row>
    <row r="247" spans="1:19" x14ac:dyDescent="0.25">
      <c r="A247" s="42"/>
      <c r="B247" s="42"/>
      <c r="C247" s="34" t="str">
        <f t="shared" si="15"/>
        <v/>
      </c>
      <c r="E247" s="42"/>
      <c r="F247" s="42"/>
      <c r="G247" s="34" t="str">
        <f t="shared" si="16"/>
        <v/>
      </c>
      <c r="I247" s="42"/>
      <c r="J247" s="42"/>
      <c r="K247" s="34" t="str">
        <f t="shared" si="17"/>
        <v/>
      </c>
      <c r="M247" s="42"/>
      <c r="N247" s="42"/>
      <c r="O247" s="34" t="str">
        <f t="shared" si="18"/>
        <v/>
      </c>
      <c r="Q247" s="42"/>
      <c r="R247" s="42"/>
      <c r="S247" s="34" t="str">
        <f t="shared" si="19"/>
        <v/>
      </c>
    </row>
    <row r="248" spans="1:19" x14ac:dyDescent="0.25">
      <c r="A248" s="42"/>
      <c r="B248" s="42"/>
      <c r="C248" s="34" t="str">
        <f t="shared" si="15"/>
        <v/>
      </c>
      <c r="E248" s="42"/>
      <c r="F248" s="42"/>
      <c r="G248" s="34" t="str">
        <f t="shared" si="16"/>
        <v/>
      </c>
      <c r="I248" s="42"/>
      <c r="J248" s="42"/>
      <c r="K248" s="34" t="str">
        <f t="shared" si="17"/>
        <v/>
      </c>
      <c r="M248" s="42"/>
      <c r="N248" s="42"/>
      <c r="O248" s="34" t="str">
        <f t="shared" si="18"/>
        <v/>
      </c>
      <c r="Q248" s="42"/>
      <c r="R248" s="42"/>
      <c r="S248" s="34" t="str">
        <f t="shared" si="19"/>
        <v/>
      </c>
    </row>
    <row r="249" spans="1:19" x14ac:dyDescent="0.25">
      <c r="A249" s="42"/>
      <c r="B249" s="42"/>
      <c r="C249" s="34" t="str">
        <f t="shared" si="15"/>
        <v/>
      </c>
      <c r="E249" s="42"/>
      <c r="F249" s="42"/>
      <c r="G249" s="34" t="str">
        <f t="shared" si="16"/>
        <v/>
      </c>
      <c r="I249" s="42"/>
      <c r="J249" s="42"/>
      <c r="K249" s="34" t="str">
        <f t="shared" si="17"/>
        <v/>
      </c>
      <c r="M249" s="42"/>
      <c r="N249" s="42"/>
      <c r="O249" s="34" t="str">
        <f t="shared" si="18"/>
        <v/>
      </c>
      <c r="Q249" s="42"/>
      <c r="R249" s="42"/>
      <c r="S249" s="34" t="str">
        <f t="shared" si="19"/>
        <v/>
      </c>
    </row>
    <row r="250" spans="1:19" x14ac:dyDescent="0.25">
      <c r="A250" s="42"/>
      <c r="B250" s="42"/>
      <c r="C250" s="34" t="str">
        <f t="shared" si="15"/>
        <v/>
      </c>
      <c r="E250" s="42"/>
      <c r="F250" s="42"/>
      <c r="G250" s="34" t="str">
        <f t="shared" si="16"/>
        <v/>
      </c>
      <c r="I250" s="42"/>
      <c r="J250" s="42"/>
      <c r="K250" s="34" t="str">
        <f t="shared" si="17"/>
        <v/>
      </c>
      <c r="M250" s="42"/>
      <c r="N250" s="42"/>
      <c r="O250" s="34" t="str">
        <f t="shared" si="18"/>
        <v/>
      </c>
      <c r="Q250" s="42"/>
      <c r="R250" s="42"/>
      <c r="S250" s="34" t="str">
        <f t="shared" si="19"/>
        <v/>
      </c>
    </row>
    <row r="251" spans="1:19" x14ac:dyDescent="0.25">
      <c r="A251" s="42"/>
      <c r="B251" s="42"/>
      <c r="C251" s="34" t="str">
        <f t="shared" si="15"/>
        <v/>
      </c>
      <c r="E251" s="42"/>
      <c r="F251" s="42"/>
      <c r="G251" s="34" t="str">
        <f t="shared" si="16"/>
        <v/>
      </c>
      <c r="I251" s="42"/>
      <c r="J251" s="42"/>
      <c r="K251" s="34" t="str">
        <f t="shared" si="17"/>
        <v/>
      </c>
      <c r="M251" s="42"/>
      <c r="N251" s="42"/>
      <c r="O251" s="34" t="str">
        <f t="shared" si="18"/>
        <v/>
      </c>
      <c r="Q251" s="42"/>
      <c r="R251" s="42"/>
      <c r="S251" s="34" t="str">
        <f t="shared" si="19"/>
        <v/>
      </c>
    </row>
    <row r="252" spans="1:19" x14ac:dyDescent="0.25">
      <c r="A252" s="42"/>
      <c r="B252" s="42"/>
      <c r="C252" s="34" t="str">
        <f t="shared" si="15"/>
        <v/>
      </c>
      <c r="E252" s="42"/>
      <c r="F252" s="42"/>
      <c r="G252" s="34" t="str">
        <f t="shared" si="16"/>
        <v/>
      </c>
      <c r="I252" s="42"/>
      <c r="J252" s="42"/>
      <c r="K252" s="34" t="str">
        <f t="shared" si="17"/>
        <v/>
      </c>
      <c r="M252" s="42"/>
      <c r="N252" s="42"/>
      <c r="O252" s="34" t="str">
        <f t="shared" si="18"/>
        <v/>
      </c>
      <c r="Q252" s="42"/>
      <c r="R252" s="42"/>
      <c r="S252" s="34" t="str">
        <f t="shared" si="19"/>
        <v/>
      </c>
    </row>
    <row r="253" spans="1:19" x14ac:dyDescent="0.25">
      <c r="A253" s="42"/>
      <c r="B253" s="42"/>
      <c r="C253" s="34" t="str">
        <f t="shared" si="15"/>
        <v/>
      </c>
      <c r="E253" s="42"/>
      <c r="F253" s="42"/>
      <c r="G253" s="34" t="str">
        <f t="shared" si="16"/>
        <v/>
      </c>
      <c r="I253" s="42"/>
      <c r="J253" s="42"/>
      <c r="K253" s="34" t="str">
        <f t="shared" si="17"/>
        <v/>
      </c>
      <c r="M253" s="42"/>
      <c r="N253" s="42"/>
      <c r="O253" s="34" t="str">
        <f t="shared" si="18"/>
        <v/>
      </c>
      <c r="Q253" s="42"/>
      <c r="R253" s="42"/>
      <c r="S253" s="34" t="str">
        <f t="shared" si="19"/>
        <v/>
      </c>
    </row>
    <row r="254" spans="1:19" x14ac:dyDescent="0.25">
      <c r="A254" s="42"/>
      <c r="B254" s="42"/>
      <c r="C254" s="34" t="str">
        <f t="shared" si="15"/>
        <v/>
      </c>
      <c r="E254" s="42"/>
      <c r="F254" s="42"/>
      <c r="G254" s="34" t="str">
        <f t="shared" si="16"/>
        <v/>
      </c>
      <c r="I254" s="42"/>
      <c r="J254" s="42"/>
      <c r="K254" s="34" t="str">
        <f t="shared" si="17"/>
        <v/>
      </c>
      <c r="M254" s="42"/>
      <c r="N254" s="42"/>
      <c r="O254" s="34" t="str">
        <f t="shared" si="18"/>
        <v/>
      </c>
      <c r="Q254" s="42"/>
      <c r="R254" s="42"/>
      <c r="S254" s="34" t="str">
        <f t="shared" si="19"/>
        <v/>
      </c>
    </row>
    <row r="255" spans="1:19" x14ac:dyDescent="0.25">
      <c r="A255" s="42"/>
      <c r="B255" s="42"/>
      <c r="C255" s="34" t="str">
        <f t="shared" si="15"/>
        <v/>
      </c>
      <c r="E255" s="42"/>
      <c r="F255" s="42"/>
      <c r="G255" s="34" t="str">
        <f t="shared" si="16"/>
        <v/>
      </c>
      <c r="I255" s="42"/>
      <c r="J255" s="42"/>
      <c r="K255" s="34" t="str">
        <f t="shared" si="17"/>
        <v/>
      </c>
      <c r="M255" s="42"/>
      <c r="N255" s="42"/>
      <c r="O255" s="34" t="str">
        <f t="shared" si="18"/>
        <v/>
      </c>
      <c r="Q255" s="42"/>
      <c r="R255" s="42"/>
      <c r="S255" s="34" t="str">
        <f t="shared" si="19"/>
        <v/>
      </c>
    </row>
    <row r="256" spans="1:19" x14ac:dyDescent="0.25">
      <c r="A256" s="42"/>
      <c r="B256" s="42"/>
      <c r="C256" s="34" t="str">
        <f t="shared" si="15"/>
        <v/>
      </c>
      <c r="E256" s="42"/>
      <c r="F256" s="42"/>
      <c r="G256" s="34" t="str">
        <f t="shared" si="16"/>
        <v/>
      </c>
      <c r="I256" s="42"/>
      <c r="J256" s="42"/>
      <c r="K256" s="34" t="str">
        <f t="shared" si="17"/>
        <v/>
      </c>
      <c r="M256" s="42"/>
      <c r="N256" s="42"/>
      <c r="O256" s="34" t="str">
        <f t="shared" si="18"/>
        <v/>
      </c>
      <c r="Q256" s="42"/>
      <c r="R256" s="42"/>
      <c r="S256" s="34" t="str">
        <f t="shared" si="19"/>
        <v/>
      </c>
    </row>
    <row r="257" spans="1:19" x14ac:dyDescent="0.25">
      <c r="A257" s="42"/>
      <c r="B257" s="42"/>
      <c r="C257" s="34" t="str">
        <f t="shared" si="15"/>
        <v/>
      </c>
      <c r="E257" s="42"/>
      <c r="F257" s="42"/>
      <c r="G257" s="34" t="str">
        <f t="shared" si="16"/>
        <v/>
      </c>
      <c r="I257" s="42"/>
      <c r="J257" s="42"/>
      <c r="K257" s="34" t="str">
        <f t="shared" si="17"/>
        <v/>
      </c>
      <c r="M257" s="42"/>
      <c r="N257" s="42"/>
      <c r="O257" s="34" t="str">
        <f t="shared" si="18"/>
        <v/>
      </c>
      <c r="Q257" s="42"/>
      <c r="R257" s="42"/>
      <c r="S257" s="34" t="str">
        <f t="shared" si="19"/>
        <v/>
      </c>
    </row>
    <row r="258" spans="1:19" x14ac:dyDescent="0.25">
      <c r="A258" s="42"/>
      <c r="B258" s="42"/>
      <c r="C258" s="34" t="str">
        <f t="shared" si="15"/>
        <v/>
      </c>
      <c r="E258" s="42"/>
      <c r="F258" s="42"/>
      <c r="G258" s="34" t="str">
        <f t="shared" si="16"/>
        <v/>
      </c>
      <c r="I258" s="42"/>
      <c r="J258" s="42"/>
      <c r="K258" s="34" t="str">
        <f t="shared" si="17"/>
        <v/>
      </c>
      <c r="M258" s="42"/>
      <c r="N258" s="42"/>
      <c r="O258" s="34" t="str">
        <f t="shared" si="18"/>
        <v/>
      </c>
      <c r="Q258" s="42"/>
      <c r="R258" s="42"/>
      <c r="S258" s="34" t="str">
        <f t="shared" si="19"/>
        <v/>
      </c>
    </row>
    <row r="259" spans="1:19" x14ac:dyDescent="0.25">
      <c r="A259" s="42"/>
      <c r="B259" s="42"/>
      <c r="C259" s="34" t="str">
        <f t="shared" si="15"/>
        <v/>
      </c>
      <c r="E259" s="42"/>
      <c r="F259" s="42"/>
      <c r="G259" s="34" t="str">
        <f t="shared" si="16"/>
        <v/>
      </c>
      <c r="I259" s="42"/>
      <c r="J259" s="42"/>
      <c r="K259" s="34" t="str">
        <f t="shared" si="17"/>
        <v/>
      </c>
      <c r="M259" s="42"/>
      <c r="N259" s="42"/>
      <c r="O259" s="34" t="str">
        <f t="shared" si="18"/>
        <v/>
      </c>
      <c r="Q259" s="42"/>
      <c r="R259" s="42"/>
      <c r="S259" s="34" t="str">
        <f t="shared" si="19"/>
        <v/>
      </c>
    </row>
    <row r="260" spans="1:19" x14ac:dyDescent="0.25">
      <c r="A260" s="42"/>
      <c r="B260" s="42"/>
      <c r="C260" s="34" t="str">
        <f t="shared" si="15"/>
        <v/>
      </c>
      <c r="E260" s="42"/>
      <c r="F260" s="42"/>
      <c r="G260" s="34" t="str">
        <f t="shared" si="16"/>
        <v/>
      </c>
      <c r="I260" s="42"/>
      <c r="J260" s="42"/>
      <c r="K260" s="34" t="str">
        <f t="shared" si="17"/>
        <v/>
      </c>
      <c r="M260" s="42"/>
      <c r="N260" s="42"/>
      <c r="O260" s="34" t="str">
        <f t="shared" si="18"/>
        <v/>
      </c>
      <c r="Q260" s="42"/>
      <c r="R260" s="42"/>
      <c r="S260" s="34" t="str">
        <f t="shared" si="19"/>
        <v/>
      </c>
    </row>
    <row r="261" spans="1:19" x14ac:dyDescent="0.25">
      <c r="A261" s="42"/>
      <c r="B261" s="42"/>
      <c r="C261" s="34" t="str">
        <f t="shared" si="15"/>
        <v/>
      </c>
      <c r="E261" s="42"/>
      <c r="F261" s="42"/>
      <c r="G261" s="34" t="str">
        <f t="shared" si="16"/>
        <v/>
      </c>
      <c r="I261" s="42"/>
      <c r="J261" s="42"/>
      <c r="K261" s="34" t="str">
        <f t="shared" si="17"/>
        <v/>
      </c>
      <c r="M261" s="42"/>
      <c r="N261" s="42"/>
      <c r="O261" s="34" t="str">
        <f t="shared" si="18"/>
        <v/>
      </c>
      <c r="Q261" s="42"/>
      <c r="R261" s="42"/>
      <c r="S261" s="34" t="str">
        <f t="shared" si="19"/>
        <v/>
      </c>
    </row>
    <row r="262" spans="1:19" x14ac:dyDescent="0.25">
      <c r="A262" s="42"/>
      <c r="B262" s="42"/>
      <c r="C262" s="34" t="str">
        <f t="shared" si="15"/>
        <v/>
      </c>
      <c r="E262" s="42"/>
      <c r="F262" s="42"/>
      <c r="G262" s="34" t="str">
        <f t="shared" si="16"/>
        <v/>
      </c>
      <c r="I262" s="42"/>
      <c r="J262" s="42"/>
      <c r="K262" s="34" t="str">
        <f t="shared" si="17"/>
        <v/>
      </c>
      <c r="M262" s="42"/>
      <c r="N262" s="42"/>
      <c r="O262" s="34" t="str">
        <f t="shared" si="18"/>
        <v/>
      </c>
      <c r="Q262" s="42"/>
      <c r="R262" s="42"/>
      <c r="S262" s="34" t="str">
        <f t="shared" si="19"/>
        <v/>
      </c>
    </row>
    <row r="263" spans="1:19" x14ac:dyDescent="0.25">
      <c r="A263" s="42"/>
      <c r="B263" s="42"/>
      <c r="C263" s="34" t="str">
        <f t="shared" si="15"/>
        <v/>
      </c>
      <c r="E263" s="42"/>
      <c r="F263" s="42"/>
      <c r="G263" s="34" t="str">
        <f t="shared" si="16"/>
        <v/>
      </c>
      <c r="I263" s="42"/>
      <c r="J263" s="42"/>
      <c r="K263" s="34" t="str">
        <f t="shared" si="17"/>
        <v/>
      </c>
      <c r="M263" s="42"/>
      <c r="N263" s="42"/>
      <c r="O263" s="34" t="str">
        <f t="shared" si="18"/>
        <v/>
      </c>
      <c r="Q263" s="42"/>
      <c r="R263" s="42"/>
      <c r="S263" s="34" t="str">
        <f t="shared" si="19"/>
        <v/>
      </c>
    </row>
    <row r="264" spans="1:19" x14ac:dyDescent="0.25">
      <c r="A264" s="42"/>
      <c r="B264" s="42"/>
      <c r="C264" s="34" t="str">
        <f t="shared" si="15"/>
        <v/>
      </c>
      <c r="E264" s="42"/>
      <c r="F264" s="42"/>
      <c r="G264" s="34" t="str">
        <f t="shared" si="16"/>
        <v/>
      </c>
      <c r="I264" s="42"/>
      <c r="J264" s="42"/>
      <c r="K264" s="34" t="str">
        <f t="shared" si="17"/>
        <v/>
      </c>
      <c r="M264" s="42"/>
      <c r="N264" s="42"/>
      <c r="O264" s="34" t="str">
        <f t="shared" si="18"/>
        <v/>
      </c>
      <c r="Q264" s="42"/>
      <c r="R264" s="42"/>
      <c r="S264" s="34" t="str">
        <f t="shared" si="19"/>
        <v/>
      </c>
    </row>
    <row r="265" spans="1:19" x14ac:dyDescent="0.25">
      <c r="A265" s="42"/>
      <c r="B265" s="42"/>
      <c r="C265" s="34" t="str">
        <f t="shared" si="15"/>
        <v/>
      </c>
      <c r="E265" s="42"/>
      <c r="F265" s="42"/>
      <c r="G265" s="34" t="str">
        <f t="shared" si="16"/>
        <v/>
      </c>
      <c r="I265" s="42"/>
      <c r="J265" s="42"/>
      <c r="K265" s="34" t="str">
        <f t="shared" si="17"/>
        <v/>
      </c>
      <c r="M265" s="42"/>
      <c r="N265" s="42"/>
      <c r="O265" s="34" t="str">
        <f t="shared" si="18"/>
        <v/>
      </c>
      <c r="Q265" s="42"/>
      <c r="R265" s="42"/>
      <c r="S265" s="34" t="str">
        <f t="shared" si="19"/>
        <v/>
      </c>
    </row>
    <row r="266" spans="1:19" x14ac:dyDescent="0.25">
      <c r="A266" s="42"/>
      <c r="B266" s="42"/>
      <c r="C266" s="34" t="str">
        <f t="shared" ref="C266:C329" si="20">IF(OR(B266="",B$4=""),"",B266/B$4)</f>
        <v/>
      </c>
      <c r="E266" s="42"/>
      <c r="F266" s="42"/>
      <c r="G266" s="34" t="str">
        <f t="shared" ref="G266:G329" si="21">IF(OR(F266="",F$4=""),"",F266/F$4)</f>
        <v/>
      </c>
      <c r="I266" s="42"/>
      <c r="J266" s="42"/>
      <c r="K266" s="34" t="str">
        <f t="shared" ref="K266:K329" si="22">IF(OR(J266="",J$4=""),"",J266/J$4)</f>
        <v/>
      </c>
      <c r="M266" s="42"/>
      <c r="N266" s="42"/>
      <c r="O266" s="34" t="str">
        <f t="shared" ref="O266:O329" si="23">IF(OR(N266="",N$4=""),"",N266/N$4)</f>
        <v/>
      </c>
      <c r="Q266" s="42"/>
      <c r="R266" s="42"/>
      <c r="S266" s="34" t="str">
        <f t="shared" ref="S266:S329" si="24">IF(OR(R266="",R$4=""),"",R266/R$4)</f>
        <v/>
      </c>
    </row>
    <row r="267" spans="1:19" x14ac:dyDescent="0.25">
      <c r="A267" s="42"/>
      <c r="B267" s="42"/>
      <c r="C267" s="34" t="str">
        <f t="shared" si="20"/>
        <v/>
      </c>
      <c r="E267" s="42"/>
      <c r="F267" s="42"/>
      <c r="G267" s="34" t="str">
        <f t="shared" si="21"/>
        <v/>
      </c>
      <c r="I267" s="42"/>
      <c r="J267" s="42"/>
      <c r="K267" s="34" t="str">
        <f t="shared" si="22"/>
        <v/>
      </c>
      <c r="M267" s="42"/>
      <c r="N267" s="42"/>
      <c r="O267" s="34" t="str">
        <f t="shared" si="23"/>
        <v/>
      </c>
      <c r="Q267" s="42"/>
      <c r="R267" s="42"/>
      <c r="S267" s="34" t="str">
        <f t="shared" si="24"/>
        <v/>
      </c>
    </row>
    <row r="268" spans="1:19" x14ac:dyDescent="0.25">
      <c r="A268" s="42"/>
      <c r="B268" s="42"/>
      <c r="C268" s="34" t="str">
        <f t="shared" si="20"/>
        <v/>
      </c>
      <c r="E268" s="42"/>
      <c r="F268" s="42"/>
      <c r="G268" s="34" t="str">
        <f t="shared" si="21"/>
        <v/>
      </c>
      <c r="I268" s="42"/>
      <c r="J268" s="42"/>
      <c r="K268" s="34" t="str">
        <f t="shared" si="22"/>
        <v/>
      </c>
      <c r="M268" s="42"/>
      <c r="N268" s="42"/>
      <c r="O268" s="34" t="str">
        <f t="shared" si="23"/>
        <v/>
      </c>
      <c r="Q268" s="42"/>
      <c r="R268" s="42"/>
      <c r="S268" s="34" t="str">
        <f t="shared" si="24"/>
        <v/>
      </c>
    </row>
    <row r="269" spans="1:19" x14ac:dyDescent="0.25">
      <c r="A269" s="42"/>
      <c r="B269" s="42"/>
      <c r="C269" s="34" t="str">
        <f t="shared" si="20"/>
        <v/>
      </c>
      <c r="E269" s="42"/>
      <c r="F269" s="42"/>
      <c r="G269" s="34" t="str">
        <f t="shared" si="21"/>
        <v/>
      </c>
      <c r="I269" s="42"/>
      <c r="J269" s="42"/>
      <c r="K269" s="34" t="str">
        <f t="shared" si="22"/>
        <v/>
      </c>
      <c r="M269" s="42"/>
      <c r="N269" s="42"/>
      <c r="O269" s="34" t="str">
        <f t="shared" si="23"/>
        <v/>
      </c>
      <c r="Q269" s="42"/>
      <c r="R269" s="42"/>
      <c r="S269" s="34" t="str">
        <f t="shared" si="24"/>
        <v/>
      </c>
    </row>
    <row r="270" spans="1:19" x14ac:dyDescent="0.25">
      <c r="A270" s="42"/>
      <c r="B270" s="42"/>
      <c r="C270" s="34" t="str">
        <f t="shared" si="20"/>
        <v/>
      </c>
      <c r="E270" s="42"/>
      <c r="F270" s="42"/>
      <c r="G270" s="34" t="str">
        <f t="shared" si="21"/>
        <v/>
      </c>
      <c r="I270" s="42"/>
      <c r="J270" s="42"/>
      <c r="K270" s="34" t="str">
        <f t="shared" si="22"/>
        <v/>
      </c>
      <c r="M270" s="42"/>
      <c r="N270" s="42"/>
      <c r="O270" s="34" t="str">
        <f t="shared" si="23"/>
        <v/>
      </c>
      <c r="Q270" s="42"/>
      <c r="R270" s="42"/>
      <c r="S270" s="34" t="str">
        <f t="shared" si="24"/>
        <v/>
      </c>
    </row>
    <row r="271" spans="1:19" x14ac:dyDescent="0.25">
      <c r="A271" s="42"/>
      <c r="B271" s="42"/>
      <c r="C271" s="34" t="str">
        <f t="shared" si="20"/>
        <v/>
      </c>
      <c r="E271" s="42"/>
      <c r="F271" s="42"/>
      <c r="G271" s="34" t="str">
        <f t="shared" si="21"/>
        <v/>
      </c>
      <c r="I271" s="42"/>
      <c r="J271" s="42"/>
      <c r="K271" s="34" t="str">
        <f t="shared" si="22"/>
        <v/>
      </c>
      <c r="M271" s="42"/>
      <c r="N271" s="42"/>
      <c r="O271" s="34" t="str">
        <f t="shared" si="23"/>
        <v/>
      </c>
      <c r="Q271" s="42"/>
      <c r="R271" s="42"/>
      <c r="S271" s="34" t="str">
        <f t="shared" si="24"/>
        <v/>
      </c>
    </row>
    <row r="272" spans="1:19" x14ac:dyDescent="0.25">
      <c r="A272" s="42"/>
      <c r="B272" s="42"/>
      <c r="C272" s="34" t="str">
        <f t="shared" si="20"/>
        <v/>
      </c>
      <c r="E272" s="42"/>
      <c r="F272" s="42"/>
      <c r="G272" s="34" t="str">
        <f t="shared" si="21"/>
        <v/>
      </c>
      <c r="I272" s="42"/>
      <c r="J272" s="42"/>
      <c r="K272" s="34" t="str">
        <f t="shared" si="22"/>
        <v/>
      </c>
      <c r="M272" s="42"/>
      <c r="N272" s="42"/>
      <c r="O272" s="34" t="str">
        <f t="shared" si="23"/>
        <v/>
      </c>
      <c r="Q272" s="42"/>
      <c r="R272" s="42"/>
      <c r="S272" s="34" t="str">
        <f t="shared" si="24"/>
        <v/>
      </c>
    </row>
    <row r="273" spans="1:19" x14ac:dyDescent="0.25">
      <c r="A273" s="42"/>
      <c r="B273" s="42"/>
      <c r="C273" s="34" t="str">
        <f t="shared" si="20"/>
        <v/>
      </c>
      <c r="E273" s="42"/>
      <c r="F273" s="42"/>
      <c r="G273" s="34" t="str">
        <f t="shared" si="21"/>
        <v/>
      </c>
      <c r="I273" s="42"/>
      <c r="J273" s="42"/>
      <c r="K273" s="34" t="str">
        <f t="shared" si="22"/>
        <v/>
      </c>
      <c r="M273" s="42"/>
      <c r="N273" s="42"/>
      <c r="O273" s="34" t="str">
        <f t="shared" si="23"/>
        <v/>
      </c>
      <c r="Q273" s="42"/>
      <c r="R273" s="42"/>
      <c r="S273" s="34" t="str">
        <f t="shared" si="24"/>
        <v/>
      </c>
    </row>
    <row r="274" spans="1:19" x14ac:dyDescent="0.25">
      <c r="A274" s="42"/>
      <c r="B274" s="42"/>
      <c r="C274" s="34" t="str">
        <f t="shared" si="20"/>
        <v/>
      </c>
      <c r="E274" s="42"/>
      <c r="F274" s="42"/>
      <c r="G274" s="34" t="str">
        <f t="shared" si="21"/>
        <v/>
      </c>
      <c r="I274" s="42"/>
      <c r="J274" s="42"/>
      <c r="K274" s="34" t="str">
        <f t="shared" si="22"/>
        <v/>
      </c>
      <c r="M274" s="42"/>
      <c r="N274" s="42"/>
      <c r="O274" s="34" t="str">
        <f t="shared" si="23"/>
        <v/>
      </c>
      <c r="Q274" s="42"/>
      <c r="R274" s="42"/>
      <c r="S274" s="34" t="str">
        <f t="shared" si="24"/>
        <v/>
      </c>
    </row>
    <row r="275" spans="1:19" x14ac:dyDescent="0.25">
      <c r="A275" s="42"/>
      <c r="B275" s="42"/>
      <c r="C275" s="34" t="str">
        <f t="shared" si="20"/>
        <v/>
      </c>
      <c r="E275" s="42"/>
      <c r="F275" s="42"/>
      <c r="G275" s="34" t="str">
        <f t="shared" si="21"/>
        <v/>
      </c>
      <c r="I275" s="42"/>
      <c r="J275" s="42"/>
      <c r="K275" s="34" t="str">
        <f t="shared" si="22"/>
        <v/>
      </c>
      <c r="M275" s="42"/>
      <c r="N275" s="42"/>
      <c r="O275" s="34" t="str">
        <f t="shared" si="23"/>
        <v/>
      </c>
      <c r="Q275" s="42"/>
      <c r="R275" s="42"/>
      <c r="S275" s="34" t="str">
        <f t="shared" si="24"/>
        <v/>
      </c>
    </row>
    <row r="276" spans="1:19" x14ac:dyDescent="0.25">
      <c r="A276" s="42"/>
      <c r="B276" s="42"/>
      <c r="C276" s="34" t="str">
        <f t="shared" si="20"/>
        <v/>
      </c>
      <c r="E276" s="42"/>
      <c r="F276" s="42"/>
      <c r="G276" s="34" t="str">
        <f t="shared" si="21"/>
        <v/>
      </c>
      <c r="I276" s="42"/>
      <c r="J276" s="42"/>
      <c r="K276" s="34" t="str">
        <f t="shared" si="22"/>
        <v/>
      </c>
      <c r="M276" s="42"/>
      <c r="N276" s="42"/>
      <c r="O276" s="34" t="str">
        <f t="shared" si="23"/>
        <v/>
      </c>
      <c r="Q276" s="42"/>
      <c r="R276" s="42"/>
      <c r="S276" s="34" t="str">
        <f t="shared" si="24"/>
        <v/>
      </c>
    </row>
    <row r="277" spans="1:19" x14ac:dyDescent="0.25">
      <c r="A277" s="42"/>
      <c r="B277" s="42"/>
      <c r="C277" s="34" t="str">
        <f t="shared" si="20"/>
        <v/>
      </c>
      <c r="E277" s="42"/>
      <c r="F277" s="42"/>
      <c r="G277" s="34" t="str">
        <f t="shared" si="21"/>
        <v/>
      </c>
      <c r="I277" s="42"/>
      <c r="J277" s="42"/>
      <c r="K277" s="34" t="str">
        <f t="shared" si="22"/>
        <v/>
      </c>
      <c r="M277" s="42"/>
      <c r="N277" s="42"/>
      <c r="O277" s="34" t="str">
        <f t="shared" si="23"/>
        <v/>
      </c>
      <c r="Q277" s="42"/>
      <c r="R277" s="42"/>
      <c r="S277" s="34" t="str">
        <f t="shared" si="24"/>
        <v/>
      </c>
    </row>
    <row r="278" spans="1:19" x14ac:dyDescent="0.25">
      <c r="A278" s="42"/>
      <c r="B278" s="42"/>
      <c r="C278" s="34" t="str">
        <f t="shared" si="20"/>
        <v/>
      </c>
      <c r="E278" s="42"/>
      <c r="F278" s="42"/>
      <c r="G278" s="34" t="str">
        <f t="shared" si="21"/>
        <v/>
      </c>
      <c r="I278" s="42"/>
      <c r="J278" s="42"/>
      <c r="K278" s="34" t="str">
        <f t="shared" si="22"/>
        <v/>
      </c>
      <c r="M278" s="42"/>
      <c r="N278" s="42"/>
      <c r="O278" s="34" t="str">
        <f t="shared" si="23"/>
        <v/>
      </c>
      <c r="Q278" s="42"/>
      <c r="R278" s="42"/>
      <c r="S278" s="34" t="str">
        <f t="shared" si="24"/>
        <v/>
      </c>
    </row>
    <row r="279" spans="1:19" x14ac:dyDescent="0.25">
      <c r="A279" s="42"/>
      <c r="B279" s="42"/>
      <c r="C279" s="34" t="str">
        <f t="shared" si="20"/>
        <v/>
      </c>
      <c r="E279" s="42"/>
      <c r="F279" s="42"/>
      <c r="G279" s="34" t="str">
        <f t="shared" si="21"/>
        <v/>
      </c>
      <c r="I279" s="42"/>
      <c r="J279" s="42"/>
      <c r="K279" s="34" t="str">
        <f t="shared" si="22"/>
        <v/>
      </c>
      <c r="M279" s="42"/>
      <c r="N279" s="42"/>
      <c r="O279" s="34" t="str">
        <f t="shared" si="23"/>
        <v/>
      </c>
      <c r="Q279" s="42"/>
      <c r="R279" s="42"/>
      <c r="S279" s="34" t="str">
        <f t="shared" si="24"/>
        <v/>
      </c>
    </row>
    <row r="280" spans="1:19" x14ac:dyDescent="0.25">
      <c r="A280" s="42"/>
      <c r="B280" s="42"/>
      <c r="C280" s="34" t="str">
        <f t="shared" si="20"/>
        <v/>
      </c>
      <c r="E280" s="42"/>
      <c r="F280" s="42"/>
      <c r="G280" s="34" t="str">
        <f t="shared" si="21"/>
        <v/>
      </c>
      <c r="I280" s="42"/>
      <c r="J280" s="42"/>
      <c r="K280" s="34" t="str">
        <f t="shared" si="22"/>
        <v/>
      </c>
      <c r="M280" s="42"/>
      <c r="N280" s="42"/>
      <c r="O280" s="34" t="str">
        <f t="shared" si="23"/>
        <v/>
      </c>
      <c r="Q280" s="42"/>
      <c r="R280" s="42"/>
      <c r="S280" s="34" t="str">
        <f t="shared" si="24"/>
        <v/>
      </c>
    </row>
    <row r="281" spans="1:19" x14ac:dyDescent="0.25">
      <c r="A281" s="42"/>
      <c r="B281" s="42"/>
      <c r="C281" s="34" t="str">
        <f t="shared" si="20"/>
        <v/>
      </c>
      <c r="E281" s="42"/>
      <c r="F281" s="42"/>
      <c r="G281" s="34" t="str">
        <f t="shared" si="21"/>
        <v/>
      </c>
      <c r="I281" s="42"/>
      <c r="J281" s="42"/>
      <c r="K281" s="34" t="str">
        <f t="shared" si="22"/>
        <v/>
      </c>
      <c r="M281" s="42"/>
      <c r="N281" s="42"/>
      <c r="O281" s="34" t="str">
        <f t="shared" si="23"/>
        <v/>
      </c>
      <c r="Q281" s="42"/>
      <c r="R281" s="42"/>
      <c r="S281" s="34" t="str">
        <f t="shared" si="24"/>
        <v/>
      </c>
    </row>
    <row r="282" spans="1:19" x14ac:dyDescent="0.25">
      <c r="A282" s="42"/>
      <c r="B282" s="42"/>
      <c r="C282" s="34" t="str">
        <f t="shared" si="20"/>
        <v/>
      </c>
      <c r="E282" s="42"/>
      <c r="F282" s="42"/>
      <c r="G282" s="34" t="str">
        <f t="shared" si="21"/>
        <v/>
      </c>
      <c r="I282" s="42"/>
      <c r="J282" s="42"/>
      <c r="K282" s="34" t="str">
        <f t="shared" si="22"/>
        <v/>
      </c>
      <c r="M282" s="42"/>
      <c r="N282" s="42"/>
      <c r="O282" s="34" t="str">
        <f t="shared" si="23"/>
        <v/>
      </c>
      <c r="Q282" s="42"/>
      <c r="R282" s="42"/>
      <c r="S282" s="34" t="str">
        <f t="shared" si="24"/>
        <v/>
      </c>
    </row>
    <row r="283" spans="1:19" x14ac:dyDescent="0.25">
      <c r="A283" s="42"/>
      <c r="B283" s="42"/>
      <c r="C283" s="34" t="str">
        <f t="shared" si="20"/>
        <v/>
      </c>
      <c r="E283" s="42"/>
      <c r="F283" s="42"/>
      <c r="G283" s="34" t="str">
        <f t="shared" si="21"/>
        <v/>
      </c>
      <c r="I283" s="42"/>
      <c r="J283" s="42"/>
      <c r="K283" s="34" t="str">
        <f t="shared" si="22"/>
        <v/>
      </c>
      <c r="M283" s="42"/>
      <c r="N283" s="42"/>
      <c r="O283" s="34" t="str">
        <f t="shared" si="23"/>
        <v/>
      </c>
      <c r="Q283" s="42"/>
      <c r="R283" s="42"/>
      <c r="S283" s="34" t="str">
        <f t="shared" si="24"/>
        <v/>
      </c>
    </row>
    <row r="284" spans="1:19" x14ac:dyDescent="0.25">
      <c r="A284" s="42"/>
      <c r="B284" s="42"/>
      <c r="C284" s="34" t="str">
        <f t="shared" si="20"/>
        <v/>
      </c>
      <c r="E284" s="42"/>
      <c r="F284" s="42"/>
      <c r="G284" s="34" t="str">
        <f t="shared" si="21"/>
        <v/>
      </c>
      <c r="I284" s="42"/>
      <c r="J284" s="42"/>
      <c r="K284" s="34" t="str">
        <f t="shared" si="22"/>
        <v/>
      </c>
      <c r="M284" s="42"/>
      <c r="N284" s="42"/>
      <c r="O284" s="34" t="str">
        <f t="shared" si="23"/>
        <v/>
      </c>
      <c r="Q284" s="42"/>
      <c r="R284" s="42"/>
      <c r="S284" s="34" t="str">
        <f t="shared" si="24"/>
        <v/>
      </c>
    </row>
    <row r="285" spans="1:19" x14ac:dyDescent="0.25">
      <c r="A285" s="42"/>
      <c r="B285" s="42"/>
      <c r="C285" s="34" t="str">
        <f t="shared" si="20"/>
        <v/>
      </c>
      <c r="E285" s="42"/>
      <c r="F285" s="42"/>
      <c r="G285" s="34" t="str">
        <f t="shared" si="21"/>
        <v/>
      </c>
      <c r="I285" s="42"/>
      <c r="J285" s="42"/>
      <c r="K285" s="34" t="str">
        <f t="shared" si="22"/>
        <v/>
      </c>
      <c r="M285" s="42"/>
      <c r="N285" s="42"/>
      <c r="O285" s="34" t="str">
        <f t="shared" si="23"/>
        <v/>
      </c>
      <c r="Q285" s="42"/>
      <c r="R285" s="42"/>
      <c r="S285" s="34" t="str">
        <f t="shared" si="24"/>
        <v/>
      </c>
    </row>
    <row r="286" spans="1:19" x14ac:dyDescent="0.25">
      <c r="A286" s="42"/>
      <c r="B286" s="42"/>
      <c r="C286" s="34" t="str">
        <f t="shared" si="20"/>
        <v/>
      </c>
      <c r="E286" s="42"/>
      <c r="F286" s="42"/>
      <c r="G286" s="34" t="str">
        <f t="shared" si="21"/>
        <v/>
      </c>
      <c r="I286" s="42"/>
      <c r="J286" s="42"/>
      <c r="K286" s="34" t="str">
        <f t="shared" si="22"/>
        <v/>
      </c>
      <c r="M286" s="42"/>
      <c r="N286" s="42"/>
      <c r="O286" s="34" t="str">
        <f t="shared" si="23"/>
        <v/>
      </c>
      <c r="Q286" s="42"/>
      <c r="R286" s="42"/>
      <c r="S286" s="34" t="str">
        <f t="shared" si="24"/>
        <v/>
      </c>
    </row>
    <row r="287" spans="1:19" x14ac:dyDescent="0.25">
      <c r="A287" s="42"/>
      <c r="B287" s="42"/>
      <c r="C287" s="34" t="str">
        <f t="shared" si="20"/>
        <v/>
      </c>
      <c r="E287" s="42"/>
      <c r="F287" s="42"/>
      <c r="G287" s="34" t="str">
        <f t="shared" si="21"/>
        <v/>
      </c>
      <c r="I287" s="42"/>
      <c r="J287" s="42"/>
      <c r="K287" s="34" t="str">
        <f t="shared" si="22"/>
        <v/>
      </c>
      <c r="M287" s="42"/>
      <c r="N287" s="42"/>
      <c r="O287" s="34" t="str">
        <f t="shared" si="23"/>
        <v/>
      </c>
      <c r="Q287" s="42"/>
      <c r="R287" s="42"/>
      <c r="S287" s="34" t="str">
        <f t="shared" si="24"/>
        <v/>
      </c>
    </row>
    <row r="288" spans="1:19" x14ac:dyDescent="0.25">
      <c r="A288" s="42"/>
      <c r="B288" s="42"/>
      <c r="C288" s="34" t="str">
        <f t="shared" si="20"/>
        <v/>
      </c>
      <c r="E288" s="42"/>
      <c r="F288" s="42"/>
      <c r="G288" s="34" t="str">
        <f t="shared" si="21"/>
        <v/>
      </c>
      <c r="I288" s="42"/>
      <c r="J288" s="42"/>
      <c r="K288" s="34" t="str">
        <f t="shared" si="22"/>
        <v/>
      </c>
      <c r="M288" s="42"/>
      <c r="N288" s="42"/>
      <c r="O288" s="34" t="str">
        <f t="shared" si="23"/>
        <v/>
      </c>
      <c r="Q288" s="42"/>
      <c r="R288" s="42"/>
      <c r="S288" s="34" t="str">
        <f t="shared" si="24"/>
        <v/>
      </c>
    </row>
    <row r="289" spans="1:19" x14ac:dyDescent="0.25">
      <c r="A289" s="42"/>
      <c r="B289" s="42"/>
      <c r="C289" s="34" t="str">
        <f t="shared" si="20"/>
        <v/>
      </c>
      <c r="E289" s="42"/>
      <c r="F289" s="42"/>
      <c r="G289" s="34" t="str">
        <f t="shared" si="21"/>
        <v/>
      </c>
      <c r="I289" s="42"/>
      <c r="J289" s="42"/>
      <c r="K289" s="34" t="str">
        <f t="shared" si="22"/>
        <v/>
      </c>
      <c r="M289" s="42"/>
      <c r="N289" s="42"/>
      <c r="O289" s="34" t="str">
        <f t="shared" si="23"/>
        <v/>
      </c>
      <c r="Q289" s="42"/>
      <c r="R289" s="42"/>
      <c r="S289" s="34" t="str">
        <f t="shared" si="24"/>
        <v/>
      </c>
    </row>
    <row r="290" spans="1:19" x14ac:dyDescent="0.25">
      <c r="A290" s="42"/>
      <c r="B290" s="42"/>
      <c r="C290" s="34" t="str">
        <f t="shared" si="20"/>
        <v/>
      </c>
      <c r="E290" s="42"/>
      <c r="F290" s="42"/>
      <c r="G290" s="34" t="str">
        <f t="shared" si="21"/>
        <v/>
      </c>
      <c r="I290" s="42"/>
      <c r="J290" s="42"/>
      <c r="K290" s="34" t="str">
        <f t="shared" si="22"/>
        <v/>
      </c>
      <c r="M290" s="42"/>
      <c r="N290" s="42"/>
      <c r="O290" s="34" t="str">
        <f t="shared" si="23"/>
        <v/>
      </c>
      <c r="Q290" s="42"/>
      <c r="R290" s="42"/>
      <c r="S290" s="34" t="str">
        <f t="shared" si="24"/>
        <v/>
      </c>
    </row>
    <row r="291" spans="1:19" x14ac:dyDescent="0.25">
      <c r="A291" s="42"/>
      <c r="B291" s="42"/>
      <c r="C291" s="34" t="str">
        <f t="shared" si="20"/>
        <v/>
      </c>
      <c r="E291" s="42"/>
      <c r="F291" s="42"/>
      <c r="G291" s="34" t="str">
        <f t="shared" si="21"/>
        <v/>
      </c>
      <c r="I291" s="42"/>
      <c r="J291" s="42"/>
      <c r="K291" s="34" t="str">
        <f t="shared" si="22"/>
        <v/>
      </c>
      <c r="M291" s="42"/>
      <c r="N291" s="42"/>
      <c r="O291" s="34" t="str">
        <f t="shared" si="23"/>
        <v/>
      </c>
      <c r="Q291" s="42"/>
      <c r="R291" s="42"/>
      <c r="S291" s="34" t="str">
        <f t="shared" si="24"/>
        <v/>
      </c>
    </row>
    <row r="292" spans="1:19" x14ac:dyDescent="0.25">
      <c r="A292" s="42"/>
      <c r="B292" s="42"/>
      <c r="C292" s="34" t="str">
        <f t="shared" si="20"/>
        <v/>
      </c>
      <c r="E292" s="42"/>
      <c r="F292" s="42"/>
      <c r="G292" s="34" t="str">
        <f t="shared" si="21"/>
        <v/>
      </c>
      <c r="I292" s="42"/>
      <c r="J292" s="42"/>
      <c r="K292" s="34" t="str">
        <f t="shared" si="22"/>
        <v/>
      </c>
      <c r="M292" s="42"/>
      <c r="N292" s="42"/>
      <c r="O292" s="34" t="str">
        <f t="shared" si="23"/>
        <v/>
      </c>
      <c r="Q292" s="42"/>
      <c r="R292" s="42"/>
      <c r="S292" s="34" t="str">
        <f t="shared" si="24"/>
        <v/>
      </c>
    </row>
    <row r="293" spans="1:19" x14ac:dyDescent="0.25">
      <c r="A293" s="42"/>
      <c r="B293" s="42"/>
      <c r="C293" s="34" t="str">
        <f t="shared" si="20"/>
        <v/>
      </c>
      <c r="E293" s="42"/>
      <c r="F293" s="42"/>
      <c r="G293" s="34" t="str">
        <f t="shared" si="21"/>
        <v/>
      </c>
      <c r="I293" s="42"/>
      <c r="J293" s="42"/>
      <c r="K293" s="34" t="str">
        <f t="shared" si="22"/>
        <v/>
      </c>
      <c r="M293" s="42"/>
      <c r="N293" s="42"/>
      <c r="O293" s="34" t="str">
        <f t="shared" si="23"/>
        <v/>
      </c>
      <c r="Q293" s="42"/>
      <c r="R293" s="42"/>
      <c r="S293" s="34" t="str">
        <f t="shared" si="24"/>
        <v/>
      </c>
    </row>
    <row r="294" spans="1:19" x14ac:dyDescent="0.25">
      <c r="A294" s="42"/>
      <c r="B294" s="42"/>
      <c r="C294" s="34" t="str">
        <f t="shared" si="20"/>
        <v/>
      </c>
      <c r="E294" s="42"/>
      <c r="F294" s="42"/>
      <c r="G294" s="34" t="str">
        <f t="shared" si="21"/>
        <v/>
      </c>
      <c r="I294" s="42"/>
      <c r="J294" s="42"/>
      <c r="K294" s="34" t="str">
        <f t="shared" si="22"/>
        <v/>
      </c>
      <c r="M294" s="42"/>
      <c r="N294" s="42"/>
      <c r="O294" s="34" t="str">
        <f t="shared" si="23"/>
        <v/>
      </c>
      <c r="Q294" s="42"/>
      <c r="R294" s="42"/>
      <c r="S294" s="34" t="str">
        <f t="shared" si="24"/>
        <v/>
      </c>
    </row>
    <row r="295" spans="1:19" x14ac:dyDescent="0.25">
      <c r="A295" s="42"/>
      <c r="B295" s="42"/>
      <c r="C295" s="34" t="str">
        <f t="shared" si="20"/>
        <v/>
      </c>
      <c r="E295" s="42"/>
      <c r="F295" s="42"/>
      <c r="G295" s="34" t="str">
        <f t="shared" si="21"/>
        <v/>
      </c>
      <c r="I295" s="42"/>
      <c r="J295" s="42"/>
      <c r="K295" s="34" t="str">
        <f t="shared" si="22"/>
        <v/>
      </c>
      <c r="M295" s="42"/>
      <c r="N295" s="42"/>
      <c r="O295" s="34" t="str">
        <f t="shared" si="23"/>
        <v/>
      </c>
      <c r="Q295" s="42"/>
      <c r="R295" s="42"/>
      <c r="S295" s="34" t="str">
        <f t="shared" si="24"/>
        <v/>
      </c>
    </row>
    <row r="296" spans="1:19" x14ac:dyDescent="0.25">
      <c r="A296" s="42"/>
      <c r="B296" s="42"/>
      <c r="C296" s="34" t="str">
        <f t="shared" si="20"/>
        <v/>
      </c>
      <c r="E296" s="42"/>
      <c r="F296" s="42"/>
      <c r="G296" s="34" t="str">
        <f t="shared" si="21"/>
        <v/>
      </c>
      <c r="I296" s="42"/>
      <c r="J296" s="42"/>
      <c r="K296" s="34" t="str">
        <f t="shared" si="22"/>
        <v/>
      </c>
      <c r="M296" s="42"/>
      <c r="N296" s="42"/>
      <c r="O296" s="34" t="str">
        <f t="shared" si="23"/>
        <v/>
      </c>
      <c r="Q296" s="42"/>
      <c r="R296" s="42"/>
      <c r="S296" s="34" t="str">
        <f t="shared" si="24"/>
        <v/>
      </c>
    </row>
    <row r="297" spans="1:19" x14ac:dyDescent="0.25">
      <c r="A297" s="42"/>
      <c r="B297" s="42"/>
      <c r="C297" s="34" t="str">
        <f t="shared" si="20"/>
        <v/>
      </c>
      <c r="E297" s="42"/>
      <c r="F297" s="42"/>
      <c r="G297" s="34" t="str">
        <f t="shared" si="21"/>
        <v/>
      </c>
      <c r="I297" s="42"/>
      <c r="J297" s="42"/>
      <c r="K297" s="34" t="str">
        <f t="shared" si="22"/>
        <v/>
      </c>
      <c r="M297" s="42"/>
      <c r="N297" s="42"/>
      <c r="O297" s="34" t="str">
        <f t="shared" si="23"/>
        <v/>
      </c>
      <c r="Q297" s="42"/>
      <c r="R297" s="42"/>
      <c r="S297" s="34" t="str">
        <f t="shared" si="24"/>
        <v/>
      </c>
    </row>
    <row r="298" spans="1:19" x14ac:dyDescent="0.25">
      <c r="A298" s="42"/>
      <c r="B298" s="42"/>
      <c r="C298" s="34" t="str">
        <f t="shared" si="20"/>
        <v/>
      </c>
      <c r="E298" s="42"/>
      <c r="F298" s="42"/>
      <c r="G298" s="34" t="str">
        <f t="shared" si="21"/>
        <v/>
      </c>
      <c r="I298" s="42"/>
      <c r="J298" s="42"/>
      <c r="K298" s="34" t="str">
        <f t="shared" si="22"/>
        <v/>
      </c>
      <c r="M298" s="42"/>
      <c r="N298" s="42"/>
      <c r="O298" s="34" t="str">
        <f t="shared" si="23"/>
        <v/>
      </c>
      <c r="Q298" s="42"/>
      <c r="R298" s="42"/>
      <c r="S298" s="34" t="str">
        <f t="shared" si="24"/>
        <v/>
      </c>
    </row>
    <row r="299" spans="1:19" x14ac:dyDescent="0.25">
      <c r="A299" s="42"/>
      <c r="B299" s="42"/>
      <c r="C299" s="34" t="str">
        <f t="shared" si="20"/>
        <v/>
      </c>
      <c r="E299" s="42"/>
      <c r="F299" s="42"/>
      <c r="G299" s="34" t="str">
        <f t="shared" si="21"/>
        <v/>
      </c>
      <c r="I299" s="42"/>
      <c r="J299" s="42"/>
      <c r="K299" s="34" t="str">
        <f t="shared" si="22"/>
        <v/>
      </c>
      <c r="M299" s="42"/>
      <c r="N299" s="42"/>
      <c r="O299" s="34" t="str">
        <f t="shared" si="23"/>
        <v/>
      </c>
      <c r="Q299" s="42"/>
      <c r="R299" s="42"/>
      <c r="S299" s="34" t="str">
        <f t="shared" si="24"/>
        <v/>
      </c>
    </row>
    <row r="300" spans="1:19" x14ac:dyDescent="0.25">
      <c r="A300" s="42"/>
      <c r="B300" s="42"/>
      <c r="C300" s="34" t="str">
        <f t="shared" si="20"/>
        <v/>
      </c>
      <c r="E300" s="42"/>
      <c r="F300" s="42"/>
      <c r="G300" s="34" t="str">
        <f t="shared" si="21"/>
        <v/>
      </c>
      <c r="I300" s="42"/>
      <c r="J300" s="42"/>
      <c r="K300" s="34" t="str">
        <f t="shared" si="22"/>
        <v/>
      </c>
      <c r="M300" s="42"/>
      <c r="N300" s="42"/>
      <c r="O300" s="34" t="str">
        <f t="shared" si="23"/>
        <v/>
      </c>
      <c r="Q300" s="42"/>
      <c r="R300" s="42"/>
      <c r="S300" s="34" t="str">
        <f t="shared" si="24"/>
        <v/>
      </c>
    </row>
    <row r="301" spans="1:19" x14ac:dyDescent="0.25">
      <c r="A301" s="42"/>
      <c r="B301" s="42"/>
      <c r="C301" s="34" t="str">
        <f t="shared" si="20"/>
        <v/>
      </c>
      <c r="E301" s="42"/>
      <c r="F301" s="42"/>
      <c r="G301" s="34" t="str">
        <f t="shared" si="21"/>
        <v/>
      </c>
      <c r="I301" s="42"/>
      <c r="J301" s="42"/>
      <c r="K301" s="34" t="str">
        <f t="shared" si="22"/>
        <v/>
      </c>
      <c r="M301" s="42"/>
      <c r="N301" s="42"/>
      <c r="O301" s="34" t="str">
        <f t="shared" si="23"/>
        <v/>
      </c>
      <c r="Q301" s="42"/>
      <c r="R301" s="42"/>
      <c r="S301" s="34" t="str">
        <f t="shared" si="24"/>
        <v/>
      </c>
    </row>
    <row r="302" spans="1:19" x14ac:dyDescent="0.25">
      <c r="A302" s="42"/>
      <c r="B302" s="42"/>
      <c r="C302" s="34" t="str">
        <f t="shared" si="20"/>
        <v/>
      </c>
      <c r="E302" s="42"/>
      <c r="F302" s="42"/>
      <c r="G302" s="34" t="str">
        <f t="shared" si="21"/>
        <v/>
      </c>
      <c r="I302" s="42"/>
      <c r="J302" s="42"/>
      <c r="K302" s="34" t="str">
        <f t="shared" si="22"/>
        <v/>
      </c>
      <c r="M302" s="42"/>
      <c r="N302" s="42"/>
      <c r="O302" s="34" t="str">
        <f t="shared" si="23"/>
        <v/>
      </c>
      <c r="Q302" s="42"/>
      <c r="R302" s="42"/>
      <c r="S302" s="34" t="str">
        <f t="shared" si="24"/>
        <v/>
      </c>
    </row>
    <row r="303" spans="1:19" x14ac:dyDescent="0.25">
      <c r="A303" s="42"/>
      <c r="B303" s="42"/>
      <c r="C303" s="34" t="str">
        <f t="shared" si="20"/>
        <v/>
      </c>
      <c r="E303" s="42"/>
      <c r="F303" s="42"/>
      <c r="G303" s="34" t="str">
        <f t="shared" si="21"/>
        <v/>
      </c>
      <c r="I303" s="42"/>
      <c r="J303" s="42"/>
      <c r="K303" s="34" t="str">
        <f t="shared" si="22"/>
        <v/>
      </c>
      <c r="M303" s="42"/>
      <c r="N303" s="42"/>
      <c r="O303" s="34" t="str">
        <f t="shared" si="23"/>
        <v/>
      </c>
      <c r="Q303" s="42"/>
      <c r="R303" s="42"/>
      <c r="S303" s="34" t="str">
        <f t="shared" si="24"/>
        <v/>
      </c>
    </row>
    <row r="304" spans="1:19" x14ac:dyDescent="0.25">
      <c r="A304" s="42"/>
      <c r="B304" s="42"/>
      <c r="C304" s="34" t="str">
        <f t="shared" si="20"/>
        <v/>
      </c>
      <c r="E304" s="42"/>
      <c r="F304" s="42"/>
      <c r="G304" s="34" t="str">
        <f t="shared" si="21"/>
        <v/>
      </c>
      <c r="I304" s="42"/>
      <c r="J304" s="42"/>
      <c r="K304" s="34" t="str">
        <f t="shared" si="22"/>
        <v/>
      </c>
      <c r="M304" s="42"/>
      <c r="N304" s="42"/>
      <c r="O304" s="34" t="str">
        <f t="shared" si="23"/>
        <v/>
      </c>
      <c r="Q304" s="42"/>
      <c r="R304" s="42"/>
      <c r="S304" s="34" t="str">
        <f t="shared" si="24"/>
        <v/>
      </c>
    </row>
    <row r="305" spans="1:19" x14ac:dyDescent="0.25">
      <c r="A305" s="42"/>
      <c r="B305" s="42"/>
      <c r="C305" s="34" t="str">
        <f t="shared" si="20"/>
        <v/>
      </c>
      <c r="E305" s="42"/>
      <c r="F305" s="42"/>
      <c r="G305" s="34" t="str">
        <f t="shared" si="21"/>
        <v/>
      </c>
      <c r="I305" s="42"/>
      <c r="J305" s="42"/>
      <c r="K305" s="34" t="str">
        <f t="shared" si="22"/>
        <v/>
      </c>
      <c r="M305" s="42"/>
      <c r="N305" s="42"/>
      <c r="O305" s="34" t="str">
        <f t="shared" si="23"/>
        <v/>
      </c>
      <c r="Q305" s="42"/>
      <c r="R305" s="42"/>
      <c r="S305" s="34" t="str">
        <f t="shared" si="24"/>
        <v/>
      </c>
    </row>
    <row r="306" spans="1:19" x14ac:dyDescent="0.25">
      <c r="A306" s="42"/>
      <c r="B306" s="42"/>
      <c r="C306" s="34" t="str">
        <f t="shared" si="20"/>
        <v/>
      </c>
      <c r="E306" s="42"/>
      <c r="F306" s="42"/>
      <c r="G306" s="34" t="str">
        <f t="shared" si="21"/>
        <v/>
      </c>
      <c r="I306" s="42"/>
      <c r="J306" s="42"/>
      <c r="K306" s="34" t="str">
        <f t="shared" si="22"/>
        <v/>
      </c>
      <c r="M306" s="42"/>
      <c r="N306" s="42"/>
      <c r="O306" s="34" t="str">
        <f t="shared" si="23"/>
        <v/>
      </c>
      <c r="Q306" s="42"/>
      <c r="R306" s="42"/>
      <c r="S306" s="34" t="str">
        <f t="shared" si="24"/>
        <v/>
      </c>
    </row>
    <row r="307" spans="1:19" x14ac:dyDescent="0.25">
      <c r="A307" s="42"/>
      <c r="B307" s="42"/>
      <c r="C307" s="34" t="str">
        <f t="shared" si="20"/>
        <v/>
      </c>
      <c r="E307" s="42"/>
      <c r="F307" s="42"/>
      <c r="G307" s="34" t="str">
        <f t="shared" si="21"/>
        <v/>
      </c>
      <c r="I307" s="42"/>
      <c r="J307" s="42"/>
      <c r="K307" s="34" t="str">
        <f t="shared" si="22"/>
        <v/>
      </c>
      <c r="M307" s="42"/>
      <c r="N307" s="42"/>
      <c r="O307" s="34" t="str">
        <f t="shared" si="23"/>
        <v/>
      </c>
      <c r="Q307" s="42"/>
      <c r="R307" s="42"/>
      <c r="S307" s="34" t="str">
        <f t="shared" si="24"/>
        <v/>
      </c>
    </row>
    <row r="308" spans="1:19" x14ac:dyDescent="0.25">
      <c r="A308" s="42"/>
      <c r="B308" s="42"/>
      <c r="C308" s="34" t="str">
        <f t="shared" si="20"/>
        <v/>
      </c>
      <c r="E308" s="42"/>
      <c r="F308" s="42"/>
      <c r="G308" s="34" t="str">
        <f t="shared" si="21"/>
        <v/>
      </c>
      <c r="I308" s="42"/>
      <c r="J308" s="42"/>
      <c r="K308" s="34" t="str">
        <f t="shared" si="22"/>
        <v/>
      </c>
      <c r="M308" s="42"/>
      <c r="N308" s="42"/>
      <c r="O308" s="34" t="str">
        <f t="shared" si="23"/>
        <v/>
      </c>
      <c r="Q308" s="42"/>
      <c r="R308" s="42"/>
      <c r="S308" s="34" t="str">
        <f t="shared" si="24"/>
        <v/>
      </c>
    </row>
    <row r="309" spans="1:19" x14ac:dyDescent="0.25">
      <c r="A309" s="42"/>
      <c r="B309" s="42"/>
      <c r="C309" s="34" t="str">
        <f t="shared" si="20"/>
        <v/>
      </c>
      <c r="E309" s="42"/>
      <c r="F309" s="42"/>
      <c r="G309" s="34" t="str">
        <f t="shared" si="21"/>
        <v/>
      </c>
      <c r="I309" s="42"/>
      <c r="J309" s="42"/>
      <c r="K309" s="34" t="str">
        <f t="shared" si="22"/>
        <v/>
      </c>
      <c r="M309" s="42"/>
      <c r="N309" s="42"/>
      <c r="O309" s="34" t="str">
        <f t="shared" si="23"/>
        <v/>
      </c>
      <c r="Q309" s="42"/>
      <c r="R309" s="42"/>
      <c r="S309" s="34" t="str">
        <f t="shared" si="24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E00-000002000000}">
            <xm:f>AND(ISNUMBER(A10),A10&gt;H_Parametri!$B$7)</xm:f>
            <x14:dxf>
              <fill>
                <patternFill>
                  <bgColor rgb="FFFCE4D6"/>
                </patternFill>
              </fill>
            </x14:dxf>
          </x14:cfRule>
          <xm:sqref>A10:S309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65911"/>
  </sheetPr>
  <dimension ref="A1:S309"/>
  <sheetViews>
    <sheetView zoomScaleNormal="100" workbookViewId="0">
      <pane ySplit="9" topLeftCell="A10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30" customWidth="1"/>
    <col min="3" max="3" width="18" customWidth="1"/>
    <col min="4" max="4" width="3" customWidth="1"/>
    <col min="5" max="5" width="13" customWidth="1"/>
    <col min="6" max="6" width="30" customWidth="1"/>
    <col min="7" max="7" width="18" customWidth="1"/>
    <col min="8" max="8" width="3" customWidth="1"/>
    <col min="9" max="9" width="13" customWidth="1"/>
    <col min="10" max="10" width="30" customWidth="1"/>
    <col min="11" max="11" width="18" customWidth="1"/>
    <col min="12" max="12" width="3" customWidth="1"/>
    <col min="13" max="13" width="13" customWidth="1"/>
    <col min="14" max="14" width="30" customWidth="1"/>
    <col min="15" max="15" width="18" customWidth="1"/>
    <col min="16" max="16" width="3" customWidth="1"/>
    <col min="17" max="17" width="13" customWidth="1"/>
    <col min="18" max="18" width="30" customWidth="1"/>
    <col min="19" max="19" width="18" customWidth="1"/>
    <col min="20" max="20" width="3" customWidth="1"/>
  </cols>
  <sheetData>
    <row r="1" spans="1:19" ht="18" x14ac:dyDescent="0.25">
      <c r="A1" s="2" t="s">
        <v>222</v>
      </c>
    </row>
    <row r="2" spans="1:19" x14ac:dyDescent="0.25">
      <c r="A2" s="3" t="s">
        <v>218</v>
      </c>
    </row>
    <row r="4" spans="1:19" x14ac:dyDescent="0.25">
      <c r="A4" s="16" t="s">
        <v>59</v>
      </c>
      <c r="B4" s="12">
        <v>80</v>
      </c>
      <c r="E4" s="16" t="s">
        <v>59</v>
      </c>
      <c r="F4" s="12">
        <v>150</v>
      </c>
      <c r="I4" s="16" t="s">
        <v>59</v>
      </c>
      <c r="J4" s="12">
        <v>250</v>
      </c>
      <c r="M4" s="16" t="s">
        <v>59</v>
      </c>
      <c r="N4" s="12">
        <v>300</v>
      </c>
      <c r="Q4" s="16" t="s">
        <v>59</v>
      </c>
      <c r="R4" s="12"/>
    </row>
    <row r="5" spans="1:19" ht="25.5" x14ac:dyDescent="0.25">
      <c r="A5" s="16" t="s">
        <v>160</v>
      </c>
      <c r="B5" s="13">
        <f>IF(OR(B4="",COUNTIF(A$10:A$309,"&lt;"&amp;0.05)=0),"",MAX(INDEX(B$10:B$309,1):INDEX(B$10:B$309,COUNTIF(A$10:A$309,"&lt;"&amp;0.05))))</f>
        <v>1.2154143225626599</v>
      </c>
      <c r="E5" s="16" t="s">
        <v>160</v>
      </c>
      <c r="F5" s="13">
        <f>IF(OR(F4="",COUNTIF(E$10:E$309,"&lt;"&amp;0.05)=0),"",MAX(INDEX(F$10:F$309,1):INDEX(F$10:F$309,COUNTIF(E$10:E$309,"&lt;"&amp;0.05))))</f>
        <v>2.3776199720262099</v>
      </c>
      <c r="I5" s="16" t="s">
        <v>160</v>
      </c>
      <c r="J5" s="13">
        <f>IF(OR(J4="",COUNTIF(I$10:I$309,"&lt;"&amp;0.05)=0),"",MAX(INDEX(J$10:J$309,1):INDEX(J$10:J$309,COUNTIF(I$10:I$309,"&lt;"&amp;0.05))))</f>
        <v>4.1026985854936804</v>
      </c>
      <c r="M5" s="16" t="s">
        <v>160</v>
      </c>
      <c r="N5" s="13">
        <f>IF(OR(N4="",COUNTIF(M$10:M$309,"&lt;"&amp;0.05)=0),"",MAX(INDEX(N$10:N$309,1):INDEX(N$10:N$309,COUNTIF(M$10:M$309,"&lt;"&amp;0.05))))</f>
        <v>4.98281415667517</v>
      </c>
      <c r="Q5" s="16" t="s">
        <v>160</v>
      </c>
      <c r="R5" s="13" t="str">
        <f>IF(OR(R4="",COUNTIF(Q$10:Q$309,"&lt;"&amp;0.05)=0),"",MAX(INDEX(R$10:R$309,1):INDEX(R$10:R$309,COUNTIF(Q$10:Q$309,"&lt;"&amp;0.05))))</f>
        <v/>
      </c>
    </row>
    <row r="6" spans="1:19" ht="25.5" x14ac:dyDescent="0.25">
      <c r="A6" s="16" t="s">
        <v>207</v>
      </c>
      <c r="B6" s="34">
        <f>IF(B5="","",B4/3600/B5)</f>
        <v>1.8283659991242675E-2</v>
      </c>
      <c r="E6" s="16" t="s">
        <v>207</v>
      </c>
      <c r="F6" s="34">
        <f>IF(F5="","",F4/3600/F5)</f>
        <v>1.7524527534633003E-2</v>
      </c>
      <c r="I6" s="16" t="s">
        <v>207</v>
      </c>
      <c r="J6" s="34">
        <f>IF(J5="","",J4/3600/J5)</f>
        <v>1.6926528478106113E-2</v>
      </c>
      <c r="M6" s="16" t="s">
        <v>207</v>
      </c>
      <c r="N6" s="34">
        <f>IF(N5="","",N4/3600/N5)</f>
        <v>1.6724150392343408E-2</v>
      </c>
      <c r="Q6" s="16" t="s">
        <v>207</v>
      </c>
      <c r="R6" s="34" t="str">
        <f>IF(R5="","",R4/3600/R5)</f>
        <v/>
      </c>
    </row>
    <row r="7" spans="1:19" ht="25.5" x14ac:dyDescent="0.25">
      <c r="A7" s="16" t="s">
        <v>219</v>
      </c>
      <c r="B7" s="12">
        <v>1</v>
      </c>
      <c r="E7" s="16" t="s">
        <v>219</v>
      </c>
      <c r="F7" s="12">
        <v>1</v>
      </c>
      <c r="I7" s="16" t="s">
        <v>219</v>
      </c>
      <c r="J7" s="12">
        <v>1</v>
      </c>
      <c r="M7" s="16" t="s">
        <v>219</v>
      </c>
      <c r="N7" s="12">
        <v>1</v>
      </c>
      <c r="Q7" s="16" t="s">
        <v>219</v>
      </c>
      <c r="R7" s="12"/>
    </row>
    <row r="8" spans="1:19" x14ac:dyDescent="0.25">
      <c r="A8" s="16" t="s">
        <v>188</v>
      </c>
      <c r="B8" s="5"/>
      <c r="E8" s="16" t="s">
        <v>188</v>
      </c>
      <c r="F8" s="5"/>
      <c r="I8" s="16" t="s">
        <v>188</v>
      </c>
      <c r="J8" s="5"/>
      <c r="M8" s="16" t="s">
        <v>188</v>
      </c>
      <c r="N8" s="5"/>
      <c r="Q8" s="16" t="s">
        <v>188</v>
      </c>
      <c r="R8" s="5"/>
    </row>
    <row r="9" spans="1:19" x14ac:dyDescent="0.25">
      <c r="A9" s="4" t="s">
        <v>176</v>
      </c>
      <c r="B9" s="4" t="s">
        <v>209</v>
      </c>
      <c r="C9" s="4" t="s">
        <v>221</v>
      </c>
      <c r="E9" s="4" t="s">
        <v>176</v>
      </c>
      <c r="F9" s="4" t="s">
        <v>209</v>
      </c>
      <c r="G9" s="4" t="s">
        <v>221</v>
      </c>
      <c r="I9" s="4" t="s">
        <v>176</v>
      </c>
      <c r="J9" s="4" t="s">
        <v>209</v>
      </c>
      <c r="K9" s="4" t="s">
        <v>221</v>
      </c>
      <c r="M9" s="4" t="s">
        <v>176</v>
      </c>
      <c r="N9" s="4" t="s">
        <v>209</v>
      </c>
      <c r="O9" s="4" t="s">
        <v>221</v>
      </c>
      <c r="Q9" s="4" t="s">
        <v>176</v>
      </c>
      <c r="R9" s="4" t="s">
        <v>209</v>
      </c>
      <c r="S9" s="4" t="s">
        <v>221</v>
      </c>
    </row>
    <row r="10" spans="1:19" x14ac:dyDescent="0.25">
      <c r="A10" s="42">
        <v>0</v>
      </c>
      <c r="B10" s="43">
        <v>1.2154143225626599</v>
      </c>
      <c r="C10" s="34">
        <f t="shared" ref="C10:C73" si="0">IF(OR(B10="",B$4=""),"",B10/B$4)</f>
        <v>1.5192679032033248E-2</v>
      </c>
      <c r="E10" s="42">
        <v>0</v>
      </c>
      <c r="F10" s="43">
        <v>2.3776199720262099</v>
      </c>
      <c r="G10" s="34">
        <f t="shared" ref="G10:G73" si="1">IF(OR(F10="",F$4=""),"",F10/F$4)</f>
        <v>1.5850799813508065E-2</v>
      </c>
      <c r="I10" s="42">
        <v>0</v>
      </c>
      <c r="J10" s="43">
        <v>4.1026985854936804</v>
      </c>
      <c r="K10" s="34">
        <f t="shared" ref="K10:K73" si="2">IF(OR(J10="",J$4=""),"",J10/J$4)</f>
        <v>1.6410794341974722E-2</v>
      </c>
      <c r="M10" s="42">
        <v>0</v>
      </c>
      <c r="N10" s="43">
        <v>4.98281415667517</v>
      </c>
      <c r="O10" s="34">
        <f t="shared" ref="O10:O73" si="3">IF(OR(N10="",N$4=""),"",N10/N$4)</f>
        <v>1.6609380522250566E-2</v>
      </c>
      <c r="Q10" s="42"/>
      <c r="R10" s="42"/>
      <c r="S10" s="34" t="str">
        <f t="shared" ref="S10:S73" si="4">IF(OR(R10="",R$4=""),"",R10/R$4)</f>
        <v/>
      </c>
    </row>
    <row r="11" spans="1:19" x14ac:dyDescent="0.25">
      <c r="A11" s="42">
        <v>3.24932450593804E-2</v>
      </c>
      <c r="B11" s="43">
        <v>1.0935082370601199</v>
      </c>
      <c r="C11" s="34">
        <f t="shared" si="0"/>
        <v>1.3668852963251498E-2</v>
      </c>
      <c r="E11" s="42">
        <v>3.4181217673556002E-2</v>
      </c>
      <c r="F11" s="43">
        <v>2.1399934575652</v>
      </c>
      <c r="G11" s="34">
        <f t="shared" si="1"/>
        <v>1.4266623050434666E-2</v>
      </c>
      <c r="I11" s="42">
        <v>3.83374096623737E-2</v>
      </c>
      <c r="J11" s="43">
        <v>1.81536560057542</v>
      </c>
      <c r="K11" s="34">
        <f t="shared" si="2"/>
        <v>7.2614624023016796E-3</v>
      </c>
      <c r="M11" s="42">
        <v>3.83374096623737E-2</v>
      </c>
      <c r="N11" s="43">
        <v>2.2411927591094098</v>
      </c>
      <c r="O11" s="34">
        <f t="shared" si="3"/>
        <v>7.4706425303646996E-3</v>
      </c>
      <c r="Q11" s="42"/>
      <c r="R11" s="42"/>
      <c r="S11" s="34" t="str">
        <f t="shared" si="4"/>
        <v/>
      </c>
    </row>
    <row r="12" spans="1:19" x14ac:dyDescent="0.25">
      <c r="A12" s="42">
        <v>6.4986490118760898E-2</v>
      </c>
      <c r="B12" s="43">
        <v>0.92088231782608099</v>
      </c>
      <c r="C12" s="34">
        <f t="shared" si="0"/>
        <v>1.1511028972826012E-2</v>
      </c>
      <c r="E12" s="42">
        <v>6.8362435347112102E-2</v>
      </c>
      <c r="F12" s="43">
        <v>1.70435304483184</v>
      </c>
      <c r="G12" s="34">
        <f t="shared" si="1"/>
        <v>1.1362353632212267E-2</v>
      </c>
      <c r="I12" s="42">
        <v>7.6674819324747401E-2</v>
      </c>
      <c r="J12" s="43">
        <v>0.70427468479521504</v>
      </c>
      <c r="K12" s="34">
        <f t="shared" si="2"/>
        <v>2.8170987391808603E-3</v>
      </c>
      <c r="M12" s="42">
        <v>7.6674819324747401E-2</v>
      </c>
      <c r="N12" s="43">
        <v>0.75383198214703395</v>
      </c>
      <c r="O12" s="34">
        <f t="shared" si="3"/>
        <v>2.5127732738234464E-3</v>
      </c>
      <c r="Q12" s="42"/>
      <c r="R12" s="42"/>
      <c r="S12" s="34" t="str">
        <f t="shared" si="4"/>
        <v/>
      </c>
    </row>
    <row r="13" spans="1:19" x14ac:dyDescent="0.25">
      <c r="A13" s="42">
        <v>9.7479735178141305E-2</v>
      </c>
      <c r="B13" s="43">
        <v>0.71589936129582499</v>
      </c>
      <c r="C13" s="34">
        <f t="shared" si="0"/>
        <v>8.948742016197813E-3</v>
      </c>
      <c r="E13" s="42">
        <v>0.10254365302066799</v>
      </c>
      <c r="F13" s="43">
        <v>1.3211932151729699</v>
      </c>
      <c r="G13" s="34">
        <f t="shared" si="1"/>
        <v>8.8079547678197988E-3</v>
      </c>
      <c r="I13" s="42">
        <v>0.115012228987121</v>
      </c>
      <c r="J13" s="43">
        <v>0.53244427675317296</v>
      </c>
      <c r="K13" s="34">
        <f t="shared" si="2"/>
        <v>2.1297771070126919E-3</v>
      </c>
      <c r="M13" s="42">
        <v>0.115012228987121</v>
      </c>
      <c r="N13" s="43">
        <v>0.50909417829126302</v>
      </c>
      <c r="O13" s="34">
        <f t="shared" si="3"/>
        <v>1.6969805943042101E-3</v>
      </c>
      <c r="Q13" s="42"/>
      <c r="R13" s="42"/>
      <c r="S13" s="34" t="str">
        <f t="shared" si="4"/>
        <v/>
      </c>
    </row>
    <row r="14" spans="1:19" x14ac:dyDescent="0.25">
      <c r="A14" s="42">
        <v>0.12997298023752199</v>
      </c>
      <c r="B14" s="43">
        <v>0.56602843923899704</v>
      </c>
      <c r="C14" s="34">
        <f t="shared" si="0"/>
        <v>7.0753554904874633E-3</v>
      </c>
      <c r="E14" s="42">
        <v>0.13672487069422401</v>
      </c>
      <c r="F14" s="43">
        <v>1.0197730455802301</v>
      </c>
      <c r="G14" s="34">
        <f t="shared" si="1"/>
        <v>6.7984869705348672E-3</v>
      </c>
      <c r="I14" s="42">
        <v>0.153349638649495</v>
      </c>
      <c r="J14" s="43">
        <v>0.34777411551452903</v>
      </c>
      <c r="K14" s="34">
        <f t="shared" si="2"/>
        <v>1.391096462058116E-3</v>
      </c>
      <c r="M14" s="42">
        <v>0.153349638649495</v>
      </c>
      <c r="N14" s="43">
        <v>0.267713926445174</v>
      </c>
      <c r="O14" s="34">
        <f t="shared" si="3"/>
        <v>8.9237975481724669E-4</v>
      </c>
      <c r="Q14" s="42"/>
      <c r="R14" s="42"/>
      <c r="S14" s="34" t="str">
        <f t="shared" si="4"/>
        <v/>
      </c>
    </row>
    <row r="15" spans="1:19" x14ac:dyDescent="0.25">
      <c r="A15" s="42">
        <v>0.16246622529690199</v>
      </c>
      <c r="B15" s="43">
        <v>0.56190067333972404</v>
      </c>
      <c r="C15" s="34">
        <f t="shared" si="0"/>
        <v>7.0237584167465502E-3</v>
      </c>
      <c r="E15" s="42">
        <v>0.17090608836778001</v>
      </c>
      <c r="F15" s="43">
        <v>0.96127172765362801</v>
      </c>
      <c r="G15" s="34">
        <f t="shared" si="1"/>
        <v>6.4084781843575201E-3</v>
      </c>
      <c r="I15" s="42">
        <v>0.191687048311869</v>
      </c>
      <c r="J15" s="43">
        <v>0.22973276486470701</v>
      </c>
      <c r="K15" s="34">
        <f t="shared" si="2"/>
        <v>9.1893105945882805E-4</v>
      </c>
      <c r="M15" s="42">
        <v>0.191687048311869</v>
      </c>
      <c r="N15" s="43">
        <v>0.18157708065928899</v>
      </c>
      <c r="O15" s="34">
        <f t="shared" si="3"/>
        <v>6.0525693553096333E-4</v>
      </c>
      <c r="Q15" s="42"/>
      <c r="R15" s="42"/>
      <c r="S15" s="34" t="str">
        <f t="shared" si="4"/>
        <v/>
      </c>
    </row>
    <row r="16" spans="1:19" x14ac:dyDescent="0.25">
      <c r="A16" s="42">
        <v>0.194959470356283</v>
      </c>
      <c r="B16" s="43">
        <v>0.42701254467940603</v>
      </c>
      <c r="C16" s="34">
        <f t="shared" si="0"/>
        <v>5.3376568084925755E-3</v>
      </c>
      <c r="E16" s="42">
        <v>0.20508730604133599</v>
      </c>
      <c r="F16" s="43">
        <v>0.71418152067808005</v>
      </c>
      <c r="G16" s="34">
        <f t="shared" si="1"/>
        <v>4.7612101378538673E-3</v>
      </c>
      <c r="I16" s="42">
        <v>0.23002445797424201</v>
      </c>
      <c r="J16" s="43">
        <v>0.338674370037437</v>
      </c>
      <c r="K16" s="34">
        <f t="shared" si="2"/>
        <v>1.3546974801497481E-3</v>
      </c>
      <c r="M16" s="42">
        <v>0.23002445797424201</v>
      </c>
      <c r="N16" s="43">
        <v>0.340516025534775</v>
      </c>
      <c r="O16" s="34">
        <f t="shared" si="3"/>
        <v>1.1350534184492501E-3</v>
      </c>
      <c r="Q16" s="42"/>
      <c r="R16" s="42"/>
      <c r="S16" s="34" t="str">
        <f t="shared" si="4"/>
        <v/>
      </c>
    </row>
    <row r="17" spans="1:19" x14ac:dyDescent="0.25">
      <c r="A17" s="42">
        <v>0.227452715415663</v>
      </c>
      <c r="B17" s="43">
        <v>0.39870780762209201</v>
      </c>
      <c r="C17" s="34">
        <f t="shared" si="0"/>
        <v>4.98384759527615E-3</v>
      </c>
      <c r="E17" s="42">
        <v>0.23926852371489199</v>
      </c>
      <c r="F17" s="43">
        <v>0.65746073688750295</v>
      </c>
      <c r="G17" s="34">
        <f t="shared" si="1"/>
        <v>4.38307157925002E-3</v>
      </c>
      <c r="I17" s="42">
        <v>0.26836186763661601</v>
      </c>
      <c r="J17" s="43">
        <v>0.32661178320974099</v>
      </c>
      <c r="K17" s="34">
        <f t="shared" si="2"/>
        <v>1.3064471328389639E-3</v>
      </c>
      <c r="M17" s="42">
        <v>0.26836186763661601</v>
      </c>
      <c r="N17" s="43">
        <v>0.353278491573153</v>
      </c>
      <c r="O17" s="34">
        <f t="shared" si="3"/>
        <v>1.1775949719105101E-3</v>
      </c>
      <c r="Q17" s="42"/>
      <c r="R17" s="42"/>
      <c r="S17" s="34" t="str">
        <f t="shared" si="4"/>
        <v/>
      </c>
    </row>
    <row r="18" spans="1:19" x14ac:dyDescent="0.25">
      <c r="A18" s="42">
        <v>0.25994596047504298</v>
      </c>
      <c r="B18" s="43">
        <v>0.37204665021676098</v>
      </c>
      <c r="C18" s="34">
        <f t="shared" si="0"/>
        <v>4.650583127709512E-3</v>
      </c>
      <c r="E18" s="42">
        <v>0.27344974138844802</v>
      </c>
      <c r="F18" s="43">
        <v>0.588010800069521</v>
      </c>
      <c r="G18" s="34">
        <f t="shared" si="1"/>
        <v>3.9200720004634731E-3</v>
      </c>
      <c r="I18" s="42">
        <v>0.30669927729898999</v>
      </c>
      <c r="J18" s="43">
        <v>0.368333372977593</v>
      </c>
      <c r="K18" s="34">
        <f t="shared" si="2"/>
        <v>1.4733334919103721E-3</v>
      </c>
      <c r="M18" s="42">
        <v>0.30669927729898999</v>
      </c>
      <c r="N18" s="43">
        <v>0.40656297229382599</v>
      </c>
      <c r="O18" s="34">
        <f t="shared" si="3"/>
        <v>1.3552099076460866E-3</v>
      </c>
      <c r="Q18" s="42"/>
      <c r="R18" s="42"/>
      <c r="S18" s="34" t="str">
        <f t="shared" si="4"/>
        <v/>
      </c>
    </row>
    <row r="19" spans="1:19" x14ac:dyDescent="0.25">
      <c r="A19" s="42">
        <v>0.29243920553442398</v>
      </c>
      <c r="B19" s="43">
        <v>0.33030697242040002</v>
      </c>
      <c r="C19" s="34">
        <f t="shared" si="0"/>
        <v>4.1288371552550005E-3</v>
      </c>
      <c r="E19" s="42">
        <v>0.30763095906200399</v>
      </c>
      <c r="F19" s="43">
        <v>0.50216229579716398</v>
      </c>
      <c r="G19" s="34">
        <f t="shared" si="1"/>
        <v>3.3477486386477599E-3</v>
      </c>
      <c r="I19" s="42">
        <v>0.34503668696136303</v>
      </c>
      <c r="J19" s="43">
        <v>0.40448228232075001</v>
      </c>
      <c r="K19" s="34">
        <f t="shared" si="2"/>
        <v>1.617929129283E-3</v>
      </c>
      <c r="M19" s="42">
        <v>0.34503668696136303</v>
      </c>
      <c r="N19" s="43">
        <v>0.45088189486737501</v>
      </c>
      <c r="O19" s="34">
        <f t="shared" si="3"/>
        <v>1.5029396495579168E-3</v>
      </c>
      <c r="Q19" s="42"/>
      <c r="R19" s="42"/>
      <c r="S19" s="34" t="str">
        <f t="shared" si="4"/>
        <v/>
      </c>
    </row>
    <row r="20" spans="1:19" x14ac:dyDescent="0.25">
      <c r="A20" s="42">
        <v>0.32493245059380399</v>
      </c>
      <c r="B20" s="43">
        <v>0.29751550456486903</v>
      </c>
      <c r="C20" s="34">
        <f t="shared" si="0"/>
        <v>3.7189438070608627E-3</v>
      </c>
      <c r="E20" s="42">
        <v>0.34181217673556002</v>
      </c>
      <c r="F20" s="43">
        <v>0.446663394309326</v>
      </c>
      <c r="G20" s="34">
        <f t="shared" si="1"/>
        <v>2.9777559620621733E-3</v>
      </c>
      <c r="I20" s="42">
        <v>0.383374096623737</v>
      </c>
      <c r="J20" s="43">
        <v>0.44900025488112699</v>
      </c>
      <c r="K20" s="34">
        <f t="shared" si="2"/>
        <v>1.7960010195245081E-3</v>
      </c>
      <c r="M20" s="42">
        <v>0.383374096623737</v>
      </c>
      <c r="N20" s="43">
        <v>0.51450545151189997</v>
      </c>
      <c r="O20" s="34">
        <f t="shared" si="3"/>
        <v>1.7150181717063332E-3</v>
      </c>
      <c r="Q20" s="42"/>
      <c r="R20" s="42"/>
      <c r="S20" s="34" t="str">
        <f t="shared" si="4"/>
        <v/>
      </c>
    </row>
    <row r="21" spans="1:19" x14ac:dyDescent="0.25">
      <c r="A21" s="42">
        <v>0.35742569565318499</v>
      </c>
      <c r="B21" s="43">
        <v>0.27484530071853402</v>
      </c>
      <c r="C21" s="34">
        <f t="shared" si="0"/>
        <v>3.4355662589816752E-3</v>
      </c>
      <c r="E21" s="42">
        <v>0.375993394409116</v>
      </c>
      <c r="F21" s="43">
        <v>0.41850919761893701</v>
      </c>
      <c r="G21" s="34">
        <f t="shared" si="1"/>
        <v>2.7900613174595803E-3</v>
      </c>
      <c r="I21" s="42">
        <v>0.42171150628611098</v>
      </c>
      <c r="J21" s="43">
        <v>0.49721772825488503</v>
      </c>
      <c r="K21" s="34">
        <f t="shared" si="2"/>
        <v>1.98887091301954E-3</v>
      </c>
      <c r="M21" s="42">
        <v>0.42171150628611098</v>
      </c>
      <c r="N21" s="43">
        <v>0.58240972409678804</v>
      </c>
      <c r="O21" s="34">
        <f t="shared" si="3"/>
        <v>1.9413657469892936E-3</v>
      </c>
      <c r="Q21" s="42"/>
      <c r="R21" s="42"/>
      <c r="S21" s="34" t="str">
        <f t="shared" si="4"/>
        <v/>
      </c>
    </row>
    <row r="22" spans="1:19" x14ac:dyDescent="0.25">
      <c r="A22" s="42">
        <v>0.389918940712565</v>
      </c>
      <c r="B22" s="43">
        <v>0.26700697109867599</v>
      </c>
      <c r="C22" s="34">
        <f t="shared" si="0"/>
        <v>3.33758713873345E-3</v>
      </c>
      <c r="E22" s="42">
        <v>0.41017461208267197</v>
      </c>
      <c r="F22" s="43">
        <v>0.41543355343533001</v>
      </c>
      <c r="G22" s="34">
        <f t="shared" si="1"/>
        <v>2.7695570229021998E-3</v>
      </c>
      <c r="I22" s="42">
        <v>0.46004891594848402</v>
      </c>
      <c r="J22" s="43">
        <v>0.56099307879619398</v>
      </c>
      <c r="K22" s="34">
        <f t="shared" si="2"/>
        <v>2.2439723151847757E-3</v>
      </c>
      <c r="M22" s="42">
        <v>0.46004891594848402</v>
      </c>
      <c r="N22" s="43">
        <v>0.66459969980628797</v>
      </c>
      <c r="O22" s="34">
        <f t="shared" si="3"/>
        <v>2.2153323326876266E-3</v>
      </c>
      <c r="Q22" s="42"/>
      <c r="R22" s="42"/>
      <c r="S22" s="34" t="str">
        <f t="shared" si="4"/>
        <v/>
      </c>
    </row>
    <row r="23" spans="1:19" x14ac:dyDescent="0.25">
      <c r="A23" s="42">
        <v>0.422412185771946</v>
      </c>
      <c r="B23" s="43">
        <v>0.269166589433946</v>
      </c>
      <c r="C23" s="34">
        <f t="shared" si="0"/>
        <v>3.3645823679243252E-3</v>
      </c>
      <c r="E23" s="42">
        <v>0.444355829756228</v>
      </c>
      <c r="F23" s="43">
        <v>0.43140701115538199</v>
      </c>
      <c r="G23" s="34">
        <f t="shared" si="1"/>
        <v>2.87604674103588E-3</v>
      </c>
      <c r="I23" s="42">
        <v>0.49838632561085799</v>
      </c>
      <c r="J23" s="43">
        <v>0.62586257369678899</v>
      </c>
      <c r="K23" s="34">
        <f t="shared" si="2"/>
        <v>2.503450294787156E-3</v>
      </c>
      <c r="M23" s="42">
        <v>0.49838632561085799</v>
      </c>
      <c r="N23" s="43">
        <v>0.74717978207601998</v>
      </c>
      <c r="O23" s="34">
        <f t="shared" si="3"/>
        <v>2.4905992735867332E-3</v>
      </c>
      <c r="Q23" s="42"/>
      <c r="R23" s="42"/>
      <c r="S23" s="34" t="str">
        <f t="shared" si="4"/>
        <v/>
      </c>
    </row>
    <row r="24" spans="1:19" x14ac:dyDescent="0.25">
      <c r="A24" s="42">
        <v>0.45490543083132601</v>
      </c>
      <c r="B24" s="43">
        <v>0.276365668568123</v>
      </c>
      <c r="C24" s="34">
        <f t="shared" si="0"/>
        <v>3.4545708571015374E-3</v>
      </c>
      <c r="E24" s="42">
        <v>0.47853704742978398</v>
      </c>
      <c r="F24" s="43">
        <v>0.45011372754179402</v>
      </c>
      <c r="G24" s="34">
        <f t="shared" si="1"/>
        <v>3.0007581836119599E-3</v>
      </c>
      <c r="I24" s="42">
        <v>0.53672373527323203</v>
      </c>
      <c r="J24" s="43">
        <v>0.64719448312849903</v>
      </c>
      <c r="K24" s="34">
        <f t="shared" si="2"/>
        <v>2.5887779325139961E-3</v>
      </c>
      <c r="M24" s="42">
        <v>0.53672373527323203</v>
      </c>
      <c r="N24" s="43">
        <v>0.77389447184000004</v>
      </c>
      <c r="O24" s="34">
        <f t="shared" si="3"/>
        <v>2.5796482394666669E-3</v>
      </c>
      <c r="Q24" s="42"/>
      <c r="R24" s="42"/>
      <c r="S24" s="34" t="str">
        <f t="shared" si="4"/>
        <v/>
      </c>
    </row>
    <row r="25" spans="1:19" x14ac:dyDescent="0.25">
      <c r="A25" s="42">
        <v>0.48739867589070601</v>
      </c>
      <c r="B25" s="43">
        <v>0.28216185101601499</v>
      </c>
      <c r="C25" s="34">
        <f t="shared" si="0"/>
        <v>3.5270231377001874E-3</v>
      </c>
      <c r="E25" s="42">
        <v>0.51271826510334095</v>
      </c>
      <c r="F25" s="43">
        <v>0.46687714450696</v>
      </c>
      <c r="G25" s="34">
        <f t="shared" si="1"/>
        <v>3.1125142967130667E-3</v>
      </c>
      <c r="I25" s="42">
        <v>0.57506114493560501</v>
      </c>
      <c r="J25" s="43">
        <v>0.66610572246593802</v>
      </c>
      <c r="K25" s="34">
        <f t="shared" si="2"/>
        <v>2.6644228898637522E-3</v>
      </c>
      <c r="M25" s="42">
        <v>0.57506114493560501</v>
      </c>
      <c r="N25" s="43">
        <v>0.797458002134244</v>
      </c>
      <c r="O25" s="34">
        <f t="shared" si="3"/>
        <v>2.6581933404474802E-3</v>
      </c>
      <c r="Q25" s="42"/>
      <c r="R25" s="42"/>
      <c r="S25" s="34" t="str">
        <f t="shared" si="4"/>
        <v/>
      </c>
    </row>
    <row r="26" spans="1:19" x14ac:dyDescent="0.25">
      <c r="A26" s="42">
        <v>0.51989192095008696</v>
      </c>
      <c r="B26" s="43">
        <v>0.28775090262157998</v>
      </c>
      <c r="C26" s="34">
        <f t="shared" si="0"/>
        <v>3.59688628276975E-3</v>
      </c>
      <c r="E26" s="42">
        <v>0.54689948277689704</v>
      </c>
      <c r="F26" s="43">
        <v>0.45983769665264801</v>
      </c>
      <c r="G26" s="34">
        <f t="shared" si="1"/>
        <v>3.0655846443509867E-3</v>
      </c>
      <c r="I26" s="42">
        <v>0.61339855459797898</v>
      </c>
      <c r="J26" s="43">
        <v>0.68529210890229297</v>
      </c>
      <c r="K26" s="34">
        <f t="shared" si="2"/>
        <v>2.741168435609172E-3</v>
      </c>
      <c r="M26" s="42">
        <v>0.61339855459797898</v>
      </c>
      <c r="N26" s="43">
        <v>0.82132461579472504</v>
      </c>
      <c r="O26" s="34">
        <f t="shared" si="3"/>
        <v>2.7377487193157501E-3</v>
      </c>
      <c r="Q26" s="42"/>
      <c r="R26" s="42"/>
      <c r="S26" s="34" t="str">
        <f t="shared" si="4"/>
        <v/>
      </c>
    </row>
    <row r="27" spans="1:19" x14ac:dyDescent="0.25">
      <c r="A27" s="42">
        <v>0.55238516600946697</v>
      </c>
      <c r="B27" s="43">
        <v>0.28309820990419199</v>
      </c>
      <c r="C27" s="34">
        <f t="shared" si="0"/>
        <v>3.5387276238023997E-3</v>
      </c>
      <c r="E27" s="42">
        <v>0.58108070045045301</v>
      </c>
      <c r="F27" s="43">
        <v>0.454974342108388</v>
      </c>
      <c r="G27" s="34">
        <f t="shared" si="1"/>
        <v>3.0331622807225865E-3</v>
      </c>
      <c r="I27" s="42">
        <v>0.65173596426035296</v>
      </c>
      <c r="J27" s="43">
        <v>0.70430924726452704</v>
      </c>
      <c r="K27" s="34">
        <f t="shared" si="2"/>
        <v>2.8172369890581083E-3</v>
      </c>
      <c r="M27" s="42">
        <v>0.65173596426035296</v>
      </c>
      <c r="N27" s="43">
        <v>0.84494506459871199</v>
      </c>
      <c r="O27" s="34">
        <f t="shared" si="3"/>
        <v>2.8164835486623732E-3</v>
      </c>
      <c r="Q27" s="42"/>
      <c r="R27" s="42"/>
      <c r="S27" s="34" t="str">
        <f t="shared" si="4"/>
        <v/>
      </c>
    </row>
    <row r="28" spans="1:19" x14ac:dyDescent="0.25">
      <c r="A28" s="42">
        <v>0.58487841106884797</v>
      </c>
      <c r="B28" s="43">
        <v>0.28013001648055602</v>
      </c>
      <c r="C28" s="34">
        <f t="shared" si="0"/>
        <v>3.5016252060069502E-3</v>
      </c>
      <c r="E28" s="42">
        <v>0.61526191812400899</v>
      </c>
      <c r="F28" s="43">
        <v>0.45248197180606498</v>
      </c>
      <c r="G28" s="34">
        <f t="shared" si="1"/>
        <v>3.0165464787070997E-3</v>
      </c>
      <c r="I28" s="42">
        <v>0.69007337392272705</v>
      </c>
      <c r="J28" s="43">
        <v>0.71038543209238203</v>
      </c>
      <c r="K28" s="34">
        <f t="shared" si="2"/>
        <v>2.8415417283695283E-3</v>
      </c>
      <c r="M28" s="42">
        <v>0.69007337392272705</v>
      </c>
      <c r="N28" s="43">
        <v>0.85318489238984696</v>
      </c>
      <c r="O28" s="34">
        <f t="shared" si="3"/>
        <v>2.8439496412994898E-3</v>
      </c>
      <c r="Q28" s="42"/>
      <c r="R28" s="42"/>
      <c r="S28" s="34" t="str">
        <f t="shared" si="4"/>
        <v/>
      </c>
    </row>
    <row r="29" spans="1:19" x14ac:dyDescent="0.25">
      <c r="A29" s="42">
        <v>0.61737165612822797</v>
      </c>
      <c r="B29" s="43">
        <v>0.277493819631359</v>
      </c>
      <c r="C29" s="34">
        <f t="shared" si="0"/>
        <v>3.4686727453919876E-3</v>
      </c>
      <c r="E29" s="42">
        <v>0.64944313579756496</v>
      </c>
      <c r="F29" s="43">
        <v>0.446990098556241</v>
      </c>
      <c r="G29" s="34">
        <f t="shared" si="1"/>
        <v>2.9799339903749402E-3</v>
      </c>
      <c r="I29" s="42">
        <v>0.72841078358510003</v>
      </c>
      <c r="J29" s="43">
        <v>0.71642392900825302</v>
      </c>
      <c r="K29" s="34">
        <f t="shared" si="2"/>
        <v>2.8656957160330121E-3</v>
      </c>
      <c r="M29" s="42">
        <v>0.72841078358510003</v>
      </c>
      <c r="N29" s="43">
        <v>0.86134134092723402</v>
      </c>
      <c r="O29" s="34">
        <f t="shared" si="3"/>
        <v>2.8711378030907802E-3</v>
      </c>
      <c r="Q29" s="42"/>
      <c r="R29" s="42"/>
      <c r="S29" s="34" t="str">
        <f t="shared" si="4"/>
        <v/>
      </c>
    </row>
    <row r="30" spans="1:19" x14ac:dyDescent="0.25">
      <c r="A30" s="42">
        <v>0.64986490118760898</v>
      </c>
      <c r="B30" s="43">
        <v>0.273301900804651</v>
      </c>
      <c r="C30" s="34">
        <f t="shared" si="0"/>
        <v>3.4162737600581376E-3</v>
      </c>
      <c r="E30" s="42">
        <v>0.68362435347112105</v>
      </c>
      <c r="F30" s="43">
        <v>0.444409921103608</v>
      </c>
      <c r="G30" s="34">
        <f t="shared" si="1"/>
        <v>2.9627328073573867E-3</v>
      </c>
      <c r="I30" s="42">
        <v>0.76674819324747401</v>
      </c>
      <c r="J30" s="43">
        <v>0.722845580659358</v>
      </c>
      <c r="K30" s="34">
        <f t="shared" si="2"/>
        <v>2.891382322637432E-3</v>
      </c>
      <c r="M30" s="42">
        <v>0.76674819324747401</v>
      </c>
      <c r="N30" s="43">
        <v>0.86990385914525603</v>
      </c>
      <c r="O30" s="34">
        <f t="shared" si="3"/>
        <v>2.8996795304841866E-3</v>
      </c>
      <c r="Q30" s="42"/>
      <c r="R30" s="42"/>
      <c r="S30" s="34" t="str">
        <f t="shared" si="4"/>
        <v/>
      </c>
    </row>
    <row r="31" spans="1:19" x14ac:dyDescent="0.25">
      <c r="A31" s="42">
        <v>0.68235814624698898</v>
      </c>
      <c r="B31" s="43">
        <v>0.27047337584624997</v>
      </c>
      <c r="C31" s="34">
        <f t="shared" si="0"/>
        <v>3.3809171980781249E-3</v>
      </c>
      <c r="E31" s="42">
        <v>0.71780557114467702</v>
      </c>
      <c r="F31" s="43">
        <v>0.44389935701028899</v>
      </c>
      <c r="G31" s="34">
        <f t="shared" si="1"/>
        <v>2.9593290467352599E-3</v>
      </c>
      <c r="I31" s="42">
        <v>0.80508560290984799</v>
      </c>
      <c r="J31" s="43">
        <v>0.72924918496694102</v>
      </c>
      <c r="K31" s="34">
        <f t="shared" si="2"/>
        <v>2.9169967398677641E-3</v>
      </c>
      <c r="M31" s="42">
        <v>0.80508560290984799</v>
      </c>
      <c r="N31" s="43">
        <v>0.87837859723305201</v>
      </c>
      <c r="O31" s="34">
        <f t="shared" si="3"/>
        <v>2.9279286574435065E-3</v>
      </c>
      <c r="Q31" s="42"/>
      <c r="R31" s="42"/>
      <c r="S31" s="34" t="str">
        <f t="shared" si="4"/>
        <v/>
      </c>
    </row>
    <row r="32" spans="1:19" x14ac:dyDescent="0.25">
      <c r="A32" s="42">
        <v>0.71485139130636899</v>
      </c>
      <c r="B32" s="43">
        <v>0.269153926092007</v>
      </c>
      <c r="C32" s="34">
        <f t="shared" si="0"/>
        <v>3.3644240761500875E-3</v>
      </c>
      <c r="E32" s="42">
        <v>0.751986788818233</v>
      </c>
      <c r="F32" s="43">
        <v>0.44559741845893103</v>
      </c>
      <c r="G32" s="34">
        <f t="shared" si="1"/>
        <v>2.9706494563928737E-3</v>
      </c>
      <c r="I32" s="42">
        <v>0.84342301257222096</v>
      </c>
      <c r="J32" s="43">
        <v>0.73171532885453705</v>
      </c>
      <c r="K32" s="34">
        <f t="shared" si="2"/>
        <v>2.9268613154181484E-3</v>
      </c>
      <c r="M32" s="42">
        <v>0.84342301257222096</v>
      </c>
      <c r="N32" s="43">
        <v>0.88120717041521501</v>
      </c>
      <c r="O32" s="34">
        <f t="shared" si="3"/>
        <v>2.9373572347173834E-3</v>
      </c>
      <c r="Q32" s="42"/>
      <c r="R32" s="42"/>
      <c r="S32" s="34" t="str">
        <f t="shared" si="4"/>
        <v/>
      </c>
    </row>
    <row r="33" spans="1:19" x14ac:dyDescent="0.25">
      <c r="A33" s="42">
        <v>0.74734463636574999</v>
      </c>
      <c r="B33" s="43">
        <v>0.26924333992796201</v>
      </c>
      <c r="C33" s="34">
        <f t="shared" si="0"/>
        <v>3.3655417490995251E-3</v>
      </c>
      <c r="E33" s="42">
        <v>0.78616800649178897</v>
      </c>
      <c r="F33" s="43">
        <v>0.445996021871572</v>
      </c>
      <c r="G33" s="34">
        <f t="shared" si="1"/>
        <v>2.9733068124771465E-3</v>
      </c>
      <c r="I33" s="42">
        <v>0.88176042223459505</v>
      </c>
      <c r="J33" s="43">
        <v>0.73466580429088002</v>
      </c>
      <c r="K33" s="34">
        <f t="shared" si="2"/>
        <v>2.93866321716352E-3</v>
      </c>
      <c r="M33" s="42">
        <v>0.88176042223459505</v>
      </c>
      <c r="N33" s="43">
        <v>0.88452004884062896</v>
      </c>
      <c r="O33" s="34">
        <f t="shared" si="3"/>
        <v>2.9484001628020963E-3</v>
      </c>
      <c r="Q33" s="42"/>
      <c r="R33" s="42"/>
      <c r="S33" s="34" t="str">
        <f t="shared" si="4"/>
        <v/>
      </c>
    </row>
    <row r="34" spans="1:19" x14ac:dyDescent="0.25">
      <c r="A34" s="42">
        <v>0.77983788142513</v>
      </c>
      <c r="B34" s="43">
        <v>0.27035450673121703</v>
      </c>
      <c r="C34" s="34">
        <f t="shared" si="0"/>
        <v>3.3794313341402129E-3</v>
      </c>
      <c r="E34" s="42">
        <v>0.82034922416534495</v>
      </c>
      <c r="F34" s="43">
        <v>0.44586184209357399</v>
      </c>
      <c r="G34" s="34">
        <f t="shared" si="1"/>
        <v>2.9724122806238265E-3</v>
      </c>
      <c r="I34" s="42">
        <v>0.92009783189696903</v>
      </c>
      <c r="J34" s="43">
        <v>0.73776952137979102</v>
      </c>
      <c r="K34" s="34">
        <f t="shared" si="2"/>
        <v>2.951078085519164E-3</v>
      </c>
      <c r="M34" s="42">
        <v>0.92009783189696903</v>
      </c>
      <c r="N34" s="43">
        <v>0.88797706882663896</v>
      </c>
      <c r="O34" s="34">
        <f t="shared" si="3"/>
        <v>2.959923562755463E-3</v>
      </c>
      <c r="Q34" s="42"/>
      <c r="R34" s="42"/>
      <c r="S34" s="34" t="str">
        <f t="shared" si="4"/>
        <v/>
      </c>
    </row>
    <row r="35" spans="1:19" x14ac:dyDescent="0.25">
      <c r="A35" s="42">
        <v>0.812331126484511</v>
      </c>
      <c r="B35" s="43">
        <v>0.26987798796265899</v>
      </c>
      <c r="C35" s="34">
        <f t="shared" si="0"/>
        <v>3.3734748495332376E-3</v>
      </c>
      <c r="E35" s="42">
        <v>0.85453044183890103</v>
      </c>
      <c r="F35" s="43">
        <v>0.44655129412038203</v>
      </c>
      <c r="G35" s="34">
        <f t="shared" si="1"/>
        <v>2.9770086274692135E-3</v>
      </c>
      <c r="I35" s="42">
        <v>0.95843524155934201</v>
      </c>
      <c r="J35" s="43">
        <v>0.74073227580086098</v>
      </c>
      <c r="K35" s="34">
        <f t="shared" si="2"/>
        <v>2.9629291032034441E-3</v>
      </c>
      <c r="M35" s="42">
        <v>0.95843524155934201</v>
      </c>
      <c r="N35" s="43">
        <v>0.89119022886895705</v>
      </c>
      <c r="O35" s="34">
        <f t="shared" si="3"/>
        <v>2.9706340962298568E-3</v>
      </c>
      <c r="Q35" s="42"/>
      <c r="R35" s="42"/>
      <c r="S35" s="34" t="str">
        <f t="shared" si="4"/>
        <v/>
      </c>
    </row>
    <row r="36" spans="1:19" x14ac:dyDescent="0.25">
      <c r="A36" s="42">
        <v>0.84482437154389101</v>
      </c>
      <c r="B36" s="43">
        <v>0.27014494833844299</v>
      </c>
      <c r="C36" s="34">
        <f t="shared" si="0"/>
        <v>3.3768118542305374E-3</v>
      </c>
      <c r="E36" s="42">
        <v>0.88871165951245701</v>
      </c>
      <c r="F36" s="43">
        <v>0.44834237281873601</v>
      </c>
      <c r="G36" s="34">
        <f t="shared" si="1"/>
        <v>2.9889491521249067E-3</v>
      </c>
      <c r="I36" s="42">
        <v>0.99677265122171599</v>
      </c>
      <c r="J36" s="43">
        <v>0.74238311808026303</v>
      </c>
      <c r="K36" s="34">
        <f t="shared" si="2"/>
        <v>2.969532472321052E-3</v>
      </c>
      <c r="M36" s="42">
        <v>0.99677265122171599</v>
      </c>
      <c r="N36" s="43">
        <v>0.89316554477544197</v>
      </c>
      <c r="O36" s="34">
        <f t="shared" si="3"/>
        <v>2.9772184825848065E-3</v>
      </c>
      <c r="Q36" s="42"/>
      <c r="R36" s="42"/>
      <c r="S36" s="34" t="str">
        <f t="shared" si="4"/>
        <v/>
      </c>
    </row>
    <row r="37" spans="1:19" x14ac:dyDescent="0.25">
      <c r="A37" s="42">
        <v>0.87731761660327101</v>
      </c>
      <c r="B37" s="43">
        <v>0.268907175034307</v>
      </c>
      <c r="C37" s="34">
        <f t="shared" si="0"/>
        <v>3.3613396879288377E-3</v>
      </c>
      <c r="E37" s="42">
        <v>0.92289287718601298</v>
      </c>
      <c r="F37" s="43">
        <v>0.45096281752150102</v>
      </c>
      <c r="G37" s="34">
        <f t="shared" si="1"/>
        <v>3.0064187834766736E-3</v>
      </c>
      <c r="I37" s="42">
        <v>1.03511006088409</v>
      </c>
      <c r="J37" s="43">
        <v>0.74434809981192096</v>
      </c>
      <c r="K37" s="34">
        <f t="shared" si="2"/>
        <v>2.9773923992476837E-3</v>
      </c>
      <c r="M37" s="42">
        <v>1.03511006088409</v>
      </c>
      <c r="N37" s="43">
        <v>0.89545096765870202</v>
      </c>
      <c r="O37" s="34">
        <f t="shared" si="3"/>
        <v>2.9848365588623399E-3</v>
      </c>
      <c r="Q37" s="42"/>
      <c r="R37" s="42"/>
      <c r="S37" s="34" t="str">
        <f t="shared" si="4"/>
        <v/>
      </c>
    </row>
    <row r="38" spans="1:19" x14ac:dyDescent="0.25">
      <c r="A38" s="42">
        <v>0.90981086166265202</v>
      </c>
      <c r="B38" s="43">
        <v>0.26487498563905398</v>
      </c>
      <c r="C38" s="34">
        <f t="shared" si="0"/>
        <v>3.310937320488175E-3</v>
      </c>
      <c r="E38" s="42">
        <v>0.95707409485956896</v>
      </c>
      <c r="F38" s="43">
        <v>0.45091904330112997</v>
      </c>
      <c r="G38" s="34">
        <f t="shared" si="1"/>
        <v>3.0061269553408663E-3</v>
      </c>
      <c r="I38" s="42">
        <v>1.0734474705464601</v>
      </c>
      <c r="J38" s="43">
        <v>0.746040600863345</v>
      </c>
      <c r="K38" s="34">
        <f t="shared" si="2"/>
        <v>2.9841624034533799E-3</v>
      </c>
      <c r="M38" s="42">
        <v>1.0734474705464601</v>
      </c>
      <c r="N38" s="43">
        <v>0.89741947982368397</v>
      </c>
      <c r="O38" s="34">
        <f t="shared" si="3"/>
        <v>2.9913982660789468E-3</v>
      </c>
      <c r="Q38" s="42"/>
      <c r="R38" s="42"/>
      <c r="S38" s="34" t="str">
        <f t="shared" si="4"/>
        <v/>
      </c>
    </row>
    <row r="39" spans="1:19" x14ac:dyDescent="0.25">
      <c r="A39" s="42">
        <v>0.94230410672203202</v>
      </c>
      <c r="B39" s="43">
        <v>0.26198966628952902</v>
      </c>
      <c r="C39" s="34">
        <f t="shared" si="0"/>
        <v>3.2748708286191126E-3</v>
      </c>
      <c r="E39" s="42">
        <v>0.99125531253312504</v>
      </c>
      <c r="F39" s="43">
        <v>0.45113991816177401</v>
      </c>
      <c r="G39" s="34">
        <f t="shared" si="1"/>
        <v>3.0075994544118269E-3</v>
      </c>
      <c r="I39" s="42">
        <v>1.1117848802088399</v>
      </c>
      <c r="J39" s="43">
        <v>0.74734033592248905</v>
      </c>
      <c r="K39" s="34">
        <f t="shared" si="2"/>
        <v>2.9893613436899561E-3</v>
      </c>
      <c r="M39" s="42">
        <v>1.1117848802088399</v>
      </c>
      <c r="N39" s="43">
        <v>0.89889309965685604</v>
      </c>
      <c r="O39" s="34">
        <f t="shared" si="3"/>
        <v>2.9963103321895201E-3</v>
      </c>
      <c r="Q39" s="42"/>
      <c r="R39" s="42"/>
      <c r="S39" s="34" t="str">
        <f t="shared" si="4"/>
        <v/>
      </c>
    </row>
    <row r="40" spans="1:19" x14ac:dyDescent="0.25">
      <c r="A40" s="42">
        <v>0.97479735178141302</v>
      </c>
      <c r="B40" s="43">
        <v>0.25831075110066998</v>
      </c>
      <c r="C40" s="34">
        <f t="shared" si="0"/>
        <v>3.2288843887583749E-3</v>
      </c>
      <c r="E40" s="42">
        <v>1.0254365302066799</v>
      </c>
      <c r="F40" s="43">
        <v>0.45179199218356703</v>
      </c>
      <c r="G40" s="34">
        <f t="shared" si="1"/>
        <v>3.0119466145571137E-3</v>
      </c>
      <c r="I40" s="42">
        <v>1.15012228987121</v>
      </c>
      <c r="J40" s="43">
        <v>0.74695329555130396</v>
      </c>
      <c r="K40" s="34">
        <f t="shared" si="2"/>
        <v>2.9878131822052159E-3</v>
      </c>
      <c r="M40" s="42">
        <v>1.15012228987121</v>
      </c>
      <c r="N40" s="43">
        <v>0.89967706466369901</v>
      </c>
      <c r="O40" s="34">
        <f t="shared" si="3"/>
        <v>2.9989235488789966E-3</v>
      </c>
      <c r="Q40" s="42"/>
      <c r="R40" s="42"/>
      <c r="S40" s="34" t="str">
        <f t="shared" si="4"/>
        <v/>
      </c>
    </row>
    <row r="41" spans="1:19" x14ac:dyDescent="0.25">
      <c r="A41" s="42">
        <v>1.0072905968407899</v>
      </c>
      <c r="B41" s="43">
        <v>0.25480264633967298</v>
      </c>
      <c r="C41" s="34">
        <f t="shared" si="0"/>
        <v>3.1850330792459122E-3</v>
      </c>
      <c r="E41" s="42">
        <v>1.05961774788024</v>
      </c>
      <c r="F41" s="43">
        <v>0.45047444359474698</v>
      </c>
      <c r="G41" s="34">
        <f t="shared" si="1"/>
        <v>3.0031629572983133E-3</v>
      </c>
      <c r="I41" s="42">
        <v>1.1884596995335801</v>
      </c>
      <c r="J41" s="43">
        <v>0.74622848926347896</v>
      </c>
      <c r="K41" s="34">
        <f t="shared" si="2"/>
        <v>2.9849139570539158E-3</v>
      </c>
      <c r="M41" s="42">
        <v>1.1884596995335801</v>
      </c>
      <c r="N41" s="43">
        <v>0.90006708910839395</v>
      </c>
      <c r="O41" s="34">
        <f t="shared" si="3"/>
        <v>3.0002236303613133E-3</v>
      </c>
      <c r="Q41" s="42"/>
      <c r="R41" s="42"/>
      <c r="S41" s="34" t="str">
        <f t="shared" si="4"/>
        <v/>
      </c>
    </row>
    <row r="42" spans="1:19" x14ac:dyDescent="0.25">
      <c r="A42" s="42">
        <v>1.0397838419001699</v>
      </c>
      <c r="B42" s="43">
        <v>0.25203126572770701</v>
      </c>
      <c r="C42" s="34">
        <f t="shared" si="0"/>
        <v>3.1503908215963377E-3</v>
      </c>
      <c r="E42" s="42">
        <v>1.0937989655537901</v>
      </c>
      <c r="F42" s="43">
        <v>0.44644275815352003</v>
      </c>
      <c r="G42" s="34">
        <f t="shared" si="1"/>
        <v>2.9762850543568003E-3</v>
      </c>
      <c r="I42" s="42">
        <v>1.22679710919596</v>
      </c>
      <c r="J42" s="43">
        <v>0.74538178293494906</v>
      </c>
      <c r="K42" s="34">
        <f t="shared" si="2"/>
        <v>2.981527131739796E-3</v>
      </c>
      <c r="M42" s="42">
        <v>1.22679710919596</v>
      </c>
      <c r="N42" s="43">
        <v>0.90028243115747797</v>
      </c>
      <c r="O42" s="34">
        <f t="shared" si="3"/>
        <v>3.0009414371915933E-3</v>
      </c>
      <c r="Q42" s="42"/>
      <c r="R42" s="42"/>
      <c r="S42" s="34" t="str">
        <f t="shared" si="4"/>
        <v/>
      </c>
    </row>
    <row r="43" spans="1:19" x14ac:dyDescent="0.25">
      <c r="A43" s="42">
        <v>1.0722770869595499</v>
      </c>
      <c r="B43" s="43">
        <v>0.24998310527453099</v>
      </c>
      <c r="C43" s="34">
        <f t="shared" si="0"/>
        <v>3.1247888159316372E-3</v>
      </c>
      <c r="E43" s="42">
        <v>1.1279801832273499</v>
      </c>
      <c r="F43" s="43">
        <v>0.441799136213615</v>
      </c>
      <c r="G43" s="34">
        <f t="shared" si="1"/>
        <v>2.9453275747574332E-3</v>
      </c>
      <c r="I43" s="42">
        <v>1.2651345188583301</v>
      </c>
      <c r="J43" s="43">
        <v>0.74424504724934404</v>
      </c>
      <c r="K43" s="34">
        <f t="shared" si="2"/>
        <v>2.9769801889973761E-3</v>
      </c>
      <c r="M43" s="42">
        <v>1.2651345188583301</v>
      </c>
      <c r="N43" s="43">
        <v>0.90011934214821498</v>
      </c>
      <c r="O43" s="34">
        <f t="shared" si="3"/>
        <v>3.0003978071607164E-3</v>
      </c>
      <c r="Q43" s="42"/>
      <c r="R43" s="42"/>
      <c r="S43" s="34" t="str">
        <f t="shared" si="4"/>
        <v/>
      </c>
    </row>
    <row r="44" spans="1:19" x14ac:dyDescent="0.25">
      <c r="A44" s="42">
        <v>1.1047703320189299</v>
      </c>
      <c r="B44" s="43">
        <v>0.24866985234297001</v>
      </c>
      <c r="C44" s="34">
        <f t="shared" si="0"/>
        <v>3.108373154287125E-3</v>
      </c>
      <c r="E44" s="42">
        <v>1.16216140090091</v>
      </c>
      <c r="F44" s="43">
        <v>0.43782794613221698</v>
      </c>
      <c r="G44" s="34">
        <f t="shared" si="1"/>
        <v>2.91885297421478E-3</v>
      </c>
      <c r="I44" s="42">
        <v>1.3034719285207099</v>
      </c>
      <c r="J44" s="43">
        <v>0.74187401380090101</v>
      </c>
      <c r="K44" s="34">
        <f t="shared" si="2"/>
        <v>2.9674960552036039E-3</v>
      </c>
      <c r="M44" s="42">
        <v>1.3034719285207099</v>
      </c>
      <c r="N44" s="43">
        <v>0.89854317458255395</v>
      </c>
      <c r="O44" s="34">
        <f t="shared" si="3"/>
        <v>2.9951439152751799E-3</v>
      </c>
      <c r="Q44" s="42"/>
      <c r="R44" s="42"/>
      <c r="S44" s="34" t="str">
        <f t="shared" si="4"/>
        <v/>
      </c>
    </row>
    <row r="45" spans="1:19" x14ac:dyDescent="0.25">
      <c r="A45" s="42">
        <v>1.1372635770783099</v>
      </c>
      <c r="B45" s="43">
        <v>0.247811330700519</v>
      </c>
      <c r="C45" s="34">
        <f t="shared" si="0"/>
        <v>3.0976416337564873E-3</v>
      </c>
      <c r="E45" s="42">
        <v>1.1963426185744599</v>
      </c>
      <c r="F45" s="43">
        <v>0.43446997304144003</v>
      </c>
      <c r="G45" s="34">
        <f t="shared" si="1"/>
        <v>2.8964664869429333E-3</v>
      </c>
      <c r="I45" s="42">
        <v>1.34180933818308</v>
      </c>
      <c r="J45" s="43">
        <v>0.73921279167755405</v>
      </c>
      <c r="K45" s="34">
        <f t="shared" si="2"/>
        <v>2.9568511667102163E-3</v>
      </c>
      <c r="M45" s="42">
        <v>1.34180933818308</v>
      </c>
      <c r="N45" s="43">
        <v>0.89663675066126702</v>
      </c>
      <c r="O45" s="34">
        <f t="shared" si="3"/>
        <v>2.9887891688708899E-3</v>
      </c>
      <c r="Q45" s="42"/>
      <c r="R45" s="42"/>
      <c r="S45" s="34" t="str">
        <f t="shared" si="4"/>
        <v/>
      </c>
    </row>
    <row r="46" spans="1:19" x14ac:dyDescent="0.25">
      <c r="A46" s="42">
        <v>1.1697568221376999</v>
      </c>
      <c r="B46" s="43">
        <v>0.24334729264643501</v>
      </c>
      <c r="C46" s="34">
        <f t="shared" si="0"/>
        <v>3.0418411580804376E-3</v>
      </c>
      <c r="E46" s="42">
        <v>1.23052383624802</v>
      </c>
      <c r="F46" s="43">
        <v>0.43182771886767002</v>
      </c>
      <c r="G46" s="34">
        <f t="shared" si="1"/>
        <v>2.8788514591178002E-3</v>
      </c>
      <c r="I46" s="42">
        <v>1.3801467478454501</v>
      </c>
      <c r="J46" s="43">
        <v>0.73626180166866495</v>
      </c>
      <c r="K46" s="34">
        <f t="shared" si="2"/>
        <v>2.9450472066746597E-3</v>
      </c>
      <c r="M46" s="42">
        <v>1.3801467478454501</v>
      </c>
      <c r="N46" s="43">
        <v>0.89440011455417701</v>
      </c>
      <c r="O46" s="34">
        <f t="shared" si="3"/>
        <v>2.9813337151805902E-3</v>
      </c>
      <c r="Q46" s="42"/>
      <c r="R46" s="42"/>
      <c r="S46" s="34" t="str">
        <f t="shared" si="4"/>
        <v/>
      </c>
    </row>
    <row r="47" spans="1:19" x14ac:dyDescent="0.25">
      <c r="A47" s="42">
        <v>1.2022500671970799</v>
      </c>
      <c r="B47" s="43">
        <v>0.23901078095797601</v>
      </c>
      <c r="C47" s="34">
        <f t="shared" si="0"/>
        <v>2.9876347619747002E-3</v>
      </c>
      <c r="E47" s="42">
        <v>1.2647050539215701</v>
      </c>
      <c r="F47" s="43">
        <v>0.42849818679499302</v>
      </c>
      <c r="G47" s="34">
        <f t="shared" si="1"/>
        <v>2.8566545786332868E-3</v>
      </c>
      <c r="I47" s="42">
        <v>1.41848415750783</v>
      </c>
      <c r="J47" s="43">
        <v>0.73302086195807203</v>
      </c>
      <c r="K47" s="34">
        <f t="shared" si="2"/>
        <v>2.932083447832288E-3</v>
      </c>
      <c r="M47" s="42">
        <v>1.41848415750783</v>
      </c>
      <c r="N47" s="43">
        <v>0.89182314039807398</v>
      </c>
      <c r="O47" s="34">
        <f t="shared" si="3"/>
        <v>2.9727438013269132E-3</v>
      </c>
      <c r="Q47" s="42"/>
      <c r="R47" s="42"/>
      <c r="S47" s="34" t="str">
        <f t="shared" si="4"/>
        <v/>
      </c>
    </row>
    <row r="48" spans="1:19" x14ac:dyDescent="0.25">
      <c r="A48" s="42">
        <v>1.2347433122564599</v>
      </c>
      <c r="B48" s="43">
        <v>0.235242508236154</v>
      </c>
      <c r="C48" s="34">
        <f t="shared" si="0"/>
        <v>2.9405313529519252E-3</v>
      </c>
      <c r="E48" s="42">
        <v>1.2988862715951299</v>
      </c>
      <c r="F48" s="43">
        <v>0.42504847252662098</v>
      </c>
      <c r="G48" s="34">
        <f t="shared" si="1"/>
        <v>2.8336564835108064E-3</v>
      </c>
      <c r="I48" s="42">
        <v>1.4568215671702001</v>
      </c>
      <c r="J48" s="43">
        <v>0.728996381298052</v>
      </c>
      <c r="K48" s="34">
        <f t="shared" si="2"/>
        <v>2.9159855251922081E-3</v>
      </c>
      <c r="M48" s="42">
        <v>1.4568215671702001</v>
      </c>
      <c r="N48" s="43">
        <v>0.88799345870565505</v>
      </c>
      <c r="O48" s="34">
        <f t="shared" si="3"/>
        <v>2.9599781956855167E-3</v>
      </c>
      <c r="Q48" s="42"/>
      <c r="R48" s="42"/>
      <c r="S48" s="34" t="str">
        <f t="shared" si="4"/>
        <v/>
      </c>
    </row>
    <row r="49" spans="1:19" x14ac:dyDescent="0.25">
      <c r="A49" s="42">
        <v>1.26723655731584</v>
      </c>
      <c r="B49" s="43">
        <v>0.232031921686669</v>
      </c>
      <c r="C49" s="34">
        <f t="shared" si="0"/>
        <v>2.9003990210833626E-3</v>
      </c>
      <c r="E49" s="42">
        <v>1.33306748926869</v>
      </c>
      <c r="F49" s="43">
        <v>0.421865957359915</v>
      </c>
      <c r="G49" s="34">
        <f t="shared" si="1"/>
        <v>2.8124397157327668E-3</v>
      </c>
      <c r="I49" s="42">
        <v>1.4951589768325699</v>
      </c>
      <c r="J49" s="43">
        <v>0.72477041077263304</v>
      </c>
      <c r="K49" s="34">
        <f t="shared" si="2"/>
        <v>2.8990816430905322E-3</v>
      </c>
      <c r="M49" s="42">
        <v>1.4951589768325699</v>
      </c>
      <c r="N49" s="43">
        <v>0.88395591403013796</v>
      </c>
      <c r="O49" s="34">
        <f t="shared" si="3"/>
        <v>2.9465197134337933E-3</v>
      </c>
      <c r="Q49" s="42"/>
      <c r="R49" s="42"/>
      <c r="S49" s="34" t="str">
        <f t="shared" si="4"/>
        <v/>
      </c>
    </row>
    <row r="50" spans="1:19" x14ac:dyDescent="0.25">
      <c r="A50" s="42">
        <v>1.29972980237522</v>
      </c>
      <c r="B50" s="43">
        <v>0.22943039125231299</v>
      </c>
      <c r="C50" s="34">
        <f t="shared" si="0"/>
        <v>2.8678798906539124E-3</v>
      </c>
      <c r="E50" s="42">
        <v>1.3672487069422401</v>
      </c>
      <c r="F50" s="43">
        <v>0.41895257478147901</v>
      </c>
      <c r="G50" s="34">
        <f t="shared" si="1"/>
        <v>2.7930171652098602E-3</v>
      </c>
      <c r="I50" s="42">
        <v>1.53349638649495</v>
      </c>
      <c r="J50" s="43">
        <v>0.720343080677325</v>
      </c>
      <c r="K50" s="34">
        <f t="shared" si="2"/>
        <v>2.8813723227092999E-3</v>
      </c>
      <c r="M50" s="42">
        <v>1.53349638649495</v>
      </c>
      <c r="N50" s="43">
        <v>0.87971053934496501</v>
      </c>
      <c r="O50" s="34">
        <f t="shared" si="3"/>
        <v>2.9323684644832165E-3</v>
      </c>
      <c r="Q50" s="42"/>
      <c r="R50" s="42"/>
      <c r="S50" s="34" t="str">
        <f t="shared" si="4"/>
        <v/>
      </c>
    </row>
    <row r="51" spans="1:19" x14ac:dyDescent="0.25">
      <c r="A51" s="42">
        <v>1.3322230474346</v>
      </c>
      <c r="B51" s="43">
        <v>0.227172727715821</v>
      </c>
      <c r="C51" s="34">
        <f t="shared" si="0"/>
        <v>2.8396590964477626E-3</v>
      </c>
      <c r="E51" s="42">
        <v>1.4014299246158</v>
      </c>
      <c r="F51" s="43">
        <v>0.41618022423339202</v>
      </c>
      <c r="G51" s="34">
        <f t="shared" si="1"/>
        <v>2.7745348282226133E-3</v>
      </c>
      <c r="I51" s="42">
        <v>1.5718337961573201</v>
      </c>
      <c r="J51" s="43">
        <v>0.71571048511701796</v>
      </c>
      <c r="K51" s="34">
        <f t="shared" si="2"/>
        <v>2.862841940468072E-3</v>
      </c>
      <c r="M51" s="42">
        <v>1.5718337961573201</v>
      </c>
      <c r="N51" s="43">
        <v>0.875242186573012</v>
      </c>
      <c r="O51" s="34">
        <f t="shared" si="3"/>
        <v>2.9174739552433734E-3</v>
      </c>
      <c r="Q51" s="42"/>
      <c r="R51" s="42"/>
      <c r="S51" s="34" t="str">
        <f t="shared" si="4"/>
        <v/>
      </c>
    </row>
    <row r="52" spans="1:19" x14ac:dyDescent="0.25">
      <c r="A52" s="42">
        <v>1.36471629249398</v>
      </c>
      <c r="B52" s="43">
        <v>0.224086577871461</v>
      </c>
      <c r="C52" s="34">
        <f t="shared" si="0"/>
        <v>2.8010822233932625E-3</v>
      </c>
      <c r="E52" s="42">
        <v>1.4356111422893501</v>
      </c>
      <c r="F52" s="43">
        <v>0.41267275959508998</v>
      </c>
      <c r="G52" s="34">
        <f t="shared" si="1"/>
        <v>2.751151730633933E-3</v>
      </c>
      <c r="I52" s="42">
        <v>1.6101712058197</v>
      </c>
      <c r="J52" s="43">
        <v>0.71034458195577899</v>
      </c>
      <c r="K52" s="34">
        <f t="shared" si="2"/>
        <v>2.8413783278231157E-3</v>
      </c>
      <c r="M52" s="42">
        <v>1.6101712058197</v>
      </c>
      <c r="N52" s="43">
        <v>0.86979634553121599</v>
      </c>
      <c r="O52" s="34">
        <f t="shared" si="3"/>
        <v>2.89932115177072E-3</v>
      </c>
      <c r="Q52" s="42"/>
      <c r="R52" s="42"/>
      <c r="S52" s="34" t="str">
        <f t="shared" si="4"/>
        <v/>
      </c>
    </row>
    <row r="53" spans="1:19" x14ac:dyDescent="0.25">
      <c r="A53" s="42">
        <v>1.39720953755336</v>
      </c>
      <c r="B53" s="43">
        <v>0.22054183556656301</v>
      </c>
      <c r="C53" s="34">
        <f t="shared" si="0"/>
        <v>2.7567729445820378E-3</v>
      </c>
      <c r="E53" s="42">
        <v>1.4697923599629099</v>
      </c>
      <c r="F53" s="43">
        <v>0.409182745848718</v>
      </c>
      <c r="G53" s="34">
        <f t="shared" si="1"/>
        <v>2.7278849723247865E-3</v>
      </c>
      <c r="I53" s="42">
        <v>1.6485086154820701</v>
      </c>
      <c r="J53" s="43">
        <v>0.70427649316607499</v>
      </c>
      <c r="K53" s="34">
        <f t="shared" si="2"/>
        <v>2.8171059726643001E-3</v>
      </c>
      <c r="M53" s="42">
        <v>1.6485086154820701</v>
      </c>
      <c r="N53" s="43">
        <v>0.86374190204573997</v>
      </c>
      <c r="O53" s="34">
        <f t="shared" si="3"/>
        <v>2.8791396734857999E-3</v>
      </c>
      <c r="Q53" s="42"/>
      <c r="R53" s="42"/>
      <c r="S53" s="34" t="str">
        <f t="shared" si="4"/>
        <v/>
      </c>
    </row>
    <row r="54" spans="1:19" x14ac:dyDescent="0.25">
      <c r="A54" s="42">
        <v>1.42970278261274</v>
      </c>
      <c r="B54" s="43">
        <v>0.216804990414528</v>
      </c>
      <c r="C54" s="34">
        <f t="shared" si="0"/>
        <v>2.7100623801815998E-3</v>
      </c>
      <c r="E54" s="42">
        <v>1.50397357763647</v>
      </c>
      <c r="F54" s="43">
        <v>0.40580110019997201</v>
      </c>
      <c r="G54" s="34">
        <f t="shared" si="1"/>
        <v>2.7053406679998135E-3</v>
      </c>
      <c r="I54" s="42">
        <v>1.6868460251444399</v>
      </c>
      <c r="J54" s="43">
        <v>0.698206901629848</v>
      </c>
      <c r="K54" s="34">
        <f t="shared" si="2"/>
        <v>2.7928276065193919E-3</v>
      </c>
      <c r="M54" s="42">
        <v>1.6868460251444399</v>
      </c>
      <c r="N54" s="43">
        <v>0.85767772316635005</v>
      </c>
      <c r="O54" s="34">
        <f t="shared" si="3"/>
        <v>2.8589257438878333E-3</v>
      </c>
      <c r="Q54" s="42"/>
      <c r="R54" s="42"/>
      <c r="S54" s="34" t="str">
        <f t="shared" si="4"/>
        <v/>
      </c>
    </row>
    <row r="55" spans="1:19" x14ac:dyDescent="0.25">
      <c r="A55" s="42">
        <v>1.46219602767212</v>
      </c>
      <c r="B55" s="43">
        <v>0.21351532037969201</v>
      </c>
      <c r="C55" s="34">
        <f t="shared" si="0"/>
        <v>2.66894150474615E-3</v>
      </c>
      <c r="E55" s="42">
        <v>1.5381547953100201</v>
      </c>
      <c r="F55" s="43">
        <v>0.40243115544484998</v>
      </c>
      <c r="G55" s="34">
        <f t="shared" si="1"/>
        <v>2.682874369632333E-3</v>
      </c>
      <c r="I55" s="42">
        <v>1.72518343480682</v>
      </c>
      <c r="J55" s="43">
        <v>0.69213524241493396</v>
      </c>
      <c r="K55" s="34">
        <f t="shared" si="2"/>
        <v>2.7685409696597356E-3</v>
      </c>
      <c r="M55" s="42">
        <v>1.72518343480682</v>
      </c>
      <c r="N55" s="43">
        <v>0.85159303110964701</v>
      </c>
      <c r="O55" s="34">
        <f t="shared" si="3"/>
        <v>2.8386434370321566E-3</v>
      </c>
      <c r="Q55" s="42"/>
      <c r="R55" s="42"/>
      <c r="S55" s="34" t="str">
        <f t="shared" si="4"/>
        <v/>
      </c>
    </row>
    <row r="56" spans="1:19" x14ac:dyDescent="0.25">
      <c r="A56" s="42">
        <v>1.4946892727315</v>
      </c>
      <c r="B56" s="43">
        <v>0.210730392518404</v>
      </c>
      <c r="C56" s="34">
        <f t="shared" si="0"/>
        <v>2.6341299064800501E-3</v>
      </c>
      <c r="E56" s="42">
        <v>1.5723360129835799</v>
      </c>
      <c r="F56" s="43">
        <v>0.39886136832299701</v>
      </c>
      <c r="G56" s="34">
        <f t="shared" si="1"/>
        <v>2.6590757888199801E-3</v>
      </c>
      <c r="I56" s="42">
        <v>1.7635208444691901</v>
      </c>
      <c r="J56" s="43">
        <v>0.68604920351384702</v>
      </c>
      <c r="K56" s="34">
        <f t="shared" si="2"/>
        <v>2.7441968140553882E-3</v>
      </c>
      <c r="M56" s="42">
        <v>1.7635208444691901</v>
      </c>
      <c r="N56" s="43">
        <v>0.84525994118213699</v>
      </c>
      <c r="O56" s="34">
        <f t="shared" si="3"/>
        <v>2.8175331372737901E-3</v>
      </c>
      <c r="Q56" s="42"/>
      <c r="R56" s="42"/>
      <c r="S56" s="34" t="str">
        <f t="shared" si="4"/>
        <v/>
      </c>
    </row>
    <row r="57" spans="1:19" x14ac:dyDescent="0.25">
      <c r="A57" s="42">
        <v>1.52718251779088</v>
      </c>
      <c r="B57" s="43">
        <v>0.208390260646478</v>
      </c>
      <c r="C57" s="34">
        <f t="shared" si="0"/>
        <v>2.6048782580809751E-3</v>
      </c>
      <c r="E57" s="42">
        <v>1.60651723065713</v>
      </c>
      <c r="F57" s="43">
        <v>0.39505470033601903</v>
      </c>
      <c r="G57" s="34">
        <f t="shared" si="1"/>
        <v>2.6336980022401268E-3</v>
      </c>
      <c r="I57" s="42">
        <v>1.80185825413156</v>
      </c>
      <c r="J57" s="43">
        <v>0.67996448327049397</v>
      </c>
      <c r="K57" s="34">
        <f t="shared" si="2"/>
        <v>2.7198579330819758E-3</v>
      </c>
      <c r="M57" s="42">
        <v>1.80185825413156</v>
      </c>
      <c r="N57" s="43">
        <v>0.83891476696549805</v>
      </c>
      <c r="O57" s="34">
        <f t="shared" si="3"/>
        <v>2.7963825565516603E-3</v>
      </c>
      <c r="Q57" s="42"/>
      <c r="R57" s="42"/>
      <c r="S57" s="34" t="str">
        <f t="shared" si="4"/>
        <v/>
      </c>
    </row>
    <row r="58" spans="1:19" x14ac:dyDescent="0.25">
      <c r="A58" s="42">
        <v>1.55967576285026</v>
      </c>
      <c r="B58" s="43">
        <v>0.20521550046145801</v>
      </c>
      <c r="C58" s="34">
        <f t="shared" si="0"/>
        <v>2.5651937557682252E-3</v>
      </c>
      <c r="E58" s="42">
        <v>1.6406984483306899</v>
      </c>
      <c r="F58" s="43">
        <v>0.39121092732497698</v>
      </c>
      <c r="G58" s="34">
        <f t="shared" si="1"/>
        <v>2.6080728488331799E-3</v>
      </c>
      <c r="I58" s="42">
        <v>1.8401956637939401</v>
      </c>
      <c r="J58" s="43">
        <v>0.67388395210486696</v>
      </c>
      <c r="K58" s="34">
        <f t="shared" si="2"/>
        <v>2.6955358084194679E-3</v>
      </c>
      <c r="M58" s="42">
        <v>1.8401956637939401</v>
      </c>
      <c r="N58" s="43">
        <v>0.83255202335012202</v>
      </c>
      <c r="O58" s="34">
        <f t="shared" si="3"/>
        <v>2.7751734111670732E-3</v>
      </c>
      <c r="Q58" s="42"/>
      <c r="R58" s="42"/>
      <c r="S58" s="34" t="str">
        <f t="shared" si="4"/>
        <v/>
      </c>
    </row>
    <row r="59" spans="1:19" x14ac:dyDescent="0.25">
      <c r="A59" s="42">
        <v>1.59216900790964</v>
      </c>
      <c r="B59" s="43">
        <v>0.202332367881945</v>
      </c>
      <c r="C59" s="34">
        <f t="shared" si="0"/>
        <v>2.5291545985243126E-3</v>
      </c>
      <c r="E59" s="42">
        <v>1.67487966600425</v>
      </c>
      <c r="F59" s="43">
        <v>0.38739626314240799</v>
      </c>
      <c r="G59" s="34">
        <f t="shared" si="1"/>
        <v>2.5826417542827202E-3</v>
      </c>
      <c r="I59" s="42">
        <v>1.8785330734563099</v>
      </c>
      <c r="J59" s="43">
        <v>0.66781142165871898</v>
      </c>
      <c r="K59" s="34">
        <f t="shared" si="2"/>
        <v>2.6712456866348757E-3</v>
      </c>
      <c r="M59" s="42">
        <v>1.8785330734563099</v>
      </c>
      <c r="N59" s="43">
        <v>0.82617929813291502</v>
      </c>
      <c r="O59" s="34">
        <f t="shared" si="3"/>
        <v>2.7539309937763836E-3</v>
      </c>
      <c r="Q59" s="42"/>
      <c r="R59" s="42"/>
      <c r="S59" s="34" t="str">
        <f t="shared" si="4"/>
        <v/>
      </c>
    </row>
    <row r="60" spans="1:19" x14ac:dyDescent="0.25">
      <c r="A60" s="42">
        <v>1.62466225296902</v>
      </c>
      <c r="B60" s="43">
        <v>0.19912073749665299</v>
      </c>
      <c r="C60" s="34">
        <f t="shared" si="0"/>
        <v>2.4890092187081622E-3</v>
      </c>
      <c r="E60" s="42">
        <v>1.7090608836778001</v>
      </c>
      <c r="F60" s="43">
        <v>0.38337089181386502</v>
      </c>
      <c r="G60" s="34">
        <f t="shared" si="1"/>
        <v>2.5558059454257667E-3</v>
      </c>
      <c r="I60" s="42">
        <v>1.91687048311868</v>
      </c>
      <c r="J60" s="43">
        <v>0.66187663485752402</v>
      </c>
      <c r="K60" s="34">
        <f t="shared" si="2"/>
        <v>2.6475065394300961E-3</v>
      </c>
      <c r="M60" s="42">
        <v>1.91687048311868</v>
      </c>
      <c r="N60" s="43">
        <v>0.81974103891629102</v>
      </c>
      <c r="O60" s="34">
        <f t="shared" si="3"/>
        <v>2.7324701297209699E-3</v>
      </c>
      <c r="Q60" s="42"/>
      <c r="R60" s="42"/>
      <c r="S60" s="34" t="str">
        <f t="shared" si="4"/>
        <v/>
      </c>
    </row>
    <row r="61" spans="1:19" x14ac:dyDescent="0.25">
      <c r="A61" s="42">
        <v>1.6571554980284</v>
      </c>
      <c r="B61" s="43">
        <v>0.19593644626068499</v>
      </c>
      <c r="C61" s="34">
        <f t="shared" si="0"/>
        <v>2.4492055782585624E-3</v>
      </c>
      <c r="E61" s="42">
        <v>1.7432421013513599</v>
      </c>
      <c r="F61" s="43">
        <v>0.37887647629864402</v>
      </c>
      <c r="G61" s="34">
        <f t="shared" si="1"/>
        <v>2.5258431753242935E-3</v>
      </c>
      <c r="I61" s="42">
        <v>1.9552078927810601</v>
      </c>
      <c r="J61" s="43">
        <v>0.65594267161270303</v>
      </c>
      <c r="K61" s="34">
        <f t="shared" si="2"/>
        <v>2.6237706864508121E-3</v>
      </c>
      <c r="M61" s="42">
        <v>1.9552078927810601</v>
      </c>
      <c r="N61" s="43">
        <v>0.81329705679407704</v>
      </c>
      <c r="O61" s="34">
        <f t="shared" si="3"/>
        <v>2.7109901893135903E-3</v>
      </c>
      <c r="Q61" s="42"/>
      <c r="R61" s="42"/>
      <c r="S61" s="34" t="str">
        <f t="shared" si="4"/>
        <v/>
      </c>
    </row>
    <row r="62" spans="1:19" x14ac:dyDescent="0.25">
      <c r="A62" s="42">
        <v>1.68964874308778</v>
      </c>
      <c r="B62" s="43">
        <v>0.193101030127205</v>
      </c>
      <c r="C62" s="34">
        <f t="shared" si="0"/>
        <v>2.4137628765900625E-3</v>
      </c>
      <c r="E62" s="42">
        <v>1.77742331902491</v>
      </c>
      <c r="F62" s="43">
        <v>0.37465660687763502</v>
      </c>
      <c r="G62" s="34">
        <f t="shared" si="1"/>
        <v>2.4977107125175669E-3</v>
      </c>
      <c r="I62" s="42">
        <v>1.99354530244343</v>
      </c>
      <c r="J62" s="43">
        <v>0.65000955001578498</v>
      </c>
      <c r="K62" s="34">
        <f t="shared" si="2"/>
        <v>2.6000382000631399E-3</v>
      </c>
      <c r="M62" s="42">
        <v>1.99354530244343</v>
      </c>
      <c r="N62" s="43">
        <v>0.80684762961617396</v>
      </c>
      <c r="O62" s="34">
        <f t="shared" si="3"/>
        <v>2.6894920987205798E-3</v>
      </c>
      <c r="Q62" s="42"/>
      <c r="R62" s="42"/>
      <c r="S62" s="34" t="str">
        <f t="shared" si="4"/>
        <v/>
      </c>
    </row>
    <row r="63" spans="1:19" x14ac:dyDescent="0.25">
      <c r="A63" s="42">
        <v>1.72214198814716</v>
      </c>
      <c r="B63" s="43">
        <v>0.190655471980365</v>
      </c>
      <c r="C63" s="34">
        <f t="shared" si="0"/>
        <v>2.3831933997545624E-3</v>
      </c>
      <c r="E63" s="42">
        <v>1.8116045366984701</v>
      </c>
      <c r="F63" s="43">
        <v>0.37051797855014501</v>
      </c>
      <c r="G63" s="34">
        <f t="shared" si="1"/>
        <v>2.4701198570009669E-3</v>
      </c>
      <c r="I63" s="42">
        <v>2.0318827121058098</v>
      </c>
      <c r="J63" s="43">
        <v>0.64409380765356306</v>
      </c>
      <c r="K63" s="34">
        <f t="shared" si="2"/>
        <v>2.5763752306142522E-3</v>
      </c>
      <c r="M63" s="42">
        <v>2.0318827121058098</v>
      </c>
      <c r="N63" s="43">
        <v>0.80040014833782602</v>
      </c>
      <c r="O63" s="34">
        <f t="shared" si="3"/>
        <v>2.6680004944594203E-3</v>
      </c>
      <c r="Q63" s="42"/>
      <c r="R63" s="42"/>
      <c r="S63" s="34" t="str">
        <f t="shared" si="4"/>
        <v/>
      </c>
    </row>
    <row r="64" spans="1:19" x14ac:dyDescent="0.25">
      <c r="A64" s="42">
        <v>1.75463523320654</v>
      </c>
      <c r="B64" s="43">
        <v>0.18796625585050999</v>
      </c>
      <c r="C64" s="34">
        <f t="shared" si="0"/>
        <v>2.3495781981313748E-3</v>
      </c>
      <c r="E64" s="42">
        <v>1.84578575437203</v>
      </c>
      <c r="F64" s="43">
        <v>0.36644375228307302</v>
      </c>
      <c r="G64" s="34">
        <f t="shared" si="1"/>
        <v>2.4429583485538202E-3</v>
      </c>
      <c r="I64" s="42">
        <v>2.0702201217681799</v>
      </c>
      <c r="J64" s="43">
        <v>0.63838611931733702</v>
      </c>
      <c r="K64" s="34">
        <f t="shared" si="2"/>
        <v>2.5535444772693482E-3</v>
      </c>
      <c r="M64" s="42">
        <v>2.0702201217681799</v>
      </c>
      <c r="N64" s="43">
        <v>0.79405326940528198</v>
      </c>
      <c r="O64" s="34">
        <f t="shared" si="3"/>
        <v>2.6468442313509399E-3</v>
      </c>
      <c r="Q64" s="42"/>
      <c r="R64" s="42"/>
      <c r="S64" s="34" t="str">
        <f t="shared" si="4"/>
        <v/>
      </c>
    </row>
    <row r="65" spans="1:19" x14ac:dyDescent="0.25">
      <c r="A65" s="42">
        <v>1.78712847826592</v>
      </c>
      <c r="B65" s="43">
        <v>0.18516022841397201</v>
      </c>
      <c r="C65" s="34">
        <f t="shared" si="0"/>
        <v>2.3145028551746502E-3</v>
      </c>
      <c r="E65" s="42">
        <v>1.8799669720455801</v>
      </c>
      <c r="F65" s="43">
        <v>0.36247056592401999</v>
      </c>
      <c r="G65" s="34">
        <f t="shared" si="1"/>
        <v>2.4164704394934668E-3</v>
      </c>
      <c r="I65" s="42">
        <v>2.10855753143055</v>
      </c>
      <c r="J65" s="43">
        <v>0.63267973750772599</v>
      </c>
      <c r="K65" s="34">
        <f t="shared" si="2"/>
        <v>2.5307189500309041E-3</v>
      </c>
      <c r="M65" s="42">
        <v>2.10855753143055</v>
      </c>
      <c r="N65" s="43">
        <v>0.78770529281192303</v>
      </c>
      <c r="O65" s="34">
        <f t="shared" si="3"/>
        <v>2.6256843093730767E-3</v>
      </c>
      <c r="Q65" s="42"/>
      <c r="R65" s="42"/>
      <c r="S65" s="34" t="str">
        <f t="shared" si="4"/>
        <v/>
      </c>
    </row>
    <row r="66" spans="1:19" x14ac:dyDescent="0.25">
      <c r="A66" s="42">
        <v>1.8196217233253</v>
      </c>
      <c r="B66" s="43">
        <v>0.18264621720659699</v>
      </c>
      <c r="C66" s="34">
        <f t="shared" si="0"/>
        <v>2.2830777150824625E-3</v>
      </c>
      <c r="E66" s="42">
        <v>1.9141481897191399</v>
      </c>
      <c r="F66" s="43">
        <v>0.35851568745083701</v>
      </c>
      <c r="G66" s="34">
        <f t="shared" si="1"/>
        <v>2.3901045830055801E-3</v>
      </c>
      <c r="I66" s="42">
        <v>2.1468949410929299</v>
      </c>
      <c r="J66" s="43">
        <v>0.62697467590211298</v>
      </c>
      <c r="K66" s="34">
        <f t="shared" si="2"/>
        <v>2.507898703608452E-3</v>
      </c>
      <c r="M66" s="42">
        <v>2.1468949410929299</v>
      </c>
      <c r="N66" s="43">
        <v>0.78135637991068696</v>
      </c>
      <c r="O66" s="34">
        <f t="shared" si="3"/>
        <v>2.6045212663689567E-3</v>
      </c>
      <c r="Q66" s="42"/>
      <c r="R66" s="42"/>
      <c r="S66" s="34" t="str">
        <f t="shared" si="4"/>
        <v/>
      </c>
    </row>
    <row r="67" spans="1:19" x14ac:dyDescent="0.25">
      <c r="A67" s="42">
        <v>1.85211496838468</v>
      </c>
      <c r="B67" s="43">
        <v>0.17964619299936799</v>
      </c>
      <c r="C67" s="34">
        <f t="shared" si="0"/>
        <v>2.2455774124920998E-3</v>
      </c>
      <c r="E67" s="42">
        <v>1.94832940739269</v>
      </c>
      <c r="F67" s="43">
        <v>0.354502528071167</v>
      </c>
      <c r="G67" s="34">
        <f t="shared" si="1"/>
        <v>2.3633501871411135E-3</v>
      </c>
      <c r="I67" s="42">
        <v>2.1852323507553</v>
      </c>
      <c r="J67" s="43">
        <v>0.62129262714536504</v>
      </c>
      <c r="K67" s="34">
        <f t="shared" si="2"/>
        <v>2.48517050858146E-3</v>
      </c>
      <c r="M67" s="42">
        <v>2.1852323507553</v>
      </c>
      <c r="N67" s="43">
        <v>0.775019939941894</v>
      </c>
      <c r="O67" s="34">
        <f t="shared" si="3"/>
        <v>2.5833997998063133E-3</v>
      </c>
      <c r="Q67" s="42"/>
      <c r="R67" s="42"/>
      <c r="S67" s="34" t="str">
        <f t="shared" si="4"/>
        <v/>
      </c>
    </row>
    <row r="68" spans="1:19" x14ac:dyDescent="0.25">
      <c r="A68" s="42">
        <v>1.88460821344406</v>
      </c>
      <c r="B68" s="43">
        <v>0.176922865657447</v>
      </c>
      <c r="C68" s="34">
        <f t="shared" si="0"/>
        <v>2.2115358207180874E-3</v>
      </c>
      <c r="E68" s="42">
        <v>1.9825106250662501</v>
      </c>
      <c r="F68" s="43">
        <v>0.35049701099135699</v>
      </c>
      <c r="G68" s="34">
        <f t="shared" si="1"/>
        <v>2.3366467399423799E-3</v>
      </c>
      <c r="I68" s="42">
        <v>2.2235697604176701</v>
      </c>
      <c r="J68" s="43">
        <v>0.61583181805556697</v>
      </c>
      <c r="K68" s="34">
        <f t="shared" si="2"/>
        <v>2.4633272722222677E-3</v>
      </c>
      <c r="M68" s="42">
        <v>2.2235697604176701</v>
      </c>
      <c r="N68" s="43">
        <v>0.76881762899711803</v>
      </c>
      <c r="O68" s="34">
        <f t="shared" si="3"/>
        <v>2.5627254299903936E-3</v>
      </c>
      <c r="Q68" s="42"/>
      <c r="R68" s="42"/>
      <c r="S68" s="34" t="str">
        <f t="shared" si="4"/>
        <v/>
      </c>
    </row>
    <row r="69" spans="1:19" x14ac:dyDescent="0.25">
      <c r="A69" s="42">
        <v>1.91710145850345</v>
      </c>
      <c r="B69" s="43">
        <v>0.174489046558639</v>
      </c>
      <c r="C69" s="34">
        <f t="shared" si="0"/>
        <v>2.1811130819829874E-3</v>
      </c>
      <c r="E69" s="42">
        <v>2.0166918427398102</v>
      </c>
      <c r="F69" s="43">
        <v>0.34650531274430102</v>
      </c>
      <c r="G69" s="34">
        <f t="shared" si="1"/>
        <v>2.31003541829534E-3</v>
      </c>
      <c r="I69" s="42">
        <v>2.2619071700800499</v>
      </c>
      <c r="J69" s="43">
        <v>0.61037269659955096</v>
      </c>
      <c r="K69" s="34">
        <f t="shared" si="2"/>
        <v>2.4414907863982037E-3</v>
      </c>
      <c r="M69" s="42">
        <v>2.2619071700800499</v>
      </c>
      <c r="N69" s="43">
        <v>0.76261405877838895</v>
      </c>
      <c r="O69" s="34">
        <f t="shared" si="3"/>
        <v>2.5420468625946299E-3</v>
      </c>
      <c r="Q69" s="42"/>
      <c r="R69" s="42"/>
      <c r="S69" s="34" t="str">
        <f t="shared" si="4"/>
        <v/>
      </c>
    </row>
    <row r="70" spans="1:19" x14ac:dyDescent="0.25">
      <c r="A70" s="42">
        <v>1.94959470356283</v>
      </c>
      <c r="B70" s="43">
        <v>0.17232687646494901</v>
      </c>
      <c r="C70" s="34">
        <f t="shared" si="0"/>
        <v>2.1540859558118628E-3</v>
      </c>
      <c r="E70" s="42">
        <v>2.0508730604133598</v>
      </c>
      <c r="F70" s="43">
        <v>0.34337852427356902</v>
      </c>
      <c r="G70" s="34">
        <f t="shared" si="1"/>
        <v>2.2891901618237935E-3</v>
      </c>
      <c r="I70" s="42">
        <v>2.30024457974242</v>
      </c>
      <c r="J70" s="43">
        <v>0.60492871776593105</v>
      </c>
      <c r="K70" s="34">
        <f t="shared" si="2"/>
        <v>2.4197148710637241E-3</v>
      </c>
      <c r="M70" s="42">
        <v>2.30024457974242</v>
      </c>
      <c r="N70" s="43">
        <v>0.756408954637799</v>
      </c>
      <c r="O70" s="34">
        <f t="shared" si="3"/>
        <v>2.5213631821259966E-3</v>
      </c>
      <c r="Q70" s="42"/>
      <c r="R70" s="42"/>
      <c r="S70" s="34" t="str">
        <f t="shared" si="4"/>
        <v/>
      </c>
    </row>
    <row r="71" spans="1:19" x14ac:dyDescent="0.25">
      <c r="A71" s="42">
        <v>1.98208794862221</v>
      </c>
      <c r="B71" s="43">
        <v>0.169768438531851</v>
      </c>
      <c r="C71" s="34">
        <f t="shared" si="0"/>
        <v>2.1221054816481376E-3</v>
      </c>
      <c r="E71" s="42">
        <v>2.0850542780869201</v>
      </c>
      <c r="F71" s="43">
        <v>0.34011779518713797</v>
      </c>
      <c r="G71" s="34">
        <f t="shared" si="1"/>
        <v>2.2674519679142533E-3</v>
      </c>
      <c r="I71" s="42">
        <v>2.3385819894047999</v>
      </c>
      <c r="J71" s="43">
        <v>0.59951352482292897</v>
      </c>
      <c r="K71" s="34">
        <f t="shared" si="2"/>
        <v>2.3980540992917161E-3</v>
      </c>
      <c r="M71" s="42">
        <v>2.3385819894047999</v>
      </c>
      <c r="N71" s="43">
        <v>0.75022237844065498</v>
      </c>
      <c r="O71" s="34">
        <f t="shared" si="3"/>
        <v>2.5007412614688499E-3</v>
      </c>
      <c r="Q71" s="42"/>
      <c r="R71" s="42"/>
      <c r="S71" s="34" t="str">
        <f t="shared" si="4"/>
        <v/>
      </c>
    </row>
    <row r="72" spans="1:19" x14ac:dyDescent="0.25">
      <c r="A72" s="42">
        <v>2.0145811936815901</v>
      </c>
      <c r="B72" s="43">
        <v>0.167372850805279</v>
      </c>
      <c r="C72" s="34">
        <f t="shared" si="0"/>
        <v>2.0921606350659877E-3</v>
      </c>
      <c r="E72" s="42">
        <v>2.1192354957604702</v>
      </c>
      <c r="F72" s="43">
        <v>0.33683982424909897</v>
      </c>
      <c r="G72" s="34">
        <f t="shared" si="1"/>
        <v>2.2455988283273266E-3</v>
      </c>
      <c r="I72" s="42">
        <v>2.37691939906717</v>
      </c>
      <c r="J72" s="43">
        <v>0.59432148396353202</v>
      </c>
      <c r="K72" s="34">
        <f t="shared" si="2"/>
        <v>2.3772859358541279E-3</v>
      </c>
      <c r="M72" s="42">
        <v>2.37691939906717</v>
      </c>
      <c r="N72" s="43">
        <v>0.74418390476823704</v>
      </c>
      <c r="O72" s="34">
        <f t="shared" si="3"/>
        <v>2.4806130158941233E-3</v>
      </c>
      <c r="Q72" s="42"/>
      <c r="R72" s="42"/>
      <c r="S72" s="34" t="str">
        <f t="shared" si="4"/>
        <v/>
      </c>
    </row>
    <row r="73" spans="1:19" x14ac:dyDescent="0.25">
      <c r="A73" s="42">
        <v>2.0470744387409701</v>
      </c>
      <c r="B73" s="43">
        <v>0.16482096463838999</v>
      </c>
      <c r="C73" s="34">
        <f t="shared" si="0"/>
        <v>2.060262057979875E-3</v>
      </c>
      <c r="E73" s="42">
        <v>2.1534167134340301</v>
      </c>
      <c r="F73" s="43">
        <v>0.33346282275886702</v>
      </c>
      <c r="G73" s="34">
        <f t="shared" si="1"/>
        <v>2.2230854850591136E-3</v>
      </c>
      <c r="I73" s="42">
        <v>2.4152568087295401</v>
      </c>
      <c r="J73" s="43">
        <v>0.58913044672685</v>
      </c>
      <c r="K73" s="34">
        <f t="shared" si="2"/>
        <v>2.3565217869073998E-3</v>
      </c>
      <c r="M73" s="42">
        <v>2.4152568087295401</v>
      </c>
      <c r="N73" s="43">
        <v>0.73814526134359804</v>
      </c>
      <c r="O73" s="34">
        <f t="shared" si="3"/>
        <v>2.4604842044786603E-3</v>
      </c>
      <c r="Q73" s="42"/>
      <c r="R73" s="42"/>
      <c r="S73" s="34" t="str">
        <f t="shared" si="4"/>
        <v/>
      </c>
    </row>
    <row r="74" spans="1:19" x14ac:dyDescent="0.25">
      <c r="A74" s="42">
        <v>2.0795676838003501</v>
      </c>
      <c r="B74" s="43">
        <v>0.162291917757593</v>
      </c>
      <c r="C74" s="34">
        <f t="shared" ref="C74:C137" si="5">IF(OR(B74="",B$4=""),"",B74/B$4)</f>
        <v>2.0286489719699126E-3</v>
      </c>
      <c r="E74" s="42">
        <v>2.1875979311075899</v>
      </c>
      <c r="F74" s="43">
        <v>0.33067577189161301</v>
      </c>
      <c r="G74" s="34">
        <f t="shared" ref="G74:G137" si="6">IF(OR(F74="",F$4=""),"",F74/F$4)</f>
        <v>2.2045051459440869E-3</v>
      </c>
      <c r="I74" s="42">
        <v>2.4535942183919199</v>
      </c>
      <c r="J74" s="43">
        <v>0.58394038956637995</v>
      </c>
      <c r="K74" s="34">
        <f t="shared" ref="K74:K137" si="7">IF(OR(J74="",J$4=""),"",J74/J$4)</f>
        <v>2.3357615582655198E-3</v>
      </c>
      <c r="M74" s="42">
        <v>2.4535942183919199</v>
      </c>
      <c r="N74" s="43">
        <v>0.73210650269145605</v>
      </c>
      <c r="O74" s="34">
        <f t="shared" ref="O74:O137" si="8">IF(OR(N74="",N$4=""),"",N74/N$4)</f>
        <v>2.4403550089715201E-3</v>
      </c>
      <c r="Q74" s="42"/>
      <c r="R74" s="42"/>
      <c r="S74" s="34" t="str">
        <f t="shared" ref="S74:S137" si="9">IF(OR(R74="",R$4=""),"",R74/R$4)</f>
        <v/>
      </c>
    </row>
    <row r="75" spans="1:19" x14ac:dyDescent="0.25">
      <c r="A75" s="42">
        <v>2.1120609288597301</v>
      </c>
      <c r="B75" s="43">
        <v>0.159960078392204</v>
      </c>
      <c r="C75" s="34">
        <f t="shared" si="5"/>
        <v>1.9995009799025501E-3</v>
      </c>
      <c r="E75" s="42">
        <v>2.22177914878114</v>
      </c>
      <c r="F75" s="43">
        <v>0.32830449366508502</v>
      </c>
      <c r="G75" s="34">
        <f t="shared" si="6"/>
        <v>2.1886966244338999E-3</v>
      </c>
      <c r="I75" s="42">
        <v>2.49193162805429</v>
      </c>
      <c r="J75" s="43">
        <v>0.57878309318057197</v>
      </c>
      <c r="K75" s="34">
        <f t="shared" si="7"/>
        <v>2.3151323727222881E-3</v>
      </c>
      <c r="M75" s="42">
        <v>2.49193162805429</v>
      </c>
      <c r="N75" s="43">
        <v>0.72609199168762395</v>
      </c>
      <c r="O75" s="34">
        <f t="shared" si="8"/>
        <v>2.4203066389587467E-3</v>
      </c>
      <c r="Q75" s="42"/>
      <c r="R75" s="42"/>
      <c r="S75" s="34" t="str">
        <f t="shared" si="9"/>
        <v/>
      </c>
    </row>
    <row r="76" spans="1:19" x14ac:dyDescent="0.25">
      <c r="A76" s="42">
        <v>2.1445541739191101</v>
      </c>
      <c r="B76" s="43">
        <v>0.15784543373419199</v>
      </c>
      <c r="C76" s="34">
        <f t="shared" si="5"/>
        <v>1.9730679216774E-3</v>
      </c>
      <c r="E76" s="42">
        <v>2.2559603664546999</v>
      </c>
      <c r="F76" s="43">
        <v>0.32599701896936401</v>
      </c>
      <c r="G76" s="34">
        <f t="shared" si="6"/>
        <v>2.1733134597957601E-3</v>
      </c>
      <c r="I76" s="42">
        <v>2.5302690377166601</v>
      </c>
      <c r="J76" s="43">
        <v>0.57384524434152295</v>
      </c>
      <c r="K76" s="34">
        <f t="shared" si="7"/>
        <v>2.2953809773660918E-3</v>
      </c>
      <c r="M76" s="42">
        <v>2.5302690377166601</v>
      </c>
      <c r="N76" s="43">
        <v>0.72024017783545502</v>
      </c>
      <c r="O76" s="34">
        <f t="shared" si="8"/>
        <v>2.4008005927848501E-3</v>
      </c>
      <c r="Q76" s="42"/>
      <c r="R76" s="42"/>
      <c r="S76" s="34" t="str">
        <f t="shared" si="9"/>
        <v/>
      </c>
    </row>
    <row r="77" spans="1:19" x14ac:dyDescent="0.25">
      <c r="A77" s="42">
        <v>2.1770474189784901</v>
      </c>
      <c r="B77" s="43">
        <v>0.155901106160622</v>
      </c>
      <c r="C77" s="34">
        <f t="shared" si="5"/>
        <v>1.948763827007775E-3</v>
      </c>
      <c r="E77" s="42">
        <v>2.29014158412825</v>
      </c>
      <c r="F77" s="43">
        <v>0.32378472319807999</v>
      </c>
      <c r="G77" s="34">
        <f t="shared" si="6"/>
        <v>2.1585648213205333E-3</v>
      </c>
      <c r="I77" s="42">
        <v>2.56860644737904</v>
      </c>
      <c r="J77" s="43">
        <v>0.56890920701605896</v>
      </c>
      <c r="K77" s="34">
        <f t="shared" si="7"/>
        <v>2.2756368280642358E-3</v>
      </c>
      <c r="M77" s="42">
        <v>2.56860644737904</v>
      </c>
      <c r="N77" s="43">
        <v>0.71438943364659602</v>
      </c>
      <c r="O77" s="34">
        <f t="shared" si="8"/>
        <v>2.3812981121553202E-3</v>
      </c>
      <c r="Q77" s="42"/>
      <c r="R77" s="42"/>
      <c r="S77" s="34" t="str">
        <f t="shared" si="9"/>
        <v/>
      </c>
    </row>
    <row r="78" spans="1:19" x14ac:dyDescent="0.25">
      <c r="A78" s="42">
        <v>2.2095406640378701</v>
      </c>
      <c r="B78" s="43">
        <v>0.153709566201986</v>
      </c>
      <c r="C78" s="34">
        <f t="shared" si="5"/>
        <v>1.9213695775248251E-3</v>
      </c>
      <c r="E78" s="42">
        <v>2.3243228018018098</v>
      </c>
      <c r="F78" s="43">
        <v>0.32165105297527702</v>
      </c>
      <c r="G78" s="34">
        <f t="shared" si="6"/>
        <v>2.1443403531685133E-3</v>
      </c>
      <c r="I78" s="42">
        <v>2.6069438570414101</v>
      </c>
      <c r="J78" s="43">
        <v>0.56397390414552395</v>
      </c>
      <c r="K78" s="34">
        <f t="shared" si="7"/>
        <v>2.2558956165820957E-3</v>
      </c>
      <c r="M78" s="42">
        <v>2.6069438570414101</v>
      </c>
      <c r="N78" s="43">
        <v>0.70853940476034405</v>
      </c>
      <c r="O78" s="34">
        <f t="shared" si="8"/>
        <v>2.3617980158678136E-3</v>
      </c>
      <c r="Q78" s="42"/>
      <c r="R78" s="42"/>
      <c r="S78" s="34" t="str">
        <f t="shared" si="9"/>
        <v/>
      </c>
    </row>
    <row r="79" spans="1:19" x14ac:dyDescent="0.25">
      <c r="A79" s="42">
        <v>2.2420339090972501</v>
      </c>
      <c r="B79" s="43">
        <v>0.15155846901141801</v>
      </c>
      <c r="C79" s="34">
        <f t="shared" si="5"/>
        <v>1.8944808626427251E-3</v>
      </c>
      <c r="E79" s="42">
        <v>2.3585040194753701</v>
      </c>
      <c r="F79" s="43">
        <v>0.31983337091248598</v>
      </c>
      <c r="G79" s="34">
        <f t="shared" si="6"/>
        <v>2.1322224727499065E-3</v>
      </c>
      <c r="I79" s="42">
        <v>2.6452812667037899</v>
      </c>
      <c r="J79" s="43">
        <v>0.55907801201311202</v>
      </c>
      <c r="K79" s="34">
        <f t="shared" si="7"/>
        <v>2.2363120480524482E-3</v>
      </c>
      <c r="M79" s="42">
        <v>2.6452812667037899</v>
      </c>
      <c r="N79" s="43">
        <v>0.70271702969324901</v>
      </c>
      <c r="O79" s="34">
        <f t="shared" si="8"/>
        <v>2.3423900989774965E-3</v>
      </c>
      <c r="Q79" s="42"/>
      <c r="R79" s="42"/>
      <c r="S79" s="34" t="str">
        <f t="shared" si="9"/>
        <v/>
      </c>
    </row>
    <row r="80" spans="1:19" x14ac:dyDescent="0.25">
      <c r="A80" s="42">
        <v>2.2745271541566301</v>
      </c>
      <c r="B80" s="43">
        <v>0.14932464925448299</v>
      </c>
      <c r="C80" s="34">
        <f t="shared" si="5"/>
        <v>1.8665581156810374E-3</v>
      </c>
      <c r="E80" s="42">
        <v>2.3926852371489198</v>
      </c>
      <c r="F80" s="43">
        <v>0.31854870796269302</v>
      </c>
      <c r="G80" s="34">
        <f t="shared" si="6"/>
        <v>2.1236580530846201E-3</v>
      </c>
      <c r="I80" s="42">
        <v>2.68361867636616</v>
      </c>
      <c r="J80" s="43">
        <v>0.55439064396671101</v>
      </c>
      <c r="K80" s="34">
        <f t="shared" si="7"/>
        <v>2.217562575866844E-3</v>
      </c>
      <c r="M80" s="42">
        <v>2.68361867636616</v>
      </c>
      <c r="N80" s="43">
        <v>0.69704003796619296</v>
      </c>
      <c r="O80" s="34">
        <f t="shared" si="8"/>
        <v>2.3234667932206434E-3</v>
      </c>
      <c r="Q80" s="42"/>
      <c r="R80" s="42"/>
      <c r="S80" s="34" t="str">
        <f t="shared" si="9"/>
        <v/>
      </c>
    </row>
    <row r="81" spans="1:19" x14ac:dyDescent="0.25">
      <c r="A81" s="42">
        <v>2.3070203992160101</v>
      </c>
      <c r="B81" s="43">
        <v>0.14725251013298801</v>
      </c>
      <c r="C81" s="34">
        <f t="shared" si="5"/>
        <v>1.8406563766623502E-3</v>
      </c>
      <c r="E81" s="42">
        <v>2.4268664548224801</v>
      </c>
      <c r="F81" s="43">
        <v>0.31780526492336603</v>
      </c>
      <c r="G81" s="34">
        <f t="shared" si="6"/>
        <v>2.1187017661557736E-3</v>
      </c>
      <c r="I81" s="42">
        <v>2.7219560860285301</v>
      </c>
      <c r="J81" s="43">
        <v>0.549703855384582</v>
      </c>
      <c r="K81" s="34">
        <f t="shared" si="7"/>
        <v>2.1988154215383279E-3</v>
      </c>
      <c r="M81" s="42">
        <v>2.7219560860285301</v>
      </c>
      <c r="N81" s="43">
        <v>0.69136365032645997</v>
      </c>
      <c r="O81" s="34">
        <f t="shared" si="8"/>
        <v>2.3045455010881999E-3</v>
      </c>
      <c r="Q81" s="42"/>
      <c r="R81" s="42"/>
      <c r="S81" s="34" t="str">
        <f t="shared" si="9"/>
        <v/>
      </c>
    </row>
    <row r="82" spans="1:19" x14ac:dyDescent="0.25">
      <c r="A82" s="42">
        <v>2.3395136442753901</v>
      </c>
      <c r="B82" s="43">
        <v>0.14531141432233299</v>
      </c>
      <c r="C82" s="34">
        <f t="shared" si="5"/>
        <v>1.8163926790291623E-3</v>
      </c>
      <c r="E82" s="42">
        <v>2.4610476724960302</v>
      </c>
      <c r="F82" s="43">
        <v>0.31761653238420101</v>
      </c>
      <c r="G82" s="34">
        <f t="shared" si="6"/>
        <v>2.1174435492280069E-3</v>
      </c>
      <c r="I82" s="42">
        <v>2.76029349569091</v>
      </c>
      <c r="J82" s="43">
        <v>0.54502422823079499</v>
      </c>
      <c r="K82" s="34">
        <f t="shared" si="7"/>
        <v>2.1800969129231801E-3</v>
      </c>
      <c r="M82" s="42">
        <v>2.76029349569091</v>
      </c>
      <c r="N82" s="43">
        <v>0.68569166921958102</v>
      </c>
      <c r="O82" s="34">
        <f t="shared" si="8"/>
        <v>2.2856388973986033E-3</v>
      </c>
      <c r="Q82" s="42"/>
      <c r="R82" s="42"/>
      <c r="S82" s="34" t="str">
        <f t="shared" si="9"/>
        <v/>
      </c>
    </row>
    <row r="83" spans="1:19" x14ac:dyDescent="0.25">
      <c r="A83" s="42">
        <v>2.3720068893347701</v>
      </c>
      <c r="B83" s="43">
        <v>0.143534538958276</v>
      </c>
      <c r="C83" s="34">
        <f t="shared" si="5"/>
        <v>1.79418173697845E-3</v>
      </c>
      <c r="E83" s="42">
        <v>2.49522889016959</v>
      </c>
      <c r="F83" s="43">
        <v>0.31785547728324898</v>
      </c>
      <c r="G83" s="34">
        <f t="shared" si="6"/>
        <v>2.11903651522166E-3</v>
      </c>
      <c r="I83" s="42">
        <v>2.7986309053532801</v>
      </c>
      <c r="J83" s="43">
        <v>0.54039780762746203</v>
      </c>
      <c r="K83" s="34">
        <f t="shared" si="7"/>
        <v>2.1615912305098482E-3</v>
      </c>
      <c r="M83" s="42">
        <v>2.7986309053532801</v>
      </c>
      <c r="N83" s="43">
        <v>0.68005419661365796</v>
      </c>
      <c r="O83" s="34">
        <f t="shared" si="8"/>
        <v>2.2668473220455263E-3</v>
      </c>
      <c r="Q83" s="42"/>
      <c r="R83" s="42"/>
      <c r="S83" s="34" t="str">
        <f t="shared" si="9"/>
        <v/>
      </c>
    </row>
    <row r="84" spans="1:19" x14ac:dyDescent="0.25">
      <c r="A84" s="42">
        <v>2.4045001343941501</v>
      </c>
      <c r="B84" s="43">
        <v>0.141835984730564</v>
      </c>
      <c r="C84" s="34">
        <f t="shared" si="5"/>
        <v>1.77294980913205E-3</v>
      </c>
      <c r="E84" s="42">
        <v>2.5294101078431499</v>
      </c>
      <c r="F84" s="43">
        <v>0.31710753908595501</v>
      </c>
      <c r="G84" s="34">
        <f t="shared" si="6"/>
        <v>2.1140502605730333E-3</v>
      </c>
      <c r="I84" s="42">
        <v>2.8369683150156502</v>
      </c>
      <c r="J84" s="43">
        <v>0.53600345518534798</v>
      </c>
      <c r="K84" s="34">
        <f t="shared" si="7"/>
        <v>2.1440138207413921E-3</v>
      </c>
      <c r="M84" s="42">
        <v>2.8369683150156502</v>
      </c>
      <c r="N84" s="43">
        <v>0.67456626553909005</v>
      </c>
      <c r="O84" s="34">
        <f t="shared" si="8"/>
        <v>2.2485542184636333E-3</v>
      </c>
      <c r="Q84" s="42"/>
      <c r="R84" s="42"/>
      <c r="S84" s="34" t="str">
        <f t="shared" si="9"/>
        <v/>
      </c>
    </row>
    <row r="85" spans="1:19" x14ac:dyDescent="0.25">
      <c r="A85" s="42">
        <v>2.4369933794535301</v>
      </c>
      <c r="B85" s="43">
        <v>0.14011016019674299</v>
      </c>
      <c r="C85" s="34">
        <f t="shared" si="5"/>
        <v>1.7513770024592875E-3</v>
      </c>
      <c r="E85" s="42">
        <v>2.5635913255167</v>
      </c>
      <c r="F85" s="43">
        <v>0.313908451488632</v>
      </c>
      <c r="G85" s="34">
        <f t="shared" si="6"/>
        <v>2.0927230099242133E-3</v>
      </c>
      <c r="I85" s="42">
        <v>2.87530572467803</v>
      </c>
      <c r="J85" s="43">
        <v>0.53160962356821195</v>
      </c>
      <c r="K85" s="34">
        <f t="shared" si="7"/>
        <v>2.1264384942728479E-3</v>
      </c>
      <c r="M85" s="42">
        <v>2.87530572467803</v>
      </c>
      <c r="N85" s="43">
        <v>0.66907870790991597</v>
      </c>
      <c r="O85" s="34">
        <f t="shared" si="8"/>
        <v>2.2302623596997199E-3</v>
      </c>
      <c r="Q85" s="42"/>
      <c r="R85" s="42"/>
      <c r="S85" s="34" t="str">
        <f t="shared" si="9"/>
        <v/>
      </c>
    </row>
    <row r="86" spans="1:19" x14ac:dyDescent="0.25">
      <c r="A86" s="42">
        <v>2.4694866245129101</v>
      </c>
      <c r="B86" s="43">
        <v>0.13820606509097499</v>
      </c>
      <c r="C86" s="34">
        <f t="shared" si="5"/>
        <v>1.7275758136371874E-3</v>
      </c>
      <c r="E86" s="42">
        <v>2.5977725431902599</v>
      </c>
      <c r="F86" s="43">
        <v>0.31128250334150698</v>
      </c>
      <c r="G86" s="34">
        <f t="shared" si="6"/>
        <v>2.0752166889433797E-3</v>
      </c>
      <c r="I86" s="42">
        <v>2.9136431343404001</v>
      </c>
      <c r="J86" s="43">
        <v>0.52721630628142502</v>
      </c>
      <c r="K86" s="34">
        <f t="shared" si="7"/>
        <v>2.1088652251256999E-3</v>
      </c>
      <c r="M86" s="42">
        <v>2.9136431343404001</v>
      </c>
      <c r="N86" s="43">
        <v>0.663591521686417</v>
      </c>
      <c r="O86" s="34">
        <f t="shared" si="8"/>
        <v>2.2119717389547234E-3</v>
      </c>
      <c r="Q86" s="42"/>
      <c r="R86" s="42"/>
      <c r="S86" s="34" t="str">
        <f t="shared" si="9"/>
        <v/>
      </c>
    </row>
    <row r="87" spans="1:19" x14ac:dyDescent="0.25">
      <c r="A87" s="42">
        <v>2.5019798695722901</v>
      </c>
      <c r="B87" s="43">
        <v>0.13638930501451499</v>
      </c>
      <c r="C87" s="34">
        <f t="shared" si="5"/>
        <v>1.7048663126814374E-3</v>
      </c>
      <c r="E87" s="42">
        <v>2.6319537608638099</v>
      </c>
      <c r="F87" s="43">
        <v>0.30921237322556999</v>
      </c>
      <c r="G87" s="34">
        <f t="shared" si="6"/>
        <v>2.0614158215037999E-3</v>
      </c>
      <c r="I87" s="42">
        <v>2.9519805440027702</v>
      </c>
      <c r="J87" s="43">
        <v>0.52288882552256</v>
      </c>
      <c r="K87" s="34">
        <f t="shared" si="7"/>
        <v>2.0915553020902401E-3</v>
      </c>
      <c r="M87" s="42">
        <v>2.9519805440027702</v>
      </c>
      <c r="N87" s="43">
        <v>0.65815287324768201</v>
      </c>
      <c r="O87" s="34">
        <f t="shared" si="8"/>
        <v>2.1938429108256069E-3</v>
      </c>
      <c r="Q87" s="42"/>
      <c r="R87" s="42"/>
      <c r="S87" s="34" t="str">
        <f t="shared" si="9"/>
        <v/>
      </c>
    </row>
    <row r="88" spans="1:19" x14ac:dyDescent="0.25">
      <c r="A88" s="42">
        <v>2.5344731146316701</v>
      </c>
      <c r="B88" s="43">
        <v>0.13467474244411801</v>
      </c>
      <c r="C88" s="34">
        <f t="shared" si="5"/>
        <v>1.683434280551475E-3</v>
      </c>
      <c r="E88" s="42">
        <v>2.6661349785373698</v>
      </c>
      <c r="F88" s="43">
        <v>0.30690889943240102</v>
      </c>
      <c r="G88" s="34">
        <f t="shared" si="6"/>
        <v>2.0460593295493403E-3</v>
      </c>
      <c r="I88" s="42">
        <v>2.9903179536651501</v>
      </c>
      <c r="J88" s="43">
        <v>0.51881884678507895</v>
      </c>
      <c r="K88" s="34">
        <f t="shared" si="7"/>
        <v>2.0752753871403156E-3</v>
      </c>
      <c r="M88" s="42">
        <v>2.9903179536651501</v>
      </c>
      <c r="N88" s="43">
        <v>0.65290358603651899</v>
      </c>
      <c r="O88" s="34">
        <f t="shared" si="8"/>
        <v>2.1763452867883965E-3</v>
      </c>
      <c r="Q88" s="42"/>
      <c r="R88" s="42"/>
      <c r="S88" s="34" t="str">
        <f t="shared" si="9"/>
        <v/>
      </c>
    </row>
    <row r="89" spans="1:19" x14ac:dyDescent="0.25">
      <c r="A89" s="42">
        <v>2.5669663596910501</v>
      </c>
      <c r="B89" s="43">
        <v>0.13308372184718201</v>
      </c>
      <c r="C89" s="34">
        <f t="shared" si="5"/>
        <v>1.6635465230897752E-3</v>
      </c>
      <c r="E89" s="42">
        <v>2.7003161962109301</v>
      </c>
      <c r="F89" s="43">
        <v>0.30401312467167602</v>
      </c>
      <c r="G89" s="34">
        <f t="shared" si="6"/>
        <v>2.0267541644778402E-3</v>
      </c>
      <c r="I89" s="42">
        <v>3.0286553633275202</v>
      </c>
      <c r="J89" s="43">
        <v>0.51475036070728597</v>
      </c>
      <c r="K89" s="34">
        <f t="shared" si="7"/>
        <v>2.059001442829144E-3</v>
      </c>
      <c r="M89" s="42">
        <v>3.0286553633275202</v>
      </c>
      <c r="N89" s="43">
        <v>0.64765487127519505</v>
      </c>
      <c r="O89" s="34">
        <f t="shared" si="8"/>
        <v>2.1588495709173169E-3</v>
      </c>
      <c r="Q89" s="42"/>
      <c r="R89" s="42"/>
      <c r="S89" s="34" t="str">
        <f t="shared" si="9"/>
        <v/>
      </c>
    </row>
    <row r="90" spans="1:19" x14ac:dyDescent="0.25">
      <c r="A90" s="42">
        <v>2.5994596047504301</v>
      </c>
      <c r="B90" s="43">
        <v>0.13159111528234099</v>
      </c>
      <c r="C90" s="34">
        <f t="shared" si="5"/>
        <v>1.6448889410292625E-3</v>
      </c>
      <c r="E90" s="42">
        <v>2.7344974138844802</v>
      </c>
      <c r="F90" s="43">
        <v>0.30225295384731499</v>
      </c>
      <c r="G90" s="34">
        <f t="shared" si="6"/>
        <v>2.0150196923154331E-3</v>
      </c>
      <c r="I90" s="42">
        <v>3.0669927729899</v>
      </c>
      <c r="J90" s="43">
        <v>0.51068247780523601</v>
      </c>
      <c r="K90" s="34">
        <f t="shared" si="7"/>
        <v>2.0427299112209443E-3</v>
      </c>
      <c r="M90" s="42">
        <v>3.0669927729899</v>
      </c>
      <c r="N90" s="43">
        <v>0.64240622132726699</v>
      </c>
      <c r="O90" s="34">
        <f t="shared" si="8"/>
        <v>2.1413540710908899E-3</v>
      </c>
      <c r="Q90" s="42"/>
      <c r="R90" s="42"/>
      <c r="S90" s="34" t="str">
        <f t="shared" si="9"/>
        <v/>
      </c>
    </row>
    <row r="91" spans="1:19" x14ac:dyDescent="0.25">
      <c r="A91" s="42">
        <v>2.6319528498098101</v>
      </c>
      <c r="B91" s="43">
        <v>0.13013654617495901</v>
      </c>
      <c r="C91" s="34">
        <f t="shared" si="5"/>
        <v>1.6267068271869876E-3</v>
      </c>
      <c r="E91" s="42">
        <v>2.7686786315580401</v>
      </c>
      <c r="F91" s="43">
        <v>0.301629113465684</v>
      </c>
      <c r="G91" s="34">
        <f t="shared" si="6"/>
        <v>2.0108607564378934E-3</v>
      </c>
      <c r="I91" s="42">
        <v>3.1053301826522701</v>
      </c>
      <c r="J91" s="43">
        <v>0.50669186062779603</v>
      </c>
      <c r="K91" s="34">
        <f t="shared" si="7"/>
        <v>2.026767442511184E-3</v>
      </c>
      <c r="M91" s="42">
        <v>3.1053301826522701</v>
      </c>
      <c r="N91" s="43">
        <v>0.63723233557818704</v>
      </c>
      <c r="O91" s="34">
        <f t="shared" si="8"/>
        <v>2.1241077852606235E-3</v>
      </c>
      <c r="Q91" s="42"/>
      <c r="R91" s="42"/>
      <c r="S91" s="34" t="str">
        <f t="shared" si="9"/>
        <v/>
      </c>
    </row>
    <row r="92" spans="1:19" x14ac:dyDescent="0.25">
      <c r="A92" s="42">
        <v>2.6644460948691902</v>
      </c>
      <c r="B92" s="43">
        <v>0.12876225587392401</v>
      </c>
      <c r="C92" s="34">
        <f t="shared" si="5"/>
        <v>1.60952819842405E-3</v>
      </c>
      <c r="E92" s="42">
        <v>2.8028598492315999</v>
      </c>
      <c r="F92" s="43">
        <v>0.30218727119614203</v>
      </c>
      <c r="G92" s="34">
        <f t="shared" si="6"/>
        <v>2.01458180797428E-3</v>
      </c>
      <c r="I92" s="42">
        <v>3.1436675923146402</v>
      </c>
      <c r="J92" s="43">
        <v>0.50296243061662804</v>
      </c>
      <c r="K92" s="34">
        <f t="shared" si="7"/>
        <v>2.011849722466512E-3</v>
      </c>
      <c r="M92" s="42">
        <v>3.1436675923146402</v>
      </c>
      <c r="N92" s="43">
        <v>0.63231235317411105</v>
      </c>
      <c r="O92" s="34">
        <f t="shared" si="8"/>
        <v>2.1077078439137036E-3</v>
      </c>
      <c r="Q92" s="42"/>
      <c r="R92" s="42"/>
      <c r="S92" s="34" t="str">
        <f t="shared" si="9"/>
        <v/>
      </c>
    </row>
    <row r="93" spans="1:19" x14ac:dyDescent="0.25">
      <c r="A93" s="42">
        <v>2.6969393399285799</v>
      </c>
      <c r="B93" s="43">
        <v>0.12727991215224699</v>
      </c>
      <c r="C93" s="34">
        <f t="shared" si="5"/>
        <v>1.5909989019030873E-3</v>
      </c>
      <c r="E93" s="42">
        <v>2.83704106690515</v>
      </c>
      <c r="F93" s="43">
        <v>0.301995184639748</v>
      </c>
      <c r="G93" s="34">
        <f t="shared" si="6"/>
        <v>2.0133012309316535E-3</v>
      </c>
      <c r="I93" s="42">
        <v>3.1820050019770201</v>
      </c>
      <c r="J93" s="43">
        <v>0.49923356140859498</v>
      </c>
      <c r="K93" s="34">
        <f t="shared" si="7"/>
        <v>1.9969342456343801E-3</v>
      </c>
      <c r="M93" s="42">
        <v>3.1820050019770201</v>
      </c>
      <c r="N93" s="43">
        <v>0.62739246039017604</v>
      </c>
      <c r="O93" s="34">
        <f t="shared" si="8"/>
        <v>2.0913082013005869E-3</v>
      </c>
      <c r="Q93" s="42"/>
      <c r="R93" s="42"/>
      <c r="S93" s="34" t="str">
        <f t="shared" si="9"/>
        <v/>
      </c>
    </row>
    <row r="94" spans="1:19" x14ac:dyDescent="0.25">
      <c r="A94" s="42">
        <v>2.7294325849879599</v>
      </c>
      <c r="B94" s="43">
        <v>0.12589850199034699</v>
      </c>
      <c r="C94" s="34">
        <f t="shared" si="5"/>
        <v>1.5737312748793375E-3</v>
      </c>
      <c r="E94" s="42">
        <v>2.8712222845787099</v>
      </c>
      <c r="F94" s="43">
        <v>0.30142084345068498</v>
      </c>
      <c r="G94" s="34">
        <f t="shared" si="6"/>
        <v>2.0094722896712332E-3</v>
      </c>
      <c r="I94" s="42">
        <v>3.2203424116393902</v>
      </c>
      <c r="J94" s="43">
        <v>0.49550278591849101</v>
      </c>
      <c r="K94" s="34">
        <f t="shared" si="7"/>
        <v>1.9820111436739639E-3</v>
      </c>
      <c r="M94" s="42">
        <v>3.2203424116393902</v>
      </c>
      <c r="N94" s="43">
        <v>0.62247170016016395</v>
      </c>
      <c r="O94" s="34">
        <f t="shared" si="8"/>
        <v>2.0749056672005467E-3</v>
      </c>
      <c r="Q94" s="42"/>
      <c r="R94" s="42"/>
      <c r="S94" s="34" t="str">
        <f t="shared" si="9"/>
        <v/>
      </c>
    </row>
    <row r="95" spans="1:19" x14ac:dyDescent="0.25">
      <c r="A95" s="42">
        <v>2.7619258300473399</v>
      </c>
      <c r="B95" s="43">
        <v>0.124614270345596</v>
      </c>
      <c r="C95" s="34">
        <f t="shared" si="5"/>
        <v>1.5576783793199499E-3</v>
      </c>
      <c r="E95" s="42">
        <v>2.90540350225226</v>
      </c>
      <c r="F95" s="43">
        <v>0.30243176086670998</v>
      </c>
      <c r="G95" s="34">
        <f t="shared" si="6"/>
        <v>2.0162117391113996E-3</v>
      </c>
      <c r="I95" s="42">
        <v>3.2586798213017598</v>
      </c>
      <c r="J95" s="43">
        <v>0.49185353000315701</v>
      </c>
      <c r="K95" s="34">
        <f t="shared" si="7"/>
        <v>1.9674141200126281E-3</v>
      </c>
      <c r="M95" s="42">
        <v>3.2586798213017598</v>
      </c>
      <c r="N95" s="43">
        <v>0.61765022925516899</v>
      </c>
      <c r="O95" s="34">
        <f t="shared" si="8"/>
        <v>2.0588340975172298E-3</v>
      </c>
      <c r="Q95" s="42"/>
      <c r="R95" s="42"/>
      <c r="S95" s="34" t="str">
        <f t="shared" si="9"/>
        <v/>
      </c>
    </row>
    <row r="96" spans="1:19" x14ac:dyDescent="0.25">
      <c r="A96" s="42">
        <v>2.7944190751067199</v>
      </c>
      <c r="B96" s="43">
        <v>0.123405829606047</v>
      </c>
      <c r="C96" s="34">
        <f t="shared" si="5"/>
        <v>1.5425728700755874E-3</v>
      </c>
      <c r="E96" s="42">
        <v>2.9395847199258198</v>
      </c>
      <c r="F96" s="43">
        <v>0.299736348145766</v>
      </c>
      <c r="G96" s="34">
        <f t="shared" si="6"/>
        <v>1.9982423209717734E-3</v>
      </c>
      <c r="I96" s="42">
        <v>3.2970172309641401</v>
      </c>
      <c r="J96" s="43">
        <v>0.48845253982911102</v>
      </c>
      <c r="K96" s="34">
        <f t="shared" si="7"/>
        <v>1.953810159316444E-3</v>
      </c>
      <c r="M96" s="42">
        <v>3.2970172309641401</v>
      </c>
      <c r="N96" s="43">
        <v>0.61312724302016697</v>
      </c>
      <c r="O96" s="34">
        <f t="shared" si="8"/>
        <v>2.04375747673389E-3</v>
      </c>
      <c r="Q96" s="42"/>
      <c r="R96" s="42"/>
      <c r="S96" s="34" t="str">
        <f t="shared" si="9"/>
        <v/>
      </c>
    </row>
    <row r="97" spans="1:19" x14ac:dyDescent="0.25">
      <c r="A97" s="42">
        <v>2.8269123201660999</v>
      </c>
      <c r="B97" s="43">
        <v>0.122202345032311</v>
      </c>
      <c r="C97" s="34">
        <f t="shared" si="5"/>
        <v>1.5275293129038876E-3</v>
      </c>
      <c r="E97" s="42">
        <v>2.9737659375993801</v>
      </c>
      <c r="F97" s="43">
        <v>0.29672998333914702</v>
      </c>
      <c r="G97" s="34">
        <f t="shared" si="6"/>
        <v>1.9781998889276467E-3</v>
      </c>
      <c r="I97" s="42">
        <v>3.3353546406265102</v>
      </c>
      <c r="J97" s="43">
        <v>0.485051921021595</v>
      </c>
      <c r="K97" s="34">
        <f t="shared" si="7"/>
        <v>1.94020768408638E-3</v>
      </c>
      <c r="M97" s="42">
        <v>3.3353546406265102</v>
      </c>
      <c r="N97" s="43">
        <v>0.60860465668410002</v>
      </c>
      <c r="O97" s="34">
        <f t="shared" si="8"/>
        <v>2.0286821889469999E-3</v>
      </c>
      <c r="Q97" s="42"/>
      <c r="R97" s="42"/>
      <c r="S97" s="34" t="str">
        <f t="shared" si="9"/>
        <v/>
      </c>
    </row>
    <row r="98" spans="1:19" x14ac:dyDescent="0.25">
      <c r="A98" s="42">
        <v>2.85940556522548</v>
      </c>
      <c r="B98" s="43">
        <v>0.121131192523781</v>
      </c>
      <c r="C98" s="34">
        <f t="shared" si="5"/>
        <v>1.5141399065472625E-3</v>
      </c>
      <c r="E98" s="42">
        <v>3.0079471552729302</v>
      </c>
      <c r="F98" s="43">
        <v>0.29191986129715303</v>
      </c>
      <c r="G98" s="34">
        <f t="shared" si="6"/>
        <v>1.9461324086476868E-3</v>
      </c>
      <c r="I98" s="42">
        <v>3.3736920502888901</v>
      </c>
      <c r="J98" s="43">
        <v>0.48165169722142998</v>
      </c>
      <c r="K98" s="34">
        <f t="shared" si="7"/>
        <v>1.92660678888572E-3</v>
      </c>
      <c r="M98" s="42">
        <v>3.3736920502888901</v>
      </c>
      <c r="N98" s="43">
        <v>0.604082501799316</v>
      </c>
      <c r="O98" s="34">
        <f t="shared" si="8"/>
        <v>2.0136083393310533E-3</v>
      </c>
      <c r="Q98" s="42"/>
      <c r="R98" s="42"/>
      <c r="S98" s="34" t="str">
        <f t="shared" si="9"/>
        <v/>
      </c>
    </row>
    <row r="99" spans="1:19" x14ac:dyDescent="0.25">
      <c r="A99" s="42">
        <v>2.89189881028486</v>
      </c>
      <c r="B99" s="43">
        <v>0.120097578438891</v>
      </c>
      <c r="C99" s="34">
        <f t="shared" si="5"/>
        <v>1.5012197304861375E-3</v>
      </c>
      <c r="E99" s="42">
        <v>3.0421283729464901</v>
      </c>
      <c r="F99" s="43">
        <v>0.28697085270085998</v>
      </c>
      <c r="G99" s="34">
        <f t="shared" si="6"/>
        <v>1.9131390180057333E-3</v>
      </c>
      <c r="I99" s="42">
        <v>3.4120294599512602</v>
      </c>
      <c r="J99" s="43">
        <v>0.47833597405911099</v>
      </c>
      <c r="K99" s="34">
        <f t="shared" si="7"/>
        <v>1.9133438962364439E-3</v>
      </c>
      <c r="M99" s="42">
        <v>3.4120294599512602</v>
      </c>
      <c r="N99" s="43">
        <v>0.59967667966294202</v>
      </c>
      <c r="O99" s="34">
        <f t="shared" si="8"/>
        <v>1.9989222655431402E-3</v>
      </c>
      <c r="Q99" s="42"/>
      <c r="R99" s="42"/>
      <c r="S99" s="34" t="str">
        <f t="shared" si="9"/>
        <v/>
      </c>
    </row>
    <row r="100" spans="1:19" x14ac:dyDescent="0.25">
      <c r="A100" s="42">
        <v>2.92439205534424</v>
      </c>
      <c r="B100" s="43">
        <v>0.1189876893863</v>
      </c>
      <c r="C100" s="34">
        <f t="shared" si="5"/>
        <v>1.4873461173287501E-3</v>
      </c>
      <c r="E100" s="42">
        <v>3.0763095906200402</v>
      </c>
      <c r="F100" s="43">
        <v>0.28350091259550703</v>
      </c>
      <c r="G100" s="34">
        <f t="shared" si="6"/>
        <v>1.8900060839700469E-3</v>
      </c>
      <c r="I100" s="42">
        <v>3.4503668696136298</v>
      </c>
      <c r="J100" s="43">
        <v>0.475243030285038</v>
      </c>
      <c r="K100" s="34">
        <f t="shared" si="7"/>
        <v>1.9009721211401521E-3</v>
      </c>
      <c r="M100" s="42">
        <v>3.4503668696136298</v>
      </c>
      <c r="N100" s="43">
        <v>0.59557796523824502</v>
      </c>
      <c r="O100" s="34">
        <f t="shared" si="8"/>
        <v>1.9852598841274835E-3</v>
      </c>
      <c r="Q100" s="42"/>
      <c r="R100" s="42"/>
      <c r="S100" s="34" t="str">
        <f t="shared" si="9"/>
        <v/>
      </c>
    </row>
    <row r="101" spans="1:19" x14ac:dyDescent="0.25">
      <c r="A101" s="42">
        <v>2.95688530040362</v>
      </c>
      <c r="B101" s="43">
        <v>0.117989486794068</v>
      </c>
      <c r="C101" s="34">
        <f t="shared" si="5"/>
        <v>1.47486858492585E-3</v>
      </c>
      <c r="E101" s="42">
        <v>3.1104908082936</v>
      </c>
      <c r="F101" s="43">
        <v>0.28180694053928101</v>
      </c>
      <c r="G101" s="34">
        <f t="shared" si="6"/>
        <v>1.87871293692854E-3</v>
      </c>
      <c r="I101" s="42">
        <v>3.4887042792760101</v>
      </c>
      <c r="J101" s="43">
        <v>0.47214758292609399</v>
      </c>
      <c r="K101" s="34">
        <f t="shared" si="7"/>
        <v>1.8885903317043759E-3</v>
      </c>
      <c r="M101" s="42">
        <v>3.4887042792760101</v>
      </c>
      <c r="N101" s="43">
        <v>0.59147923744243802</v>
      </c>
      <c r="O101" s="34">
        <f t="shared" si="8"/>
        <v>1.9715974581414599E-3</v>
      </c>
      <c r="Q101" s="42"/>
      <c r="R101" s="42"/>
      <c r="S101" s="34" t="str">
        <f t="shared" si="9"/>
        <v/>
      </c>
    </row>
    <row r="102" spans="1:19" x14ac:dyDescent="0.25">
      <c r="A102" s="42">
        <v>2.989378545463</v>
      </c>
      <c r="B102" s="43">
        <v>0.11710902567753601</v>
      </c>
      <c r="C102" s="34">
        <f t="shared" si="5"/>
        <v>1.4638628209692E-3</v>
      </c>
      <c r="E102" s="42">
        <v>3.1446720259671599</v>
      </c>
      <c r="F102" s="43">
        <v>0.281836229795006</v>
      </c>
      <c r="G102" s="34">
        <f t="shared" si="6"/>
        <v>1.8789081986333733E-3</v>
      </c>
      <c r="I102" s="42">
        <v>3.5270416889383802</v>
      </c>
      <c r="J102" s="43">
        <v>0.46904199140748398</v>
      </c>
      <c r="K102" s="34">
        <f t="shared" si="7"/>
        <v>1.876167965629936E-3</v>
      </c>
      <c r="M102" s="42">
        <v>3.5270416889383802</v>
      </c>
      <c r="N102" s="43">
        <v>0.58737821747324404</v>
      </c>
      <c r="O102" s="34">
        <f t="shared" si="8"/>
        <v>1.95792739157748E-3</v>
      </c>
      <c r="Q102" s="42"/>
      <c r="R102" s="42"/>
      <c r="S102" s="34" t="str">
        <f t="shared" si="9"/>
        <v/>
      </c>
    </row>
    <row r="103" spans="1:19" x14ac:dyDescent="0.25">
      <c r="A103" s="42">
        <v>3.02187179052238</v>
      </c>
      <c r="B103" s="43">
        <v>0.116244758570774</v>
      </c>
      <c r="C103" s="34">
        <f t="shared" si="5"/>
        <v>1.4530594821346751E-3</v>
      </c>
      <c r="E103" s="42">
        <v>3.17885324364071</v>
      </c>
      <c r="F103" s="43">
        <v>0.28029140562937799</v>
      </c>
      <c r="G103" s="34">
        <f t="shared" si="6"/>
        <v>1.86860937086252E-3</v>
      </c>
      <c r="I103" s="42">
        <v>3.5653790986007499</v>
      </c>
      <c r="J103" s="43">
        <v>0.46601815971126298</v>
      </c>
      <c r="K103" s="34">
        <f t="shared" si="7"/>
        <v>1.864072638845052E-3</v>
      </c>
      <c r="M103" s="42">
        <v>3.5653790986007499</v>
      </c>
      <c r="N103" s="43">
        <v>0.58341170235357998</v>
      </c>
      <c r="O103" s="34">
        <f t="shared" si="8"/>
        <v>1.9447056745119332E-3</v>
      </c>
      <c r="Q103" s="42"/>
      <c r="R103" s="42"/>
      <c r="S103" s="34" t="str">
        <f t="shared" si="9"/>
        <v/>
      </c>
    </row>
    <row r="104" spans="1:19" x14ac:dyDescent="0.25">
      <c r="A104" s="42">
        <v>3.05436503558176</v>
      </c>
      <c r="B104" s="43">
        <v>0.11513884949099699</v>
      </c>
      <c r="C104" s="34">
        <f t="shared" si="5"/>
        <v>1.4392356186374625E-3</v>
      </c>
      <c r="E104" s="42">
        <v>3.2130344613142698</v>
      </c>
      <c r="F104" s="43">
        <v>0.27834215053815498</v>
      </c>
      <c r="G104" s="34">
        <f t="shared" si="6"/>
        <v>1.8556143369210332E-3</v>
      </c>
      <c r="I104" s="42">
        <v>3.6037165082631302</v>
      </c>
      <c r="J104" s="43">
        <v>0.46318676952538701</v>
      </c>
      <c r="K104" s="34">
        <f t="shared" si="7"/>
        <v>1.8527470781015481E-3</v>
      </c>
      <c r="M104" s="42">
        <v>3.6037165082631302</v>
      </c>
      <c r="N104" s="43">
        <v>0.57976109646554297</v>
      </c>
      <c r="O104" s="34">
        <f t="shared" si="8"/>
        <v>1.9325369882184766E-3</v>
      </c>
      <c r="Q104" s="42"/>
      <c r="R104" s="42"/>
      <c r="S104" s="34" t="str">
        <f t="shared" si="9"/>
        <v/>
      </c>
    </row>
    <row r="105" spans="1:19" x14ac:dyDescent="0.25">
      <c r="A105" s="42">
        <v>3.08685828064114</v>
      </c>
      <c r="B105" s="43">
        <v>0.1144479334472</v>
      </c>
      <c r="C105" s="34">
        <f t="shared" si="5"/>
        <v>1.4305991680900001E-3</v>
      </c>
      <c r="E105" s="42">
        <v>3.2472156789878199</v>
      </c>
      <c r="F105" s="43">
        <v>0.27539167975467999</v>
      </c>
      <c r="G105" s="34">
        <f t="shared" si="6"/>
        <v>1.8359445316978667E-3</v>
      </c>
      <c r="I105" s="42">
        <v>3.6420539179254998</v>
      </c>
      <c r="J105" s="43">
        <v>0.460355629640053</v>
      </c>
      <c r="K105" s="34">
        <f t="shared" si="7"/>
        <v>1.841422518560212E-3</v>
      </c>
      <c r="M105" s="42">
        <v>3.6420539179254998</v>
      </c>
      <c r="N105" s="43">
        <v>0.57611146558966297</v>
      </c>
      <c r="O105" s="34">
        <f t="shared" si="8"/>
        <v>1.9203715519655433E-3</v>
      </c>
      <c r="Q105" s="42"/>
      <c r="R105" s="42"/>
      <c r="S105" s="34" t="str">
        <f t="shared" si="9"/>
        <v/>
      </c>
    </row>
    <row r="106" spans="1:19" x14ac:dyDescent="0.25">
      <c r="A106" s="42">
        <v>3.11935152570052</v>
      </c>
      <c r="B106" s="43">
        <v>0.11357884256662699</v>
      </c>
      <c r="C106" s="34">
        <f t="shared" si="5"/>
        <v>1.4197355320828375E-3</v>
      </c>
      <c r="E106" s="42">
        <v>3.2813968966613798</v>
      </c>
      <c r="F106" s="43">
        <v>0.26918670910325798</v>
      </c>
      <c r="G106" s="34">
        <f t="shared" si="6"/>
        <v>1.7945780606883866E-3</v>
      </c>
      <c r="I106" s="42">
        <v>3.6803913275878699</v>
      </c>
      <c r="J106" s="43">
        <v>0.45752476458910701</v>
      </c>
      <c r="K106" s="34">
        <f t="shared" si="7"/>
        <v>1.8300990583564282E-3</v>
      </c>
      <c r="M106" s="42">
        <v>3.6803913275878699</v>
      </c>
      <c r="N106" s="43">
        <v>0.57246289789305405</v>
      </c>
      <c r="O106" s="34">
        <f t="shared" si="8"/>
        <v>1.9082096596435135E-3</v>
      </c>
      <c r="Q106" s="42"/>
      <c r="R106" s="42"/>
      <c r="S106" s="34" t="str">
        <f t="shared" si="9"/>
        <v/>
      </c>
    </row>
    <row r="107" spans="1:19" x14ac:dyDescent="0.25">
      <c r="A107" s="42">
        <v>3.1518447707599</v>
      </c>
      <c r="B107" s="43">
        <v>0.112681657350181</v>
      </c>
      <c r="C107" s="34">
        <f t="shared" si="5"/>
        <v>1.4085207168772625E-3</v>
      </c>
      <c r="E107" s="42">
        <v>3.3155781143349401</v>
      </c>
      <c r="F107" s="43">
        <v>0.26482968239444798</v>
      </c>
      <c r="G107" s="34">
        <f t="shared" si="6"/>
        <v>1.7655312159629865E-3</v>
      </c>
      <c r="I107" s="42">
        <v>3.7187287372502502</v>
      </c>
      <c r="J107" s="43">
        <v>0.45477000104106102</v>
      </c>
      <c r="K107" s="34">
        <f t="shared" si="7"/>
        <v>1.8190800041642441E-3</v>
      </c>
      <c r="M107" s="42">
        <v>3.7187287372502502</v>
      </c>
      <c r="N107" s="43">
        <v>0.56897288330158202</v>
      </c>
      <c r="O107" s="34">
        <f t="shared" si="8"/>
        <v>1.89657627767194E-3</v>
      </c>
      <c r="Q107" s="42"/>
      <c r="R107" s="42"/>
      <c r="S107" s="34" t="str">
        <f t="shared" si="9"/>
        <v/>
      </c>
    </row>
    <row r="108" spans="1:19" x14ac:dyDescent="0.25">
      <c r="A108" s="42">
        <v>3.18433801581928</v>
      </c>
      <c r="B108" s="43">
        <v>0.111959936479677</v>
      </c>
      <c r="C108" s="34">
        <f t="shared" si="5"/>
        <v>1.3994992059959625E-3</v>
      </c>
      <c r="E108" s="42">
        <v>3.3497593320084902</v>
      </c>
      <c r="F108" s="43">
        <v>0.26031899457843899</v>
      </c>
      <c r="G108" s="34">
        <f t="shared" si="6"/>
        <v>1.73545996385626E-3</v>
      </c>
      <c r="I108" s="42">
        <v>3.7570661469126199</v>
      </c>
      <c r="J108" s="43">
        <v>0.45217559662404999</v>
      </c>
      <c r="K108" s="34">
        <f t="shared" si="7"/>
        <v>1.8087023864962E-3</v>
      </c>
      <c r="M108" s="42">
        <v>3.7570661469126199</v>
      </c>
      <c r="N108" s="43">
        <v>0.56581665838171302</v>
      </c>
      <c r="O108" s="34">
        <f t="shared" si="8"/>
        <v>1.8860555279390434E-3</v>
      </c>
      <c r="Q108" s="42"/>
      <c r="R108" s="42"/>
      <c r="S108" s="34" t="str">
        <f t="shared" si="9"/>
        <v/>
      </c>
    </row>
    <row r="109" spans="1:19" x14ac:dyDescent="0.25">
      <c r="A109" s="42">
        <v>3.21683126087866</v>
      </c>
      <c r="B109" s="43">
        <v>0.111386509494989</v>
      </c>
      <c r="C109" s="34">
        <f t="shared" si="5"/>
        <v>1.3923313686873624E-3</v>
      </c>
      <c r="E109" s="42">
        <v>3.38394054968205</v>
      </c>
      <c r="F109" s="43">
        <v>0.25417389305215399</v>
      </c>
      <c r="G109" s="34">
        <f t="shared" si="6"/>
        <v>1.6944926203476933E-3</v>
      </c>
      <c r="I109" s="42">
        <v>3.7954035565750002</v>
      </c>
      <c r="J109" s="43">
        <v>0.44956772449047999</v>
      </c>
      <c r="K109" s="34">
        <f t="shared" si="7"/>
        <v>1.7982708979619199E-3</v>
      </c>
      <c r="M109" s="42">
        <v>3.7954035565750002</v>
      </c>
      <c r="N109" s="43">
        <v>0.56265634678359699</v>
      </c>
      <c r="O109" s="34">
        <f t="shared" si="8"/>
        <v>1.8755211559453233E-3</v>
      </c>
      <c r="Q109" s="42"/>
      <c r="R109" s="42"/>
      <c r="S109" s="34" t="str">
        <f t="shared" si="9"/>
        <v/>
      </c>
    </row>
    <row r="110" spans="1:19" x14ac:dyDescent="0.25">
      <c r="A110" s="42">
        <v>3.24932450593804</v>
      </c>
      <c r="B110" s="43">
        <v>0.11020185028718001</v>
      </c>
      <c r="C110" s="34">
        <f t="shared" si="5"/>
        <v>1.37752312858975E-3</v>
      </c>
      <c r="E110" s="42">
        <v>3.4181217673556001</v>
      </c>
      <c r="F110" s="43">
        <v>0.24972764326597599</v>
      </c>
      <c r="G110" s="34">
        <f t="shared" si="6"/>
        <v>1.6648509551065065E-3</v>
      </c>
      <c r="I110" s="42">
        <v>3.8337409662373698</v>
      </c>
      <c r="J110" s="43">
        <v>0.44695801515038602</v>
      </c>
      <c r="K110" s="34">
        <f t="shared" si="7"/>
        <v>1.787832060601544E-3</v>
      </c>
      <c r="M110" s="42">
        <v>3.8337409662373698</v>
      </c>
      <c r="N110" s="43">
        <v>0.55949572822500104</v>
      </c>
      <c r="O110" s="34">
        <f t="shared" si="8"/>
        <v>1.8649857607500036E-3</v>
      </c>
      <c r="Q110" s="42"/>
      <c r="R110" s="42"/>
      <c r="S110" s="34" t="str">
        <f t="shared" si="9"/>
        <v/>
      </c>
    </row>
    <row r="111" spans="1:19" x14ac:dyDescent="0.25">
      <c r="A111" s="42">
        <v>3.28181775099742</v>
      </c>
      <c r="B111" s="43">
        <v>0.109259668822898</v>
      </c>
      <c r="C111" s="34">
        <f t="shared" si="5"/>
        <v>1.3657458602862251E-3</v>
      </c>
      <c r="E111" s="42">
        <v>3.45230298502916</v>
      </c>
      <c r="F111" s="43">
        <v>0.24702722931512</v>
      </c>
      <c r="G111" s="34">
        <f t="shared" si="6"/>
        <v>1.6468481954341333E-3</v>
      </c>
      <c r="I111" s="42">
        <v>3.8720783758997399</v>
      </c>
      <c r="J111" s="43">
        <v>0.44441028587252901</v>
      </c>
      <c r="K111" s="34">
        <f t="shared" si="7"/>
        <v>1.777641143490116E-3</v>
      </c>
      <c r="M111" s="42">
        <v>3.8720783758997399</v>
      </c>
      <c r="N111" s="43">
        <v>0.55649282686316004</v>
      </c>
      <c r="O111" s="34">
        <f t="shared" si="8"/>
        <v>1.8549760895438668E-3</v>
      </c>
      <c r="Q111" s="42"/>
      <c r="R111" s="42"/>
      <c r="S111" s="34" t="str">
        <f t="shared" si="9"/>
        <v/>
      </c>
    </row>
    <row r="112" spans="1:19" x14ac:dyDescent="0.25">
      <c r="A112" s="42">
        <v>3.3143109960568</v>
      </c>
      <c r="B112" s="43">
        <v>0.10873035778132201</v>
      </c>
      <c r="C112" s="34">
        <f t="shared" si="5"/>
        <v>1.3591294722665251E-3</v>
      </c>
      <c r="E112" s="42">
        <v>3.4864842027027199</v>
      </c>
      <c r="F112" s="43">
        <v>0.24626456868580901</v>
      </c>
      <c r="G112" s="34">
        <f t="shared" si="6"/>
        <v>1.6417637912387267E-3</v>
      </c>
      <c r="I112" s="42">
        <v>3.9104157855621202</v>
      </c>
      <c r="J112" s="43">
        <v>0.44198032650224101</v>
      </c>
      <c r="K112" s="34">
        <f t="shared" si="7"/>
        <v>1.767921306008964E-3</v>
      </c>
      <c r="M112" s="42">
        <v>3.9104157855621202</v>
      </c>
      <c r="N112" s="43">
        <v>0.553789850339511</v>
      </c>
      <c r="O112" s="34">
        <f t="shared" si="8"/>
        <v>1.8459661677983699E-3</v>
      </c>
      <c r="Q112" s="42"/>
      <c r="R112" s="42"/>
      <c r="S112" s="34" t="str">
        <f t="shared" si="9"/>
        <v/>
      </c>
    </row>
    <row r="113" spans="1:19" x14ac:dyDescent="0.25">
      <c r="A113" s="42">
        <v>3.34680424111618</v>
      </c>
      <c r="B113" s="43">
        <v>0.10768302464792601</v>
      </c>
      <c r="C113" s="34">
        <f t="shared" si="5"/>
        <v>1.3460378080990751E-3</v>
      </c>
      <c r="E113" s="42">
        <v>3.5206654203762699</v>
      </c>
      <c r="F113" s="43">
        <v>0.24220202369153601</v>
      </c>
      <c r="G113" s="34">
        <f t="shared" si="6"/>
        <v>1.6146801579435734E-3</v>
      </c>
      <c r="I113" s="42">
        <v>3.9487531952244899</v>
      </c>
      <c r="J113" s="43">
        <v>0.43955038693071002</v>
      </c>
      <c r="K113" s="34">
        <f t="shared" si="7"/>
        <v>1.75820154772284E-3</v>
      </c>
      <c r="M113" s="42">
        <v>3.9487531952244899</v>
      </c>
      <c r="N113" s="43">
        <v>0.55108724767737005</v>
      </c>
      <c r="O113" s="34">
        <f t="shared" si="8"/>
        <v>1.8369574922579002E-3</v>
      </c>
      <c r="Q113" s="42"/>
      <c r="R113" s="42"/>
      <c r="S113" s="34" t="str">
        <f t="shared" si="9"/>
        <v/>
      </c>
    </row>
    <row r="114" spans="1:19" x14ac:dyDescent="0.25">
      <c r="A114" s="42">
        <v>3.37929748617556</v>
      </c>
      <c r="B114" s="43">
        <v>0.106872207637789</v>
      </c>
      <c r="C114" s="34">
        <f t="shared" si="5"/>
        <v>1.3359025954723625E-3</v>
      </c>
      <c r="E114" s="42">
        <v>3.5548466380498298</v>
      </c>
      <c r="F114" s="43">
        <v>0.234185183332738</v>
      </c>
      <c r="G114" s="34">
        <f t="shared" si="6"/>
        <v>1.5612345555515866E-3</v>
      </c>
      <c r="I114" s="42">
        <v>3.98709060488686</v>
      </c>
      <c r="J114" s="43">
        <v>0.43712048076419002</v>
      </c>
      <c r="K114" s="34">
        <f t="shared" si="7"/>
        <v>1.74848192305676E-3</v>
      </c>
      <c r="M114" s="42">
        <v>3.98709060488686</v>
      </c>
      <c r="N114" s="43">
        <v>0.54838508046728096</v>
      </c>
      <c r="O114" s="34">
        <f t="shared" si="8"/>
        <v>1.8279502682242699E-3</v>
      </c>
      <c r="Q114" s="42"/>
      <c r="R114" s="42"/>
      <c r="S114" s="34" t="str">
        <f t="shared" si="9"/>
        <v/>
      </c>
    </row>
    <row r="115" spans="1:19" x14ac:dyDescent="0.25">
      <c r="A115" s="42">
        <v>3.41179073123494</v>
      </c>
      <c r="B115" s="43">
        <v>0.106302095876549</v>
      </c>
      <c r="C115" s="34">
        <f t="shared" si="5"/>
        <v>1.3287761984568625E-3</v>
      </c>
      <c r="E115" s="42">
        <v>3.5890278557233799</v>
      </c>
      <c r="F115" s="43">
        <v>0.226609062339374</v>
      </c>
      <c r="G115" s="34">
        <f t="shared" si="6"/>
        <v>1.5107270822624934E-3</v>
      </c>
      <c r="I115" s="42">
        <v>4.0254280145492398</v>
      </c>
      <c r="J115" s="43">
        <v>0.434727035266957</v>
      </c>
      <c r="K115" s="34">
        <f t="shared" si="7"/>
        <v>1.7389081410678279E-3</v>
      </c>
      <c r="M115" s="42">
        <v>4.0254280145492398</v>
      </c>
      <c r="N115" s="43">
        <v>0.54581390406641395</v>
      </c>
      <c r="O115" s="34">
        <f t="shared" si="8"/>
        <v>1.8193796802213797E-3</v>
      </c>
      <c r="Q115" s="42"/>
      <c r="R115" s="42"/>
      <c r="S115" s="34" t="str">
        <f t="shared" si="9"/>
        <v/>
      </c>
    </row>
    <row r="116" spans="1:19" x14ac:dyDescent="0.25">
      <c r="A116" s="42">
        <v>3.44428397629432</v>
      </c>
      <c r="B116" s="43">
        <v>0.105841096176456</v>
      </c>
      <c r="C116" s="34">
        <f t="shared" si="5"/>
        <v>1.3230137022056999E-3</v>
      </c>
      <c r="E116" s="42">
        <v>3.6232090733969402</v>
      </c>
      <c r="F116" s="43">
        <v>0.22064819431372501</v>
      </c>
      <c r="G116" s="34">
        <f t="shared" si="6"/>
        <v>1.4709879620915E-3</v>
      </c>
      <c r="I116" s="42">
        <v>4.0637654242116099</v>
      </c>
      <c r="J116" s="43">
        <v>0.432387217106247</v>
      </c>
      <c r="K116" s="34">
        <f t="shared" si="7"/>
        <v>1.729548868424988E-3</v>
      </c>
      <c r="M116" s="42">
        <v>4.0637654242116099</v>
      </c>
      <c r="N116" s="43">
        <v>0.54346125863224903</v>
      </c>
      <c r="O116" s="34">
        <f t="shared" si="8"/>
        <v>1.8115375287741633E-3</v>
      </c>
      <c r="Q116" s="42"/>
      <c r="R116" s="42"/>
      <c r="S116" s="34" t="str">
        <f t="shared" si="9"/>
        <v/>
      </c>
    </row>
    <row r="117" spans="1:19" x14ac:dyDescent="0.25">
      <c r="A117" s="42">
        <v>3.4767772213537098</v>
      </c>
      <c r="B117" s="43">
        <v>0.10448981803605099</v>
      </c>
      <c r="C117" s="34">
        <f t="shared" si="5"/>
        <v>1.3061227254506373E-3</v>
      </c>
      <c r="E117" s="42">
        <v>3.6573902910705001</v>
      </c>
      <c r="F117" s="43">
        <v>0.216397051588017</v>
      </c>
      <c r="G117" s="34">
        <f t="shared" si="6"/>
        <v>1.44264701058678E-3</v>
      </c>
      <c r="I117" s="42">
        <v>4.1021028338739898</v>
      </c>
      <c r="J117" s="43">
        <v>0.43003868795557598</v>
      </c>
      <c r="K117" s="34">
        <f t="shared" si="7"/>
        <v>1.7201547518223038E-3</v>
      </c>
      <c r="M117" s="42">
        <v>4.1021028338739898</v>
      </c>
      <c r="N117" s="43">
        <v>0.54110008866398596</v>
      </c>
      <c r="O117" s="34">
        <f t="shared" si="8"/>
        <v>1.8036669622132865E-3</v>
      </c>
      <c r="Q117" s="42"/>
      <c r="R117" s="42"/>
      <c r="S117" s="34" t="str">
        <f t="shared" si="9"/>
        <v/>
      </c>
    </row>
    <row r="118" spans="1:19" x14ac:dyDescent="0.25">
      <c r="A118" s="42">
        <v>3.5092704664130898</v>
      </c>
      <c r="B118" s="43">
        <v>0.103789909707086</v>
      </c>
      <c r="C118" s="34">
        <f t="shared" si="5"/>
        <v>1.297373871338575E-3</v>
      </c>
      <c r="E118" s="42">
        <v>3.6915715087440502</v>
      </c>
      <c r="F118" s="43">
        <v>0.21383651577530099</v>
      </c>
      <c r="G118" s="34">
        <f t="shared" si="6"/>
        <v>1.42557677183534E-3</v>
      </c>
      <c r="I118" s="42">
        <v>4.1404402435363599</v>
      </c>
      <c r="J118" s="43">
        <v>0.42768950833969199</v>
      </c>
      <c r="K118" s="34">
        <f t="shared" si="7"/>
        <v>1.7107580333587679E-3</v>
      </c>
      <c r="M118" s="42">
        <v>4.1404402435363599</v>
      </c>
      <c r="N118" s="43">
        <v>0.53873613719920699</v>
      </c>
      <c r="O118" s="34">
        <f t="shared" si="8"/>
        <v>1.7957871239973567E-3</v>
      </c>
      <c r="Q118" s="42"/>
      <c r="R118" s="42"/>
      <c r="S118" s="34" t="str">
        <f t="shared" si="9"/>
        <v/>
      </c>
    </row>
    <row r="119" spans="1:19" x14ac:dyDescent="0.25">
      <c r="A119" s="42">
        <v>3.5417637114724698</v>
      </c>
      <c r="B119" s="43">
        <v>0.102717900141427</v>
      </c>
      <c r="C119" s="34">
        <f t="shared" si="5"/>
        <v>1.2839737517678375E-3</v>
      </c>
      <c r="E119" s="42">
        <v>3.72575272641761</v>
      </c>
      <c r="F119" s="43">
        <v>0.21126142705425299</v>
      </c>
      <c r="G119" s="34">
        <f t="shared" si="6"/>
        <v>1.4084095136950199E-3</v>
      </c>
      <c r="I119" s="42">
        <v>4.17877765319873</v>
      </c>
      <c r="J119" s="43">
        <v>0.42533923734948698</v>
      </c>
      <c r="K119" s="34">
        <f t="shared" si="7"/>
        <v>1.7013569493979479E-3</v>
      </c>
      <c r="M119" s="42">
        <v>4.17877765319873</v>
      </c>
      <c r="N119" s="43">
        <v>0.53645287709887202</v>
      </c>
      <c r="O119" s="34">
        <f t="shared" si="8"/>
        <v>1.7881762569962401E-3</v>
      </c>
      <c r="Q119" s="42"/>
      <c r="R119" s="42"/>
      <c r="S119" s="34" t="str">
        <f t="shared" si="9"/>
        <v/>
      </c>
    </row>
    <row r="120" spans="1:19" x14ac:dyDescent="0.25">
      <c r="A120" s="42">
        <v>3.5742569565318498</v>
      </c>
      <c r="B120" s="43">
        <v>0.101674394962168</v>
      </c>
      <c r="C120" s="34">
        <f t="shared" si="5"/>
        <v>1.2709299370271001E-3</v>
      </c>
      <c r="E120" s="42">
        <v>3.7599339440911601</v>
      </c>
      <c r="F120" s="43">
        <v>0.204502897437468</v>
      </c>
      <c r="G120" s="34">
        <f t="shared" si="6"/>
        <v>1.3633526495831199E-3</v>
      </c>
      <c r="I120" s="42">
        <v>4.2171150628611098</v>
      </c>
      <c r="J120" s="43">
        <v>0.42298750078509101</v>
      </c>
      <c r="K120" s="34">
        <f t="shared" si="7"/>
        <v>1.6919500031403641E-3</v>
      </c>
      <c r="M120" s="42">
        <v>4.2171150628611098</v>
      </c>
      <c r="N120" s="43">
        <v>0.53429783006053</v>
      </c>
      <c r="O120" s="34">
        <f t="shared" si="8"/>
        <v>1.7809927668684332E-3</v>
      </c>
      <c r="Q120" s="42"/>
      <c r="R120" s="42"/>
      <c r="S120" s="34" t="str">
        <f t="shared" si="9"/>
        <v/>
      </c>
    </row>
    <row r="121" spans="1:19" x14ac:dyDescent="0.25">
      <c r="A121" s="42">
        <v>3.6067502015912298</v>
      </c>
      <c r="B121" s="43">
        <v>0.100967817649218</v>
      </c>
      <c r="C121" s="34">
        <f t="shared" si="5"/>
        <v>1.262097720615225E-3</v>
      </c>
      <c r="E121" s="42">
        <v>3.79411516176472</v>
      </c>
      <c r="F121" s="43">
        <v>0.197016967243756</v>
      </c>
      <c r="G121" s="34">
        <f t="shared" si="6"/>
        <v>1.3134464482917067E-3</v>
      </c>
      <c r="I121" s="42">
        <v>4.2554524725234799</v>
      </c>
      <c r="J121" s="43">
        <v>0.42063494486629799</v>
      </c>
      <c r="K121" s="34">
        <f t="shared" si="7"/>
        <v>1.6825397794651919E-3</v>
      </c>
      <c r="M121" s="42">
        <v>4.2554524725234799</v>
      </c>
      <c r="N121" s="43">
        <v>0.53213831905192699</v>
      </c>
      <c r="O121" s="34">
        <f t="shared" si="8"/>
        <v>1.7737943968397566E-3</v>
      </c>
      <c r="Q121" s="42"/>
      <c r="R121" s="42"/>
      <c r="S121" s="34" t="str">
        <f t="shared" si="9"/>
        <v/>
      </c>
    </row>
    <row r="122" spans="1:19" x14ac:dyDescent="0.25">
      <c r="A122" s="42">
        <v>3.6392434466506098</v>
      </c>
      <c r="B122" s="43">
        <v>0.10060720069784999</v>
      </c>
      <c r="C122" s="34">
        <f t="shared" si="5"/>
        <v>1.2575900087231249E-3</v>
      </c>
      <c r="E122" s="42">
        <v>3.8282963794382798</v>
      </c>
      <c r="F122" s="43">
        <v>0.19084496160914899</v>
      </c>
      <c r="G122" s="34">
        <f t="shared" si="6"/>
        <v>1.2722997440609933E-3</v>
      </c>
      <c r="I122" s="42">
        <v>4.29378988218585</v>
      </c>
      <c r="J122" s="43">
        <v>0.418281569441046</v>
      </c>
      <c r="K122" s="34">
        <f t="shared" si="7"/>
        <v>1.6731262777641841E-3</v>
      </c>
      <c r="M122" s="42">
        <v>4.29378988218585</v>
      </c>
      <c r="N122" s="43">
        <v>0.52997435919787705</v>
      </c>
      <c r="O122" s="34">
        <f t="shared" si="8"/>
        <v>1.7665811973262568E-3</v>
      </c>
      <c r="Q122" s="42"/>
      <c r="R122" s="42"/>
      <c r="S122" s="34" t="str">
        <f t="shared" si="9"/>
        <v/>
      </c>
    </row>
    <row r="123" spans="1:19" x14ac:dyDescent="0.25">
      <c r="A123" s="42">
        <v>3.6717366917099898</v>
      </c>
      <c r="B123" s="43">
        <v>0.100236670190806</v>
      </c>
      <c r="C123" s="34">
        <f t="shared" si="5"/>
        <v>1.252958377385075E-3</v>
      </c>
      <c r="E123" s="42">
        <v>3.8624775971118299</v>
      </c>
      <c r="F123" s="43">
        <v>0.18606876744489501</v>
      </c>
      <c r="G123" s="34">
        <f t="shared" si="6"/>
        <v>1.2404584496326333E-3</v>
      </c>
      <c r="I123" s="42">
        <v>4.3321272918482299</v>
      </c>
      <c r="J123" s="43">
        <v>0.415883756867927</v>
      </c>
      <c r="K123" s="34">
        <f t="shared" si="7"/>
        <v>1.6635350274717079E-3</v>
      </c>
      <c r="M123" s="42">
        <v>4.3321272918482299</v>
      </c>
      <c r="N123" s="43">
        <v>0.52774151287805804</v>
      </c>
      <c r="O123" s="34">
        <f t="shared" si="8"/>
        <v>1.7591383762601935E-3</v>
      </c>
      <c r="Q123" s="42"/>
      <c r="R123" s="42"/>
      <c r="S123" s="34" t="str">
        <f t="shared" si="9"/>
        <v/>
      </c>
    </row>
    <row r="124" spans="1:19" x14ac:dyDescent="0.25">
      <c r="A124" s="42">
        <v>3.7042299367693698</v>
      </c>
      <c r="B124" s="43">
        <v>9.9237111091987601E-2</v>
      </c>
      <c r="C124" s="34">
        <f t="shared" si="5"/>
        <v>1.2404638886498449E-3</v>
      </c>
      <c r="E124" s="42">
        <v>3.8966588147853898</v>
      </c>
      <c r="F124" s="43">
        <v>0.18265889272904501</v>
      </c>
      <c r="G124" s="34">
        <f t="shared" si="6"/>
        <v>1.2177259515269668E-3</v>
      </c>
      <c r="I124" s="42">
        <v>4.3704647015106</v>
      </c>
      <c r="J124" s="43">
        <v>0.41341104156270703</v>
      </c>
      <c r="K124" s="34">
        <f t="shared" si="7"/>
        <v>1.6536441662508281E-3</v>
      </c>
      <c r="M124" s="42">
        <v>4.3704647015106</v>
      </c>
      <c r="N124" s="43">
        <v>0.52539260589252701</v>
      </c>
      <c r="O124" s="34">
        <f t="shared" si="8"/>
        <v>1.7513086863084233E-3</v>
      </c>
      <c r="Q124" s="42"/>
      <c r="R124" s="42"/>
      <c r="S124" s="34" t="str">
        <f t="shared" si="9"/>
        <v/>
      </c>
    </row>
    <row r="125" spans="1:19" x14ac:dyDescent="0.25">
      <c r="A125" s="42">
        <v>3.7367231818287499</v>
      </c>
      <c r="B125" s="43">
        <v>9.8146213751804601E-2</v>
      </c>
      <c r="C125" s="34">
        <f t="shared" si="5"/>
        <v>1.2268276718975576E-3</v>
      </c>
      <c r="E125" s="42">
        <v>3.9308400324589399</v>
      </c>
      <c r="F125" s="43">
        <v>0.17838912481512301</v>
      </c>
      <c r="G125" s="34">
        <f t="shared" si="6"/>
        <v>1.18926083210082E-3</v>
      </c>
      <c r="I125" s="42">
        <v>4.4088021111729798</v>
      </c>
      <c r="J125" s="43">
        <v>0.41093753285843898</v>
      </c>
      <c r="K125" s="34">
        <f t="shared" si="7"/>
        <v>1.6437501314337558E-3</v>
      </c>
      <c r="M125" s="42">
        <v>4.4088021111729798</v>
      </c>
      <c r="N125" s="43">
        <v>0.52303383465060704</v>
      </c>
      <c r="O125" s="34">
        <f t="shared" si="8"/>
        <v>1.7434461155020236E-3</v>
      </c>
      <c r="Q125" s="42"/>
      <c r="R125" s="42"/>
      <c r="S125" s="34" t="str">
        <f t="shared" si="9"/>
        <v/>
      </c>
    </row>
    <row r="126" spans="1:19" x14ac:dyDescent="0.25">
      <c r="A126" s="42">
        <v>3.7692164268881299</v>
      </c>
      <c r="B126" s="43">
        <v>9.6712337140298504E-2</v>
      </c>
      <c r="C126" s="34">
        <f t="shared" si="5"/>
        <v>1.2089042142537313E-3</v>
      </c>
      <c r="E126" s="42">
        <v>3.9650212501325002</v>
      </c>
      <c r="F126" s="43">
        <v>0.17450434195454201</v>
      </c>
      <c r="G126" s="34">
        <f t="shared" si="6"/>
        <v>1.1633622796969466E-3</v>
      </c>
      <c r="I126" s="42">
        <v>4.4471395208353499</v>
      </c>
      <c r="J126" s="43">
        <v>0.40846321827321902</v>
      </c>
      <c r="K126" s="34">
        <f t="shared" si="7"/>
        <v>1.6338528730928761E-3</v>
      </c>
      <c r="M126" s="42">
        <v>4.4471395208353499</v>
      </c>
      <c r="N126" s="43">
        <v>0.520665076504916</v>
      </c>
      <c r="O126" s="34">
        <f t="shared" si="8"/>
        <v>1.7355502550163867E-3</v>
      </c>
      <c r="Q126" s="42"/>
      <c r="R126" s="42"/>
      <c r="S126" s="34" t="str">
        <f t="shared" si="9"/>
        <v/>
      </c>
    </row>
    <row r="127" spans="1:19" x14ac:dyDescent="0.25">
      <c r="A127" s="42">
        <v>3.8017096719475099</v>
      </c>
      <c r="B127" s="43">
        <v>9.5700815579784895E-2</v>
      </c>
      <c r="C127" s="34">
        <f t="shared" si="5"/>
        <v>1.1962601947473111E-3</v>
      </c>
      <c r="E127" s="42">
        <v>3.99920246780606</v>
      </c>
      <c r="F127" s="43">
        <v>0.171119356913778</v>
      </c>
      <c r="G127" s="34">
        <f t="shared" si="6"/>
        <v>1.14079571275852E-3</v>
      </c>
      <c r="I127" s="42">
        <v>4.48547693049772</v>
      </c>
      <c r="J127" s="43">
        <v>0.405929027814174</v>
      </c>
      <c r="K127" s="34">
        <f t="shared" si="7"/>
        <v>1.623716111256696E-3</v>
      </c>
      <c r="M127" s="42">
        <v>4.48547693049772</v>
      </c>
      <c r="N127" s="43">
        <v>0.51800159612925201</v>
      </c>
      <c r="O127" s="34">
        <f t="shared" si="8"/>
        <v>1.7266719870975067E-3</v>
      </c>
      <c r="Q127" s="42"/>
      <c r="R127" s="42"/>
      <c r="S127" s="34" t="str">
        <f t="shared" si="9"/>
        <v/>
      </c>
    </row>
    <row r="128" spans="1:19" x14ac:dyDescent="0.25">
      <c r="A128" s="42">
        <v>3.8342029170068899</v>
      </c>
      <c r="B128" s="43">
        <v>9.5093050892751899E-2</v>
      </c>
      <c r="C128" s="34">
        <f t="shared" si="5"/>
        <v>1.1886631361593988E-3</v>
      </c>
      <c r="E128" s="42">
        <v>4.0333836854796097</v>
      </c>
      <c r="F128" s="43">
        <v>0.16557900522079999</v>
      </c>
      <c r="G128" s="34">
        <f t="shared" si="6"/>
        <v>1.1038600348053332E-3</v>
      </c>
      <c r="I128" s="42">
        <v>4.5238143401600999</v>
      </c>
      <c r="J128" s="43">
        <v>0.40331349196607003</v>
      </c>
      <c r="K128" s="34">
        <f t="shared" si="7"/>
        <v>1.6132539678642801E-3</v>
      </c>
      <c r="M128" s="42">
        <v>4.5238143401600999</v>
      </c>
      <c r="N128" s="43">
        <v>0.51494501426485895</v>
      </c>
      <c r="O128" s="34">
        <f t="shared" si="8"/>
        <v>1.7164833808828632E-3</v>
      </c>
      <c r="Q128" s="42"/>
      <c r="R128" s="42"/>
      <c r="S128" s="34" t="str">
        <f t="shared" si="9"/>
        <v/>
      </c>
    </row>
    <row r="129" spans="1:19" x14ac:dyDescent="0.25">
      <c r="A129" s="42">
        <v>3.8666961620662699</v>
      </c>
      <c r="B129" s="43">
        <v>9.4946960828968099E-2</v>
      </c>
      <c r="C129" s="34">
        <f t="shared" si="5"/>
        <v>1.1868370103621012E-3</v>
      </c>
      <c r="E129" s="42">
        <v>4.06756490315317</v>
      </c>
      <c r="F129" s="43">
        <v>0.16101376090462099</v>
      </c>
      <c r="G129" s="34">
        <f t="shared" si="6"/>
        <v>1.0734250726974733E-3</v>
      </c>
      <c r="I129" s="42">
        <v>4.56215174982247</v>
      </c>
      <c r="J129" s="43">
        <v>0.40069694787582399</v>
      </c>
      <c r="K129" s="34">
        <f t="shared" si="7"/>
        <v>1.6027877915032959E-3</v>
      </c>
      <c r="M129" s="42">
        <v>4.56215174982247</v>
      </c>
      <c r="N129" s="43">
        <v>0.51188528198178596</v>
      </c>
      <c r="O129" s="34">
        <f t="shared" si="8"/>
        <v>1.7062842732726198E-3</v>
      </c>
      <c r="Q129" s="42"/>
      <c r="R129" s="42"/>
      <c r="S129" s="34" t="str">
        <f t="shared" si="9"/>
        <v/>
      </c>
    </row>
    <row r="130" spans="1:19" x14ac:dyDescent="0.25">
      <c r="A130" s="42">
        <v>3.8991894071256499</v>
      </c>
      <c r="B130" s="43">
        <v>9.44686035862808E-2</v>
      </c>
      <c r="C130" s="34">
        <f t="shared" si="5"/>
        <v>1.18085754482851E-3</v>
      </c>
      <c r="E130" s="42">
        <v>4.1017461208267196</v>
      </c>
      <c r="F130" s="43">
        <v>0.15625288452209199</v>
      </c>
      <c r="G130" s="34">
        <f t="shared" si="6"/>
        <v>1.0416858968139465E-3</v>
      </c>
      <c r="I130" s="42">
        <v>4.6004891594848401</v>
      </c>
      <c r="J130" s="43">
        <v>0.39807937799383902</v>
      </c>
      <c r="K130" s="34">
        <f t="shared" si="7"/>
        <v>1.592317511975356E-3</v>
      </c>
      <c r="M130" s="42">
        <v>4.6004891594848401</v>
      </c>
      <c r="N130" s="43">
        <v>0.50882247984575302</v>
      </c>
      <c r="O130" s="34">
        <f t="shared" si="8"/>
        <v>1.6960749328191768E-3</v>
      </c>
      <c r="Q130" s="42"/>
      <c r="R130" s="42"/>
      <c r="S130" s="34" t="str">
        <f t="shared" si="9"/>
        <v/>
      </c>
    </row>
    <row r="131" spans="1:19" x14ac:dyDescent="0.25">
      <c r="A131" s="42">
        <v>3.9316826521850299</v>
      </c>
      <c r="B131" s="43">
        <v>9.3878480763262898E-2</v>
      </c>
      <c r="C131" s="34">
        <f t="shared" si="5"/>
        <v>1.1734810095407862E-3</v>
      </c>
      <c r="E131" s="42">
        <v>4.1359273385002799</v>
      </c>
      <c r="F131" s="43">
        <v>0.15154651118870199</v>
      </c>
      <c r="G131" s="34">
        <f t="shared" si="6"/>
        <v>1.0103100745913467E-3</v>
      </c>
      <c r="I131" s="42">
        <v>4.6388265691472199</v>
      </c>
      <c r="J131" s="43">
        <v>0.395310402574435</v>
      </c>
      <c r="K131" s="34">
        <f t="shared" si="7"/>
        <v>1.58124161029774E-3</v>
      </c>
      <c r="M131" s="42">
        <v>4.6388265691472199</v>
      </c>
      <c r="N131" s="43">
        <v>0.50536074063519898</v>
      </c>
      <c r="O131" s="34">
        <f t="shared" si="8"/>
        <v>1.6845358021173298E-3</v>
      </c>
      <c r="Q131" s="42"/>
      <c r="R131" s="42"/>
      <c r="S131" s="34" t="str">
        <f t="shared" si="9"/>
        <v/>
      </c>
    </row>
    <row r="132" spans="1:19" x14ac:dyDescent="0.25">
      <c r="A132" s="42">
        <v>3.9641758972444099</v>
      </c>
      <c r="B132" s="43">
        <v>9.2184002458141706E-2</v>
      </c>
      <c r="C132" s="34">
        <f t="shared" si="5"/>
        <v>1.1523000307267714E-3</v>
      </c>
      <c r="E132" s="42">
        <v>4.1701085561738402</v>
      </c>
      <c r="F132" s="43">
        <v>0.14773829812407699</v>
      </c>
      <c r="G132" s="34">
        <f t="shared" si="6"/>
        <v>9.8492198749384661E-4</v>
      </c>
      <c r="I132" s="42">
        <v>4.67716397880959</v>
      </c>
      <c r="J132" s="43">
        <v>0.39236821051718801</v>
      </c>
      <c r="K132" s="34">
        <f t="shared" si="7"/>
        <v>1.5694728420687521E-3</v>
      </c>
      <c r="M132" s="42">
        <v>4.67716397880959</v>
      </c>
      <c r="N132" s="43">
        <v>0.50142455420603804</v>
      </c>
      <c r="O132" s="34">
        <f t="shared" si="8"/>
        <v>1.6714151806867935E-3</v>
      </c>
      <c r="Q132" s="42"/>
      <c r="R132" s="42"/>
      <c r="S132" s="34" t="str">
        <f t="shared" si="9"/>
        <v/>
      </c>
    </row>
    <row r="133" spans="1:19" x14ac:dyDescent="0.25">
      <c r="A133" s="42">
        <v>3.9966691423037899</v>
      </c>
      <c r="B133" s="43">
        <v>9.0857606976091507E-2</v>
      </c>
      <c r="C133" s="34">
        <f t="shared" si="5"/>
        <v>1.1357200872011439E-3</v>
      </c>
      <c r="E133" s="42">
        <v>4.2042897738473899</v>
      </c>
      <c r="F133" s="43">
        <v>0.14467053120759199</v>
      </c>
      <c r="G133" s="34">
        <f t="shared" si="6"/>
        <v>9.6447020805061324E-4</v>
      </c>
      <c r="I133" s="42">
        <v>4.7155013884719699</v>
      </c>
      <c r="J133" s="43">
        <v>0.38942693625160502</v>
      </c>
      <c r="K133" s="34">
        <f t="shared" si="7"/>
        <v>1.55770774500642E-3</v>
      </c>
      <c r="M133" s="42">
        <v>4.7155013884719699</v>
      </c>
      <c r="N133" s="43">
        <v>0.497481410354012</v>
      </c>
      <c r="O133" s="34">
        <f t="shared" si="8"/>
        <v>1.6582713678467067E-3</v>
      </c>
      <c r="Q133" s="42"/>
      <c r="R133" s="42"/>
      <c r="S133" s="34" t="str">
        <f t="shared" si="9"/>
        <v/>
      </c>
    </row>
    <row r="134" spans="1:19" x14ac:dyDescent="0.25">
      <c r="A134" s="42">
        <v>4.0291623873631703</v>
      </c>
      <c r="B134" s="43">
        <v>8.9975801694290203E-2</v>
      </c>
      <c r="C134" s="34">
        <f t="shared" si="5"/>
        <v>1.1246975211786276E-3</v>
      </c>
      <c r="E134" s="42">
        <v>4.2384709915209502</v>
      </c>
      <c r="F134" s="43">
        <v>0.142388088653461</v>
      </c>
      <c r="G134" s="34">
        <f t="shared" si="6"/>
        <v>9.4925392435640668E-4</v>
      </c>
      <c r="I134" s="42">
        <v>4.75383879813434</v>
      </c>
      <c r="J134" s="43">
        <v>0.38648645226793199</v>
      </c>
      <c r="K134" s="34">
        <f t="shared" si="7"/>
        <v>1.545945809071728E-3</v>
      </c>
      <c r="M134" s="42">
        <v>4.75383879813434</v>
      </c>
      <c r="N134" s="43">
        <v>0.49353108495840398</v>
      </c>
      <c r="O134" s="34">
        <f t="shared" si="8"/>
        <v>1.6451036165280133E-3</v>
      </c>
      <c r="Q134" s="42"/>
      <c r="R134" s="42"/>
      <c r="S134" s="34" t="str">
        <f t="shared" si="9"/>
        <v/>
      </c>
    </row>
    <row r="135" spans="1:19" x14ac:dyDescent="0.25">
      <c r="A135" s="42">
        <v>4.0616556324225499</v>
      </c>
      <c r="B135" s="43">
        <v>8.9601805868960702E-2</v>
      </c>
      <c r="C135" s="34">
        <f t="shared" si="5"/>
        <v>1.1200225733620087E-3</v>
      </c>
      <c r="E135" s="42">
        <v>4.2726522091944998</v>
      </c>
      <c r="F135" s="43">
        <v>0.139715476389425</v>
      </c>
      <c r="G135" s="34">
        <f t="shared" si="6"/>
        <v>9.314365092628333E-4</v>
      </c>
      <c r="I135" s="42">
        <v>4.7921762077967101</v>
      </c>
      <c r="J135" s="43">
        <v>0.38331975476608299</v>
      </c>
      <c r="K135" s="34">
        <f t="shared" si="7"/>
        <v>1.5332790190643319E-3</v>
      </c>
      <c r="M135" s="42">
        <v>4.7921762077967101</v>
      </c>
      <c r="N135" s="43">
        <v>0.48902119613015799</v>
      </c>
      <c r="O135" s="34">
        <f t="shared" si="8"/>
        <v>1.6300706537671933E-3</v>
      </c>
      <c r="Q135" s="42"/>
      <c r="R135" s="42"/>
      <c r="S135" s="34" t="str">
        <f t="shared" si="9"/>
        <v/>
      </c>
    </row>
    <row r="136" spans="1:19" x14ac:dyDescent="0.25">
      <c r="A136" s="42">
        <v>4.0941488774819303</v>
      </c>
      <c r="B136" s="43">
        <v>8.8861254716334603E-2</v>
      </c>
      <c r="C136" s="34">
        <f t="shared" si="5"/>
        <v>1.1107656839541825E-3</v>
      </c>
      <c r="E136" s="42">
        <v>4.3068334268680601</v>
      </c>
      <c r="F136" s="43">
        <v>0.137299471994976</v>
      </c>
      <c r="G136" s="34">
        <f t="shared" si="6"/>
        <v>9.1532981329984001E-4</v>
      </c>
      <c r="I136" s="42">
        <v>4.8305136174590899</v>
      </c>
      <c r="J136" s="43">
        <v>0.37987605287603299</v>
      </c>
      <c r="K136" s="34">
        <f t="shared" si="7"/>
        <v>1.519504211504132E-3</v>
      </c>
      <c r="M136" s="42">
        <v>4.8305136174590899</v>
      </c>
      <c r="N136" s="43">
        <v>0.48382400085457899</v>
      </c>
      <c r="O136" s="34">
        <f t="shared" si="8"/>
        <v>1.6127466695152633E-3</v>
      </c>
      <c r="Q136" s="42"/>
      <c r="R136" s="42"/>
      <c r="S136" s="34" t="str">
        <f t="shared" si="9"/>
        <v/>
      </c>
    </row>
    <row r="137" spans="1:19" x14ac:dyDescent="0.25">
      <c r="A137" s="42">
        <v>4.1266421225413099</v>
      </c>
      <c r="B137" s="43">
        <v>8.8079592292167899E-2</v>
      </c>
      <c r="C137" s="34">
        <f t="shared" si="5"/>
        <v>1.1009949036520988E-3</v>
      </c>
      <c r="E137" s="42">
        <v>4.3410146445416196</v>
      </c>
      <c r="F137" s="43">
        <v>0.13540907932750501</v>
      </c>
      <c r="G137" s="34">
        <f t="shared" si="6"/>
        <v>9.0272719551670003E-4</v>
      </c>
      <c r="I137" s="42">
        <v>4.86885102712146</v>
      </c>
      <c r="J137" s="43">
        <v>0.376418749693743</v>
      </c>
      <c r="K137" s="34">
        <f t="shared" si="7"/>
        <v>1.505674998774972E-3</v>
      </c>
      <c r="M137" s="42">
        <v>4.86885102712146</v>
      </c>
      <c r="N137" s="43">
        <v>0.47857955637468103</v>
      </c>
      <c r="O137" s="34">
        <f t="shared" si="8"/>
        <v>1.5952651879156034E-3</v>
      </c>
      <c r="Q137" s="42"/>
      <c r="R137" s="42"/>
      <c r="S137" s="34" t="str">
        <f t="shared" si="9"/>
        <v/>
      </c>
    </row>
    <row r="138" spans="1:19" x14ac:dyDescent="0.25">
      <c r="A138" s="42">
        <v>4.1591353676006904</v>
      </c>
      <c r="B138" s="43">
        <v>8.7859987942296297E-2</v>
      </c>
      <c r="C138" s="34">
        <f t="shared" ref="C138:C201" si="10">IF(OR(B138="",B$4=""),"",B138/B$4)</f>
        <v>1.0982498492787037E-3</v>
      </c>
      <c r="E138" s="42">
        <v>4.3751958622151701</v>
      </c>
      <c r="F138" s="43">
        <v>0.13247344055738799</v>
      </c>
      <c r="G138" s="34">
        <f t="shared" ref="G138:G201" si="11">IF(OR(F138="",F$4=""),"",F138/F$4)</f>
        <v>8.8315627038258661E-4</v>
      </c>
      <c r="I138" s="42">
        <v>4.9071884367838301</v>
      </c>
      <c r="J138" s="43">
        <v>0.37296351373090197</v>
      </c>
      <c r="K138" s="34">
        <f t="shared" ref="K138:K201" si="12">IF(OR(J138="",J$4=""),"",J138/J$4)</f>
        <v>1.4918540549236079E-3</v>
      </c>
      <c r="M138" s="42">
        <v>4.9071884367838301</v>
      </c>
      <c r="N138" s="43">
        <v>0.473323064760585</v>
      </c>
      <c r="O138" s="34">
        <f t="shared" ref="O138:O201" si="13">IF(OR(N138="",N$4=""),"",N138/N$4)</f>
        <v>1.5777435492019499E-3</v>
      </c>
      <c r="Q138" s="42"/>
      <c r="R138" s="42"/>
      <c r="S138" s="34" t="str">
        <f t="shared" ref="S138:S201" si="14">IF(OR(R138="",R$4=""),"",R138/R$4)</f>
        <v/>
      </c>
    </row>
    <row r="139" spans="1:19" x14ac:dyDescent="0.25">
      <c r="A139" s="42">
        <v>4.1916286126600797</v>
      </c>
      <c r="B139" s="43">
        <v>8.8151925385210606E-2</v>
      </c>
      <c r="C139" s="34">
        <f t="shared" si="10"/>
        <v>1.1018990673151326E-3</v>
      </c>
      <c r="E139" s="42">
        <v>4.4093770798887304</v>
      </c>
      <c r="F139" s="43">
        <v>0.12935457123283101</v>
      </c>
      <c r="G139" s="34">
        <f t="shared" si="11"/>
        <v>8.6236380821887333E-4</v>
      </c>
      <c r="I139" s="42">
        <v>4.94552584644621</v>
      </c>
      <c r="J139" s="43">
        <v>0.36908246133268402</v>
      </c>
      <c r="K139" s="34">
        <f t="shared" si="12"/>
        <v>1.4763298453307361E-3</v>
      </c>
      <c r="M139" s="42">
        <v>4.94552584644621</v>
      </c>
      <c r="N139" s="43">
        <v>0.46708359384898401</v>
      </c>
      <c r="O139" s="34">
        <f t="shared" si="13"/>
        <v>1.5569453128299467E-3</v>
      </c>
      <c r="Q139" s="42"/>
      <c r="R139" s="42"/>
      <c r="S139" s="34" t="str">
        <f t="shared" si="14"/>
        <v/>
      </c>
    </row>
    <row r="140" spans="1:19" x14ac:dyDescent="0.25">
      <c r="A140" s="42">
        <v>4.2241218577194601</v>
      </c>
      <c r="B140" s="43">
        <v>8.8233899364461105E-2</v>
      </c>
      <c r="C140" s="34">
        <f t="shared" si="10"/>
        <v>1.1029237420557639E-3</v>
      </c>
      <c r="E140" s="42">
        <v>4.44355829756228</v>
      </c>
      <c r="F140" s="43">
        <v>0.12574457137807499</v>
      </c>
      <c r="G140" s="34">
        <f t="shared" si="11"/>
        <v>8.3829714252049996E-4</v>
      </c>
      <c r="I140" s="42">
        <v>4.9838632561085801</v>
      </c>
      <c r="J140" s="43">
        <v>0.364697064395959</v>
      </c>
      <c r="K140" s="34">
        <f t="shared" si="12"/>
        <v>1.4587882575838359E-3</v>
      </c>
      <c r="M140" s="42">
        <v>4.9838632561085801</v>
      </c>
      <c r="N140" s="43">
        <v>0.45974995062902502</v>
      </c>
      <c r="O140" s="34">
        <f t="shared" si="13"/>
        <v>1.5324998354300833E-3</v>
      </c>
      <c r="Q140" s="42"/>
      <c r="R140" s="42"/>
      <c r="S140" s="34" t="str">
        <f t="shared" si="14"/>
        <v/>
      </c>
    </row>
    <row r="141" spans="1:19" x14ac:dyDescent="0.25">
      <c r="A141" s="42">
        <v>4.2566151027788397</v>
      </c>
      <c r="B141" s="43">
        <v>8.7265780679962393E-2</v>
      </c>
      <c r="C141" s="34">
        <f t="shared" si="10"/>
        <v>1.0908222584995299E-3</v>
      </c>
      <c r="E141" s="42">
        <v>4.4777395152358404</v>
      </c>
      <c r="F141" s="43">
        <v>0.12253292710338599</v>
      </c>
      <c r="G141" s="34">
        <f t="shared" si="11"/>
        <v>8.1688618068924E-4</v>
      </c>
      <c r="I141" s="42">
        <v>5.0222006657709501</v>
      </c>
      <c r="J141" s="43">
        <v>0.36031859860988202</v>
      </c>
      <c r="K141" s="34">
        <f t="shared" si="12"/>
        <v>1.4412743944395281E-3</v>
      </c>
      <c r="M141" s="42">
        <v>5.0222006657709501</v>
      </c>
      <c r="N141" s="43">
        <v>0.45251093776867302</v>
      </c>
      <c r="O141" s="34">
        <f t="shared" si="13"/>
        <v>1.5083697925622433E-3</v>
      </c>
      <c r="Q141" s="42"/>
      <c r="R141" s="42"/>
      <c r="S141" s="34" t="str">
        <f t="shared" si="14"/>
        <v/>
      </c>
    </row>
    <row r="142" spans="1:19" x14ac:dyDescent="0.25">
      <c r="A142" s="42">
        <v>4.2891083478382201</v>
      </c>
      <c r="B142" s="43">
        <v>8.5815649327794202E-2</v>
      </c>
      <c r="C142" s="34">
        <f t="shared" si="10"/>
        <v>1.0726956165974274E-3</v>
      </c>
      <c r="E142" s="42">
        <v>4.5119207329093998</v>
      </c>
      <c r="F142" s="43">
        <v>0.119656489480119</v>
      </c>
      <c r="G142" s="34">
        <f t="shared" si="11"/>
        <v>7.9770992986746001E-4</v>
      </c>
      <c r="I142" s="42">
        <v>5.06053807543333</v>
      </c>
      <c r="J142" s="43">
        <v>0.35594297097069899</v>
      </c>
      <c r="K142" s="34">
        <f t="shared" si="12"/>
        <v>1.4237718838827961E-3</v>
      </c>
      <c r="M142" s="42">
        <v>5.06053807543333</v>
      </c>
      <c r="N142" s="43">
        <v>0.44536294420066702</v>
      </c>
      <c r="O142" s="34">
        <f t="shared" si="13"/>
        <v>1.4845431473355568E-3</v>
      </c>
      <c r="Q142" s="42"/>
      <c r="R142" s="42"/>
      <c r="S142" s="34" t="str">
        <f t="shared" si="14"/>
        <v/>
      </c>
    </row>
    <row r="143" spans="1:19" x14ac:dyDescent="0.25">
      <c r="A143" s="42">
        <v>4.3216015928975997</v>
      </c>
      <c r="B143" s="43">
        <v>8.4884249011709795E-2</v>
      </c>
      <c r="C143" s="34">
        <f t="shared" si="10"/>
        <v>1.0610531126463724E-3</v>
      </c>
      <c r="E143" s="42">
        <v>4.5461019505829503</v>
      </c>
      <c r="F143" s="43">
        <v>0.117096900222669</v>
      </c>
      <c r="G143" s="34">
        <f t="shared" si="11"/>
        <v>7.8064600148445998E-4</v>
      </c>
      <c r="I143" s="42">
        <v>5.0988754850957001</v>
      </c>
      <c r="J143" s="43">
        <v>0.35077145025030498</v>
      </c>
      <c r="K143" s="34">
        <f t="shared" si="12"/>
        <v>1.4030858010012199E-3</v>
      </c>
      <c r="M143" s="42">
        <v>5.0988754850957001</v>
      </c>
      <c r="N143" s="43">
        <v>0.43725234879338098</v>
      </c>
      <c r="O143" s="34">
        <f t="shared" si="13"/>
        <v>1.4575078293112699E-3</v>
      </c>
      <c r="Q143" s="42"/>
      <c r="R143" s="42"/>
      <c r="S143" s="34" t="str">
        <f t="shared" si="14"/>
        <v/>
      </c>
    </row>
    <row r="144" spans="1:19" x14ac:dyDescent="0.25">
      <c r="A144" s="42">
        <v>4.3540948379569802</v>
      </c>
      <c r="B144" s="43">
        <v>8.4459364636931697E-2</v>
      </c>
      <c r="C144" s="34">
        <f t="shared" si="10"/>
        <v>1.0557420579616463E-3</v>
      </c>
      <c r="E144" s="42">
        <v>4.5802831682565097</v>
      </c>
      <c r="F144" s="43">
        <v>0.11435870770774501</v>
      </c>
      <c r="G144" s="34">
        <f t="shared" si="11"/>
        <v>7.6239138471830004E-4</v>
      </c>
      <c r="I144" s="42">
        <v>5.13721289475808</v>
      </c>
      <c r="J144" s="43">
        <v>0.34470563994956299</v>
      </c>
      <c r="K144" s="34">
        <f t="shared" si="12"/>
        <v>1.3788225597982521E-3</v>
      </c>
      <c r="M144" s="42">
        <v>5.13721289475808</v>
      </c>
      <c r="N144" s="43">
        <v>0.42819697203963503</v>
      </c>
      <c r="O144" s="34">
        <f t="shared" si="13"/>
        <v>1.4273232401321168E-3</v>
      </c>
      <c r="Q144" s="42"/>
      <c r="R144" s="42"/>
      <c r="S144" s="34" t="str">
        <f t="shared" si="14"/>
        <v/>
      </c>
    </row>
    <row r="145" spans="1:19" x14ac:dyDescent="0.25">
      <c r="A145" s="42">
        <v>4.3865880830163597</v>
      </c>
      <c r="B145" s="43">
        <v>8.4534750325835101E-2</v>
      </c>
      <c r="C145" s="34">
        <f t="shared" si="10"/>
        <v>1.0566843790729388E-3</v>
      </c>
      <c r="E145" s="42">
        <v>4.6144643859300603</v>
      </c>
      <c r="F145" s="43">
        <v>0.111557146148129</v>
      </c>
      <c r="G145" s="34">
        <f t="shared" si="11"/>
        <v>7.4371430765419338E-4</v>
      </c>
      <c r="I145" s="42">
        <v>5.1755503044204501</v>
      </c>
      <c r="J145" s="43">
        <v>0.33869785326852597</v>
      </c>
      <c r="K145" s="34">
        <f t="shared" si="12"/>
        <v>1.3547914130741039E-3</v>
      </c>
      <c r="M145" s="42">
        <v>5.1755503044204501</v>
      </c>
      <c r="N145" s="43">
        <v>0.419534840491183</v>
      </c>
      <c r="O145" s="34">
        <f t="shared" si="13"/>
        <v>1.3984494683039433E-3</v>
      </c>
      <c r="Q145" s="42"/>
      <c r="R145" s="42"/>
      <c r="S145" s="34" t="str">
        <f t="shared" si="14"/>
        <v/>
      </c>
    </row>
    <row r="146" spans="1:19" x14ac:dyDescent="0.25">
      <c r="A146" s="42">
        <v>4.4190813280757402</v>
      </c>
      <c r="B146" s="43">
        <v>8.5156849767334897E-2</v>
      </c>
      <c r="C146" s="34">
        <f t="shared" si="10"/>
        <v>1.0644606220916863E-3</v>
      </c>
      <c r="E146" s="42">
        <v>4.6486456036036197</v>
      </c>
      <c r="F146" s="43">
        <v>0.108974503260704</v>
      </c>
      <c r="G146" s="34">
        <f t="shared" si="11"/>
        <v>7.2649668840469336E-4</v>
      </c>
      <c r="I146" s="42">
        <v>5.2138877140828201</v>
      </c>
      <c r="J146" s="43">
        <v>0.33274825191158303</v>
      </c>
      <c r="K146" s="34">
        <f t="shared" si="12"/>
        <v>1.3309930076463321E-3</v>
      </c>
      <c r="M146" s="42">
        <v>5.2138877140828201</v>
      </c>
      <c r="N146" s="43">
        <v>0.41126669451120801</v>
      </c>
      <c r="O146" s="34">
        <f t="shared" si="13"/>
        <v>1.3708889817040267E-3</v>
      </c>
      <c r="Q146" s="42"/>
      <c r="R146" s="42"/>
      <c r="S146" s="34" t="str">
        <f t="shared" si="14"/>
        <v/>
      </c>
    </row>
    <row r="147" spans="1:19" x14ac:dyDescent="0.25">
      <c r="A147" s="42">
        <v>4.4515745731351197</v>
      </c>
      <c r="B147" s="43">
        <v>8.5572838201671803E-2</v>
      </c>
      <c r="C147" s="34">
        <f t="shared" si="10"/>
        <v>1.0696604775208974E-3</v>
      </c>
      <c r="E147" s="42">
        <v>4.68282682127718</v>
      </c>
      <c r="F147" s="43">
        <v>0.106604071792197</v>
      </c>
      <c r="G147" s="34">
        <f t="shared" si="11"/>
        <v>7.1069381194797997E-4</v>
      </c>
      <c r="I147" s="42">
        <v>5.2522251237452</v>
      </c>
      <c r="J147" s="43">
        <v>0.325801750444903</v>
      </c>
      <c r="K147" s="34">
        <f t="shared" si="12"/>
        <v>1.3032070017796121E-3</v>
      </c>
      <c r="M147" s="42">
        <v>5.2522251237452</v>
      </c>
      <c r="N147" s="43">
        <v>0.40297902016645598</v>
      </c>
      <c r="O147" s="34">
        <f t="shared" si="13"/>
        <v>1.3432634005548533E-3</v>
      </c>
      <c r="Q147" s="42"/>
      <c r="R147" s="42"/>
      <c r="S147" s="34" t="str">
        <f t="shared" si="14"/>
        <v/>
      </c>
    </row>
    <row r="148" spans="1:19" x14ac:dyDescent="0.25">
      <c r="A148" s="42">
        <v>4.4840678181945002</v>
      </c>
      <c r="B148" s="43">
        <v>8.6548294556911903E-2</v>
      </c>
      <c r="C148" s="34">
        <f t="shared" si="10"/>
        <v>1.0818536819613988E-3</v>
      </c>
      <c r="E148" s="42">
        <v>4.7170080389507296</v>
      </c>
      <c r="F148" s="43">
        <v>0.10426806246352199</v>
      </c>
      <c r="G148" s="34">
        <f t="shared" si="11"/>
        <v>6.9512041642347993E-4</v>
      </c>
      <c r="I148" s="42">
        <v>5.2905625334075701</v>
      </c>
      <c r="J148" s="43">
        <v>0.31756360201947598</v>
      </c>
      <c r="K148" s="34">
        <f t="shared" si="12"/>
        <v>1.2702544080779039E-3</v>
      </c>
      <c r="M148" s="42">
        <v>5.2905625334075701</v>
      </c>
      <c r="N148" s="43">
        <v>0.39427478279888301</v>
      </c>
      <c r="O148" s="34">
        <f t="shared" si="13"/>
        <v>1.3142492759962766E-3</v>
      </c>
      <c r="Q148" s="42"/>
      <c r="R148" s="42"/>
      <c r="S148" s="34" t="str">
        <f t="shared" si="14"/>
        <v/>
      </c>
    </row>
    <row r="149" spans="1:19" x14ac:dyDescent="0.25">
      <c r="A149" s="42">
        <v>4.5165610632538797</v>
      </c>
      <c r="B149" s="43">
        <v>8.8132025725831203E-2</v>
      </c>
      <c r="C149" s="34">
        <f t="shared" si="10"/>
        <v>1.1016503215728901E-3</v>
      </c>
      <c r="E149" s="42">
        <v>4.7511892566242899</v>
      </c>
      <c r="F149" s="43">
        <v>0.101482257589198</v>
      </c>
      <c r="G149" s="34">
        <f t="shared" si="11"/>
        <v>6.7654838392798664E-4</v>
      </c>
      <c r="I149" s="42">
        <v>5.3288999430699402</v>
      </c>
      <c r="J149" s="43">
        <v>0.309121976878515</v>
      </c>
      <c r="K149" s="34">
        <f t="shared" si="12"/>
        <v>1.2364879075140601E-3</v>
      </c>
      <c r="M149" s="42">
        <v>5.3288999430699402</v>
      </c>
      <c r="N149" s="43">
        <v>0.38484177080708099</v>
      </c>
      <c r="O149" s="34">
        <f t="shared" si="13"/>
        <v>1.2828059026902699E-3</v>
      </c>
      <c r="Q149" s="42"/>
      <c r="R149" s="42"/>
      <c r="S149" s="34" t="str">
        <f t="shared" si="14"/>
        <v/>
      </c>
    </row>
    <row r="150" spans="1:19" x14ac:dyDescent="0.25">
      <c r="A150" s="42">
        <v>4.5490543083132602</v>
      </c>
      <c r="B150" s="43">
        <v>8.9593526639995397E-2</v>
      </c>
      <c r="C150" s="34">
        <f t="shared" si="10"/>
        <v>1.1199190829999425E-3</v>
      </c>
      <c r="E150" s="42">
        <v>4.7853704742978396</v>
      </c>
      <c r="F150" s="43">
        <v>9.8834413890795295E-2</v>
      </c>
      <c r="G150" s="34">
        <f t="shared" si="11"/>
        <v>6.5889609260530197E-4</v>
      </c>
      <c r="I150" s="42">
        <v>5.3672373527323201</v>
      </c>
      <c r="J150" s="43">
        <v>0.30065759759160099</v>
      </c>
      <c r="K150" s="34">
        <f t="shared" si="12"/>
        <v>1.202630390366404E-3</v>
      </c>
      <c r="M150" s="42">
        <v>5.3672373527323201</v>
      </c>
      <c r="N150" s="43">
        <v>0.37540026072182497</v>
      </c>
      <c r="O150" s="34">
        <f t="shared" si="13"/>
        <v>1.2513342024060832E-3</v>
      </c>
      <c r="Q150" s="42"/>
      <c r="R150" s="42"/>
      <c r="S150" s="34" t="str">
        <f t="shared" si="14"/>
        <v/>
      </c>
    </row>
    <row r="151" spans="1:19" x14ac:dyDescent="0.25">
      <c r="A151" s="42">
        <v>4.5815475533726397</v>
      </c>
      <c r="B151" s="43">
        <v>9.0709735353468393E-2</v>
      </c>
      <c r="C151" s="34">
        <f t="shared" si="10"/>
        <v>1.1338716919183549E-3</v>
      </c>
      <c r="E151" s="42">
        <v>4.8195516919713999</v>
      </c>
      <c r="F151" s="43">
        <v>9.6321749054852301E-2</v>
      </c>
      <c r="G151" s="34">
        <f t="shared" si="11"/>
        <v>6.4214499369901531E-4</v>
      </c>
      <c r="I151" s="42">
        <v>5.4055747623946901</v>
      </c>
      <c r="J151" s="43">
        <v>0.29097604658841703</v>
      </c>
      <c r="K151" s="34">
        <f t="shared" si="12"/>
        <v>1.1639041863536681E-3</v>
      </c>
      <c r="M151" s="42">
        <v>5.4055747623946901</v>
      </c>
      <c r="N151" s="43">
        <v>0.364798498205882</v>
      </c>
      <c r="O151" s="34">
        <f t="shared" si="13"/>
        <v>1.2159949940196066E-3</v>
      </c>
      <c r="Q151" s="42"/>
      <c r="R151" s="42"/>
      <c r="S151" s="34" t="str">
        <f t="shared" si="14"/>
        <v/>
      </c>
    </row>
    <row r="152" spans="1:19" x14ac:dyDescent="0.25">
      <c r="A152" s="42">
        <v>4.6140407984320202</v>
      </c>
      <c r="B152" s="43">
        <v>9.1618903155186504E-2</v>
      </c>
      <c r="C152" s="34">
        <f t="shared" si="10"/>
        <v>1.1452362894398313E-3</v>
      </c>
      <c r="E152" s="42">
        <v>4.8537329096449602</v>
      </c>
      <c r="F152" s="43">
        <v>9.3942973122610296E-2</v>
      </c>
      <c r="G152" s="34">
        <f t="shared" si="11"/>
        <v>6.2628648748406862E-4</v>
      </c>
      <c r="I152" s="42">
        <v>5.44391217205707</v>
      </c>
      <c r="J152" s="43">
        <v>0.27977072208204701</v>
      </c>
      <c r="K152" s="34">
        <f t="shared" si="12"/>
        <v>1.1190828883281881E-3</v>
      </c>
      <c r="M152" s="42">
        <v>5.44391217205707</v>
      </c>
      <c r="N152" s="43">
        <v>0.35275188306396799</v>
      </c>
      <c r="O152" s="34">
        <f t="shared" si="13"/>
        <v>1.1758396102132267E-3</v>
      </c>
      <c r="Q152" s="42"/>
      <c r="R152" s="42"/>
      <c r="S152" s="34" t="str">
        <f t="shared" si="14"/>
        <v/>
      </c>
    </row>
    <row r="153" spans="1:19" x14ac:dyDescent="0.25">
      <c r="A153" s="42">
        <v>4.6465340434913998</v>
      </c>
      <c r="B153" s="43">
        <v>9.2593126520101293E-2</v>
      </c>
      <c r="C153" s="34">
        <f t="shared" si="10"/>
        <v>1.1574140815012661E-3</v>
      </c>
      <c r="E153" s="42">
        <v>4.8879141273185098</v>
      </c>
      <c r="F153" s="43">
        <v>9.1038535981978697E-2</v>
      </c>
      <c r="G153" s="34">
        <f t="shared" si="11"/>
        <v>6.0692357321319131E-4</v>
      </c>
      <c r="I153" s="42">
        <v>5.4822495817194401</v>
      </c>
      <c r="J153" s="43">
        <v>0.26854340560276202</v>
      </c>
      <c r="K153" s="34">
        <f t="shared" si="12"/>
        <v>1.0741736224110481E-3</v>
      </c>
      <c r="M153" s="42">
        <v>5.4822495817194401</v>
      </c>
      <c r="N153" s="43">
        <v>0.34071169251123701</v>
      </c>
      <c r="O153" s="34">
        <f t="shared" si="13"/>
        <v>1.1357056417041233E-3</v>
      </c>
      <c r="Q153" s="42"/>
      <c r="R153" s="42"/>
      <c r="S153" s="34" t="str">
        <f t="shared" si="14"/>
        <v/>
      </c>
    </row>
    <row r="154" spans="1:19" x14ac:dyDescent="0.25">
      <c r="A154" s="42">
        <v>4.6790272885507802</v>
      </c>
      <c r="B154" s="43">
        <v>9.3721444086804703E-2</v>
      </c>
      <c r="C154" s="34">
        <f t="shared" si="10"/>
        <v>1.1715180510850588E-3</v>
      </c>
      <c r="E154" s="42">
        <v>4.9220953449920701</v>
      </c>
      <c r="F154" s="43">
        <v>8.7994635628949602E-2</v>
      </c>
      <c r="G154" s="34">
        <f t="shared" si="11"/>
        <v>5.8663090419299737E-4</v>
      </c>
      <c r="I154" s="42">
        <v>5.5205869913818102</v>
      </c>
      <c r="J154" s="43">
        <v>0.25727227250312301</v>
      </c>
      <c r="K154" s="34">
        <f t="shared" si="12"/>
        <v>1.029089090012492E-3</v>
      </c>
      <c r="M154" s="42">
        <v>5.5205869913818102</v>
      </c>
      <c r="N154" s="43">
        <v>0.328651733040002</v>
      </c>
      <c r="O154" s="34">
        <f t="shared" si="13"/>
        <v>1.0955057768000066E-3</v>
      </c>
      <c r="Q154" s="42"/>
      <c r="R154" s="42"/>
      <c r="S154" s="34" t="str">
        <f t="shared" si="14"/>
        <v/>
      </c>
    </row>
    <row r="155" spans="1:19" x14ac:dyDescent="0.25">
      <c r="A155" s="42">
        <v>4.7115205336101598</v>
      </c>
      <c r="B155" s="43">
        <v>9.3006807070623601E-2</v>
      </c>
      <c r="C155" s="34">
        <f t="shared" si="10"/>
        <v>1.1625850883827951E-3</v>
      </c>
      <c r="E155" s="42">
        <v>4.9562765626656304</v>
      </c>
      <c r="F155" s="43">
        <v>8.5078663837167695E-2</v>
      </c>
      <c r="G155" s="34">
        <f t="shared" si="11"/>
        <v>5.6719109224778459E-4</v>
      </c>
      <c r="I155" s="42">
        <v>5.5589244010441901</v>
      </c>
      <c r="J155" s="43">
        <v>0.24455426033337499</v>
      </c>
      <c r="K155" s="34">
        <f t="shared" si="12"/>
        <v>9.7821704133349997E-4</v>
      </c>
      <c r="M155" s="42">
        <v>5.5589244010441901</v>
      </c>
      <c r="N155" s="43">
        <v>0.313477633901527</v>
      </c>
      <c r="O155" s="34">
        <f t="shared" si="13"/>
        <v>1.0449254463384234E-3</v>
      </c>
      <c r="Q155" s="42"/>
      <c r="R155" s="42"/>
      <c r="S155" s="34" t="str">
        <f t="shared" si="14"/>
        <v/>
      </c>
    </row>
    <row r="156" spans="1:19" x14ac:dyDescent="0.25">
      <c r="A156" s="42">
        <v>4.7440137786695402</v>
      </c>
      <c r="B156" s="43">
        <v>8.5636287951119494E-2</v>
      </c>
      <c r="C156" s="34">
        <f t="shared" si="10"/>
        <v>1.0704535993889936E-3</v>
      </c>
      <c r="E156" s="42">
        <v>4.9904577803391801</v>
      </c>
      <c r="F156" s="43">
        <v>8.1541074183249199E-2</v>
      </c>
      <c r="G156" s="34">
        <f t="shared" si="11"/>
        <v>5.4360716122166133E-4</v>
      </c>
      <c r="I156" s="42">
        <v>5.5972618107065601</v>
      </c>
      <c r="J156" s="43">
        <v>0.22989139446189599</v>
      </c>
      <c r="K156" s="34">
        <f t="shared" si="12"/>
        <v>9.1956557784758392E-4</v>
      </c>
      <c r="M156" s="42">
        <v>5.5972618107065601</v>
      </c>
      <c r="N156" s="43">
        <v>0.29437219971592898</v>
      </c>
      <c r="O156" s="34">
        <f t="shared" si="13"/>
        <v>9.8124066571976336E-4</v>
      </c>
      <c r="Q156" s="42"/>
      <c r="R156" s="42"/>
      <c r="S156" s="34" t="str">
        <f t="shared" si="14"/>
        <v/>
      </c>
    </row>
    <row r="157" spans="1:19" x14ac:dyDescent="0.25">
      <c r="A157" s="42">
        <v>4.7765070237289198</v>
      </c>
      <c r="B157" s="43">
        <v>6.9746854778737405E-2</v>
      </c>
      <c r="C157" s="34">
        <f t="shared" si="10"/>
        <v>8.7183568473421752E-4</v>
      </c>
      <c r="E157" s="42">
        <v>5.0246389980127404</v>
      </c>
      <c r="F157" s="43">
        <v>7.7727534113289906E-2</v>
      </c>
      <c r="G157" s="34">
        <f t="shared" si="11"/>
        <v>5.1818356075526608E-4</v>
      </c>
      <c r="I157" s="42">
        <v>5.6355992203689302</v>
      </c>
      <c r="J157" s="43">
        <v>0.215207547026534</v>
      </c>
      <c r="K157" s="34">
        <f t="shared" si="12"/>
        <v>8.6083018810613596E-4</v>
      </c>
      <c r="M157" s="42">
        <v>5.6355992203689302</v>
      </c>
      <c r="N157" s="43">
        <v>0.27572107239176502</v>
      </c>
      <c r="O157" s="34">
        <f t="shared" si="13"/>
        <v>9.1907024130588339E-4</v>
      </c>
      <c r="Q157" s="42"/>
      <c r="R157" s="42"/>
      <c r="S157" s="34" t="str">
        <f t="shared" si="14"/>
        <v/>
      </c>
    </row>
    <row r="158" spans="1:19" x14ac:dyDescent="0.25">
      <c r="A158" s="42">
        <v>4.8090002687883002</v>
      </c>
      <c r="B158" s="43">
        <v>4.4382509513606901E-2</v>
      </c>
      <c r="C158" s="34">
        <f t="shared" si="10"/>
        <v>5.5478136892008628E-4</v>
      </c>
      <c r="E158" s="42">
        <v>5.05882021568629</v>
      </c>
      <c r="F158" s="43">
        <v>7.3159472786822E-2</v>
      </c>
      <c r="G158" s="34">
        <f t="shared" si="11"/>
        <v>4.8772981857881335E-4</v>
      </c>
      <c r="I158" s="42">
        <v>5.6739366300313101</v>
      </c>
      <c r="J158" s="43">
        <v>0.20050896412073599</v>
      </c>
      <c r="K158" s="34">
        <f t="shared" si="12"/>
        <v>8.0203585648294391E-4</v>
      </c>
      <c r="M158" s="42">
        <v>5.6739366300313101</v>
      </c>
      <c r="N158" s="43">
        <v>0.257551975505872</v>
      </c>
      <c r="O158" s="34">
        <f t="shared" si="13"/>
        <v>8.5850658501957335E-4</v>
      </c>
      <c r="Q158" s="42"/>
      <c r="R158" s="42"/>
      <c r="S158" s="34" t="str">
        <f t="shared" si="14"/>
        <v/>
      </c>
    </row>
    <row r="159" spans="1:19" x14ac:dyDescent="0.25">
      <c r="A159" s="42">
        <v>4.8414935138476798</v>
      </c>
      <c r="B159" s="43">
        <v>1.1021750019095001E-3</v>
      </c>
      <c r="C159" s="34">
        <f t="shared" si="10"/>
        <v>1.3777187523868751E-5</v>
      </c>
      <c r="E159" s="42">
        <v>5.0930014333598503</v>
      </c>
      <c r="F159" s="43">
        <v>6.8825336434440706E-2</v>
      </c>
      <c r="G159" s="34">
        <f t="shared" si="11"/>
        <v>4.5883557622960472E-4</v>
      </c>
      <c r="I159" s="42">
        <v>5.7122740396936802</v>
      </c>
      <c r="J159" s="43">
        <v>0.18347140573704501</v>
      </c>
      <c r="K159" s="34">
        <f t="shared" si="12"/>
        <v>7.3388562294818E-4</v>
      </c>
      <c r="M159" s="42">
        <v>5.7122740396936802</v>
      </c>
      <c r="N159" s="43">
        <v>0.23615698054970899</v>
      </c>
      <c r="O159" s="34">
        <f t="shared" si="13"/>
        <v>7.871899351656966E-4</v>
      </c>
      <c r="Q159" s="42"/>
      <c r="R159" s="42"/>
      <c r="S159" s="34" t="str">
        <f t="shared" si="14"/>
        <v/>
      </c>
    </row>
    <row r="160" spans="1:19" x14ac:dyDescent="0.25">
      <c r="A160" s="42"/>
      <c r="B160" s="42"/>
      <c r="C160" s="34" t="str">
        <f t="shared" si="10"/>
        <v/>
      </c>
      <c r="E160" s="42"/>
      <c r="F160" s="42"/>
      <c r="G160" s="34" t="str">
        <f t="shared" si="11"/>
        <v/>
      </c>
      <c r="I160" s="42"/>
      <c r="J160" s="42"/>
      <c r="K160" s="34" t="str">
        <f t="shared" si="12"/>
        <v/>
      </c>
      <c r="M160" s="42"/>
      <c r="N160" s="42"/>
      <c r="O160" s="34" t="str">
        <f t="shared" si="13"/>
        <v/>
      </c>
      <c r="Q160" s="42"/>
      <c r="R160" s="42"/>
      <c r="S160" s="34" t="str">
        <f t="shared" si="14"/>
        <v/>
      </c>
    </row>
    <row r="161" spans="1:19" x14ac:dyDescent="0.25">
      <c r="A161" s="42"/>
      <c r="B161" s="42"/>
      <c r="C161" s="34" t="str">
        <f t="shared" si="10"/>
        <v/>
      </c>
      <c r="E161" s="42"/>
      <c r="F161" s="42"/>
      <c r="G161" s="34" t="str">
        <f t="shared" si="11"/>
        <v/>
      </c>
      <c r="I161" s="42"/>
      <c r="J161" s="42"/>
      <c r="K161" s="34" t="str">
        <f t="shared" si="12"/>
        <v/>
      </c>
      <c r="M161" s="42"/>
      <c r="N161" s="42"/>
      <c r="O161" s="34" t="str">
        <f t="shared" si="13"/>
        <v/>
      </c>
      <c r="Q161" s="42"/>
      <c r="R161" s="42"/>
      <c r="S161" s="34" t="str">
        <f t="shared" si="14"/>
        <v/>
      </c>
    </row>
    <row r="162" spans="1:19" x14ac:dyDescent="0.25">
      <c r="A162" s="42"/>
      <c r="B162" s="42"/>
      <c r="C162" s="34" t="str">
        <f t="shared" si="10"/>
        <v/>
      </c>
      <c r="E162" s="42"/>
      <c r="F162" s="42"/>
      <c r="G162" s="34" t="str">
        <f t="shared" si="11"/>
        <v/>
      </c>
      <c r="I162" s="42"/>
      <c r="J162" s="42"/>
      <c r="K162" s="34" t="str">
        <f t="shared" si="12"/>
        <v/>
      </c>
      <c r="M162" s="42"/>
      <c r="N162" s="42"/>
      <c r="O162" s="34" t="str">
        <f t="shared" si="13"/>
        <v/>
      </c>
      <c r="Q162" s="42"/>
      <c r="R162" s="42"/>
      <c r="S162" s="34" t="str">
        <f t="shared" si="14"/>
        <v/>
      </c>
    </row>
    <row r="163" spans="1:19" x14ac:dyDescent="0.25">
      <c r="A163" s="42"/>
      <c r="B163" s="42"/>
      <c r="C163" s="34" t="str">
        <f t="shared" si="10"/>
        <v/>
      </c>
      <c r="E163" s="42"/>
      <c r="F163" s="42"/>
      <c r="G163" s="34" t="str">
        <f t="shared" si="11"/>
        <v/>
      </c>
      <c r="I163" s="42"/>
      <c r="J163" s="42"/>
      <c r="K163" s="34" t="str">
        <f t="shared" si="12"/>
        <v/>
      </c>
      <c r="M163" s="42"/>
      <c r="N163" s="42"/>
      <c r="O163" s="34" t="str">
        <f t="shared" si="13"/>
        <v/>
      </c>
      <c r="Q163" s="42"/>
      <c r="R163" s="42"/>
      <c r="S163" s="34" t="str">
        <f t="shared" si="14"/>
        <v/>
      </c>
    </row>
    <row r="164" spans="1:19" x14ac:dyDescent="0.25">
      <c r="A164" s="42"/>
      <c r="B164" s="42"/>
      <c r="C164" s="34" t="str">
        <f t="shared" si="10"/>
        <v/>
      </c>
      <c r="E164" s="42"/>
      <c r="F164" s="42"/>
      <c r="G164" s="34" t="str">
        <f t="shared" si="11"/>
        <v/>
      </c>
      <c r="I164" s="42"/>
      <c r="J164" s="42"/>
      <c r="K164" s="34" t="str">
        <f t="shared" si="12"/>
        <v/>
      </c>
      <c r="M164" s="42"/>
      <c r="N164" s="42"/>
      <c r="O164" s="34" t="str">
        <f t="shared" si="13"/>
        <v/>
      </c>
      <c r="Q164" s="42"/>
      <c r="R164" s="42"/>
      <c r="S164" s="34" t="str">
        <f t="shared" si="14"/>
        <v/>
      </c>
    </row>
    <row r="165" spans="1:19" x14ac:dyDescent="0.25">
      <c r="A165" s="42"/>
      <c r="B165" s="42"/>
      <c r="C165" s="34" t="str">
        <f t="shared" si="10"/>
        <v/>
      </c>
      <c r="E165" s="42"/>
      <c r="F165" s="42"/>
      <c r="G165" s="34" t="str">
        <f t="shared" si="11"/>
        <v/>
      </c>
      <c r="I165" s="42"/>
      <c r="J165" s="42"/>
      <c r="K165" s="34" t="str">
        <f t="shared" si="12"/>
        <v/>
      </c>
      <c r="M165" s="42"/>
      <c r="N165" s="42"/>
      <c r="O165" s="34" t="str">
        <f t="shared" si="13"/>
        <v/>
      </c>
      <c r="Q165" s="42"/>
      <c r="R165" s="42"/>
      <c r="S165" s="34" t="str">
        <f t="shared" si="14"/>
        <v/>
      </c>
    </row>
    <row r="166" spans="1:19" x14ac:dyDescent="0.25">
      <c r="A166" s="42"/>
      <c r="B166" s="42"/>
      <c r="C166" s="34" t="str">
        <f t="shared" si="10"/>
        <v/>
      </c>
      <c r="E166" s="42"/>
      <c r="F166" s="42"/>
      <c r="G166" s="34" t="str">
        <f t="shared" si="11"/>
        <v/>
      </c>
      <c r="I166" s="42"/>
      <c r="J166" s="42"/>
      <c r="K166" s="34" t="str">
        <f t="shared" si="12"/>
        <v/>
      </c>
      <c r="M166" s="42"/>
      <c r="N166" s="42"/>
      <c r="O166" s="34" t="str">
        <f t="shared" si="13"/>
        <v/>
      </c>
      <c r="Q166" s="42"/>
      <c r="R166" s="42"/>
      <c r="S166" s="34" t="str">
        <f t="shared" si="14"/>
        <v/>
      </c>
    </row>
    <row r="167" spans="1:19" x14ac:dyDescent="0.25">
      <c r="A167" s="42"/>
      <c r="B167" s="42"/>
      <c r="C167" s="34" t="str">
        <f t="shared" si="10"/>
        <v/>
      </c>
      <c r="E167" s="42"/>
      <c r="F167" s="42"/>
      <c r="G167" s="34" t="str">
        <f t="shared" si="11"/>
        <v/>
      </c>
      <c r="I167" s="42"/>
      <c r="J167" s="42"/>
      <c r="K167" s="34" t="str">
        <f t="shared" si="12"/>
        <v/>
      </c>
      <c r="M167" s="42"/>
      <c r="N167" s="42"/>
      <c r="O167" s="34" t="str">
        <f t="shared" si="13"/>
        <v/>
      </c>
      <c r="Q167" s="42"/>
      <c r="R167" s="42"/>
      <c r="S167" s="34" t="str">
        <f t="shared" si="14"/>
        <v/>
      </c>
    </row>
    <row r="168" spans="1:19" x14ac:dyDescent="0.25">
      <c r="A168" s="42"/>
      <c r="B168" s="42"/>
      <c r="C168" s="34" t="str">
        <f t="shared" si="10"/>
        <v/>
      </c>
      <c r="E168" s="42"/>
      <c r="F168" s="42"/>
      <c r="G168" s="34" t="str">
        <f t="shared" si="11"/>
        <v/>
      </c>
      <c r="I168" s="42"/>
      <c r="J168" s="42"/>
      <c r="K168" s="34" t="str">
        <f t="shared" si="12"/>
        <v/>
      </c>
      <c r="M168" s="42"/>
      <c r="N168" s="42"/>
      <c r="O168" s="34" t="str">
        <f t="shared" si="13"/>
        <v/>
      </c>
      <c r="Q168" s="42"/>
      <c r="R168" s="42"/>
      <c r="S168" s="34" t="str">
        <f t="shared" si="14"/>
        <v/>
      </c>
    </row>
    <row r="169" spans="1:19" x14ac:dyDescent="0.25">
      <c r="A169" s="42"/>
      <c r="B169" s="42"/>
      <c r="C169" s="34" t="str">
        <f t="shared" si="10"/>
        <v/>
      </c>
      <c r="E169" s="42"/>
      <c r="F169" s="42"/>
      <c r="G169" s="34" t="str">
        <f t="shared" si="11"/>
        <v/>
      </c>
      <c r="I169" s="42"/>
      <c r="J169" s="42"/>
      <c r="K169" s="34" t="str">
        <f t="shared" si="12"/>
        <v/>
      </c>
      <c r="M169" s="42"/>
      <c r="N169" s="42"/>
      <c r="O169" s="34" t="str">
        <f t="shared" si="13"/>
        <v/>
      </c>
      <c r="Q169" s="42"/>
      <c r="R169" s="42"/>
      <c r="S169" s="34" t="str">
        <f t="shared" si="14"/>
        <v/>
      </c>
    </row>
    <row r="170" spans="1:19" x14ac:dyDescent="0.25">
      <c r="A170" s="42"/>
      <c r="B170" s="42"/>
      <c r="C170" s="34" t="str">
        <f t="shared" si="10"/>
        <v/>
      </c>
      <c r="E170" s="42"/>
      <c r="F170" s="42"/>
      <c r="G170" s="34" t="str">
        <f t="shared" si="11"/>
        <v/>
      </c>
      <c r="I170" s="42"/>
      <c r="J170" s="42"/>
      <c r="K170" s="34" t="str">
        <f t="shared" si="12"/>
        <v/>
      </c>
      <c r="M170" s="42"/>
      <c r="N170" s="42"/>
      <c r="O170" s="34" t="str">
        <f t="shared" si="13"/>
        <v/>
      </c>
      <c r="Q170" s="42"/>
      <c r="R170" s="42"/>
      <c r="S170" s="34" t="str">
        <f t="shared" si="14"/>
        <v/>
      </c>
    </row>
    <row r="171" spans="1:19" x14ac:dyDescent="0.25">
      <c r="A171" s="42"/>
      <c r="B171" s="42"/>
      <c r="C171" s="34" t="str">
        <f t="shared" si="10"/>
        <v/>
      </c>
      <c r="E171" s="42"/>
      <c r="F171" s="42"/>
      <c r="G171" s="34" t="str">
        <f t="shared" si="11"/>
        <v/>
      </c>
      <c r="I171" s="42"/>
      <c r="J171" s="42"/>
      <c r="K171" s="34" t="str">
        <f t="shared" si="12"/>
        <v/>
      </c>
      <c r="M171" s="42"/>
      <c r="N171" s="42"/>
      <c r="O171" s="34" t="str">
        <f t="shared" si="13"/>
        <v/>
      </c>
      <c r="Q171" s="42"/>
      <c r="R171" s="42"/>
      <c r="S171" s="34" t="str">
        <f t="shared" si="14"/>
        <v/>
      </c>
    </row>
    <row r="172" spans="1:19" x14ac:dyDescent="0.25">
      <c r="A172" s="42"/>
      <c r="B172" s="42"/>
      <c r="C172" s="34" t="str">
        <f t="shared" si="10"/>
        <v/>
      </c>
      <c r="E172" s="42"/>
      <c r="F172" s="42"/>
      <c r="G172" s="34" t="str">
        <f t="shared" si="11"/>
        <v/>
      </c>
      <c r="I172" s="42"/>
      <c r="J172" s="42"/>
      <c r="K172" s="34" t="str">
        <f t="shared" si="12"/>
        <v/>
      </c>
      <c r="M172" s="42"/>
      <c r="N172" s="42"/>
      <c r="O172" s="34" t="str">
        <f t="shared" si="13"/>
        <v/>
      </c>
      <c r="Q172" s="42"/>
      <c r="R172" s="42"/>
      <c r="S172" s="34" t="str">
        <f t="shared" si="14"/>
        <v/>
      </c>
    </row>
    <row r="173" spans="1:19" x14ac:dyDescent="0.25">
      <c r="A173" s="42"/>
      <c r="B173" s="42"/>
      <c r="C173" s="34" t="str">
        <f t="shared" si="10"/>
        <v/>
      </c>
      <c r="E173" s="42"/>
      <c r="F173" s="42"/>
      <c r="G173" s="34" t="str">
        <f t="shared" si="11"/>
        <v/>
      </c>
      <c r="I173" s="42"/>
      <c r="J173" s="42"/>
      <c r="K173" s="34" t="str">
        <f t="shared" si="12"/>
        <v/>
      </c>
      <c r="M173" s="42"/>
      <c r="N173" s="42"/>
      <c r="O173" s="34" t="str">
        <f t="shared" si="13"/>
        <v/>
      </c>
      <c r="Q173" s="42"/>
      <c r="R173" s="42"/>
      <c r="S173" s="34" t="str">
        <f t="shared" si="14"/>
        <v/>
      </c>
    </row>
    <row r="174" spans="1:19" x14ac:dyDescent="0.25">
      <c r="A174" s="42"/>
      <c r="B174" s="42"/>
      <c r="C174" s="34" t="str">
        <f t="shared" si="10"/>
        <v/>
      </c>
      <c r="E174" s="42"/>
      <c r="F174" s="42"/>
      <c r="G174" s="34" t="str">
        <f t="shared" si="11"/>
        <v/>
      </c>
      <c r="I174" s="42"/>
      <c r="J174" s="42"/>
      <c r="K174" s="34" t="str">
        <f t="shared" si="12"/>
        <v/>
      </c>
      <c r="M174" s="42"/>
      <c r="N174" s="42"/>
      <c r="O174" s="34" t="str">
        <f t="shared" si="13"/>
        <v/>
      </c>
      <c r="Q174" s="42"/>
      <c r="R174" s="42"/>
      <c r="S174" s="34" t="str">
        <f t="shared" si="14"/>
        <v/>
      </c>
    </row>
    <row r="175" spans="1:19" x14ac:dyDescent="0.25">
      <c r="A175" s="42"/>
      <c r="B175" s="42"/>
      <c r="C175" s="34" t="str">
        <f t="shared" si="10"/>
        <v/>
      </c>
      <c r="E175" s="42"/>
      <c r="F175" s="42"/>
      <c r="G175" s="34" t="str">
        <f t="shared" si="11"/>
        <v/>
      </c>
      <c r="I175" s="42"/>
      <c r="J175" s="42"/>
      <c r="K175" s="34" t="str">
        <f t="shared" si="12"/>
        <v/>
      </c>
      <c r="M175" s="42"/>
      <c r="N175" s="42"/>
      <c r="O175" s="34" t="str">
        <f t="shared" si="13"/>
        <v/>
      </c>
      <c r="Q175" s="42"/>
      <c r="R175" s="42"/>
      <c r="S175" s="34" t="str">
        <f t="shared" si="14"/>
        <v/>
      </c>
    </row>
    <row r="176" spans="1:19" x14ac:dyDescent="0.25">
      <c r="A176" s="42"/>
      <c r="B176" s="42"/>
      <c r="C176" s="34" t="str">
        <f t="shared" si="10"/>
        <v/>
      </c>
      <c r="E176" s="42"/>
      <c r="F176" s="42"/>
      <c r="G176" s="34" t="str">
        <f t="shared" si="11"/>
        <v/>
      </c>
      <c r="I176" s="42"/>
      <c r="J176" s="42"/>
      <c r="K176" s="34" t="str">
        <f t="shared" si="12"/>
        <v/>
      </c>
      <c r="M176" s="42"/>
      <c r="N176" s="42"/>
      <c r="O176" s="34" t="str">
        <f t="shared" si="13"/>
        <v/>
      </c>
      <c r="Q176" s="42"/>
      <c r="R176" s="42"/>
      <c r="S176" s="34" t="str">
        <f t="shared" si="14"/>
        <v/>
      </c>
    </row>
    <row r="177" spans="1:19" x14ac:dyDescent="0.25">
      <c r="A177" s="42"/>
      <c r="B177" s="42"/>
      <c r="C177" s="34" t="str">
        <f t="shared" si="10"/>
        <v/>
      </c>
      <c r="E177" s="42"/>
      <c r="F177" s="42"/>
      <c r="G177" s="34" t="str">
        <f t="shared" si="11"/>
        <v/>
      </c>
      <c r="I177" s="42"/>
      <c r="J177" s="42"/>
      <c r="K177" s="34" t="str">
        <f t="shared" si="12"/>
        <v/>
      </c>
      <c r="M177" s="42"/>
      <c r="N177" s="42"/>
      <c r="O177" s="34" t="str">
        <f t="shared" si="13"/>
        <v/>
      </c>
      <c r="Q177" s="42"/>
      <c r="R177" s="42"/>
      <c r="S177" s="34" t="str">
        <f t="shared" si="14"/>
        <v/>
      </c>
    </row>
    <row r="178" spans="1:19" x14ac:dyDescent="0.25">
      <c r="A178" s="42"/>
      <c r="B178" s="42"/>
      <c r="C178" s="34" t="str">
        <f t="shared" si="10"/>
        <v/>
      </c>
      <c r="E178" s="42"/>
      <c r="F178" s="42"/>
      <c r="G178" s="34" t="str">
        <f t="shared" si="11"/>
        <v/>
      </c>
      <c r="I178" s="42"/>
      <c r="J178" s="42"/>
      <c r="K178" s="34" t="str">
        <f t="shared" si="12"/>
        <v/>
      </c>
      <c r="M178" s="42"/>
      <c r="N178" s="42"/>
      <c r="O178" s="34" t="str">
        <f t="shared" si="13"/>
        <v/>
      </c>
      <c r="Q178" s="42"/>
      <c r="R178" s="42"/>
      <c r="S178" s="34" t="str">
        <f t="shared" si="14"/>
        <v/>
      </c>
    </row>
    <row r="179" spans="1:19" x14ac:dyDescent="0.25">
      <c r="A179" s="42"/>
      <c r="B179" s="42"/>
      <c r="C179" s="34" t="str">
        <f t="shared" si="10"/>
        <v/>
      </c>
      <c r="E179" s="42"/>
      <c r="F179" s="42"/>
      <c r="G179" s="34" t="str">
        <f t="shared" si="11"/>
        <v/>
      </c>
      <c r="I179" s="42"/>
      <c r="J179" s="42"/>
      <c r="K179" s="34" t="str">
        <f t="shared" si="12"/>
        <v/>
      </c>
      <c r="M179" s="42"/>
      <c r="N179" s="42"/>
      <c r="O179" s="34" t="str">
        <f t="shared" si="13"/>
        <v/>
      </c>
      <c r="Q179" s="42"/>
      <c r="R179" s="42"/>
      <c r="S179" s="34" t="str">
        <f t="shared" si="14"/>
        <v/>
      </c>
    </row>
    <row r="180" spans="1:19" x14ac:dyDescent="0.25">
      <c r="A180" s="42"/>
      <c r="B180" s="42"/>
      <c r="C180" s="34" t="str">
        <f t="shared" si="10"/>
        <v/>
      </c>
      <c r="E180" s="42"/>
      <c r="F180" s="42"/>
      <c r="G180" s="34" t="str">
        <f t="shared" si="11"/>
        <v/>
      </c>
      <c r="I180" s="42"/>
      <c r="J180" s="42"/>
      <c r="K180" s="34" t="str">
        <f t="shared" si="12"/>
        <v/>
      </c>
      <c r="M180" s="42"/>
      <c r="N180" s="42"/>
      <c r="O180" s="34" t="str">
        <f t="shared" si="13"/>
        <v/>
      </c>
      <c r="Q180" s="42"/>
      <c r="R180" s="42"/>
      <c r="S180" s="34" t="str">
        <f t="shared" si="14"/>
        <v/>
      </c>
    </row>
    <row r="181" spans="1:19" x14ac:dyDescent="0.25">
      <c r="A181" s="42"/>
      <c r="B181" s="42"/>
      <c r="C181" s="34" t="str">
        <f t="shared" si="10"/>
        <v/>
      </c>
      <c r="E181" s="42"/>
      <c r="F181" s="42"/>
      <c r="G181" s="34" t="str">
        <f t="shared" si="11"/>
        <v/>
      </c>
      <c r="I181" s="42"/>
      <c r="J181" s="42"/>
      <c r="K181" s="34" t="str">
        <f t="shared" si="12"/>
        <v/>
      </c>
      <c r="M181" s="42"/>
      <c r="N181" s="42"/>
      <c r="O181" s="34" t="str">
        <f t="shared" si="13"/>
        <v/>
      </c>
      <c r="Q181" s="42"/>
      <c r="R181" s="42"/>
      <c r="S181" s="34" t="str">
        <f t="shared" si="14"/>
        <v/>
      </c>
    </row>
    <row r="182" spans="1:19" x14ac:dyDescent="0.25">
      <c r="A182" s="42"/>
      <c r="B182" s="42"/>
      <c r="C182" s="34" t="str">
        <f t="shared" si="10"/>
        <v/>
      </c>
      <c r="E182" s="42"/>
      <c r="F182" s="42"/>
      <c r="G182" s="34" t="str">
        <f t="shared" si="11"/>
        <v/>
      </c>
      <c r="I182" s="42"/>
      <c r="J182" s="42"/>
      <c r="K182" s="34" t="str">
        <f t="shared" si="12"/>
        <v/>
      </c>
      <c r="M182" s="42"/>
      <c r="N182" s="42"/>
      <c r="O182" s="34" t="str">
        <f t="shared" si="13"/>
        <v/>
      </c>
      <c r="Q182" s="42"/>
      <c r="R182" s="42"/>
      <c r="S182" s="34" t="str">
        <f t="shared" si="14"/>
        <v/>
      </c>
    </row>
    <row r="183" spans="1:19" x14ac:dyDescent="0.25">
      <c r="A183" s="42"/>
      <c r="B183" s="42"/>
      <c r="C183" s="34" t="str">
        <f t="shared" si="10"/>
        <v/>
      </c>
      <c r="E183" s="42"/>
      <c r="F183" s="42"/>
      <c r="G183" s="34" t="str">
        <f t="shared" si="11"/>
        <v/>
      </c>
      <c r="I183" s="42"/>
      <c r="J183" s="42"/>
      <c r="K183" s="34" t="str">
        <f t="shared" si="12"/>
        <v/>
      </c>
      <c r="M183" s="42"/>
      <c r="N183" s="42"/>
      <c r="O183" s="34" t="str">
        <f t="shared" si="13"/>
        <v/>
      </c>
      <c r="Q183" s="42"/>
      <c r="R183" s="42"/>
      <c r="S183" s="34" t="str">
        <f t="shared" si="14"/>
        <v/>
      </c>
    </row>
    <row r="184" spans="1:19" x14ac:dyDescent="0.25">
      <c r="A184" s="42"/>
      <c r="B184" s="42"/>
      <c r="C184" s="34" t="str">
        <f t="shared" si="10"/>
        <v/>
      </c>
      <c r="E184" s="42"/>
      <c r="F184" s="42"/>
      <c r="G184" s="34" t="str">
        <f t="shared" si="11"/>
        <v/>
      </c>
      <c r="I184" s="42"/>
      <c r="J184" s="42"/>
      <c r="K184" s="34" t="str">
        <f t="shared" si="12"/>
        <v/>
      </c>
      <c r="M184" s="42"/>
      <c r="N184" s="42"/>
      <c r="O184" s="34" t="str">
        <f t="shared" si="13"/>
        <v/>
      </c>
      <c r="Q184" s="42"/>
      <c r="R184" s="42"/>
      <c r="S184" s="34" t="str">
        <f t="shared" si="14"/>
        <v/>
      </c>
    </row>
    <row r="185" spans="1:19" x14ac:dyDescent="0.25">
      <c r="A185" s="42"/>
      <c r="B185" s="42"/>
      <c r="C185" s="34" t="str">
        <f t="shared" si="10"/>
        <v/>
      </c>
      <c r="E185" s="42"/>
      <c r="F185" s="42"/>
      <c r="G185" s="34" t="str">
        <f t="shared" si="11"/>
        <v/>
      </c>
      <c r="I185" s="42"/>
      <c r="J185" s="42"/>
      <c r="K185" s="34" t="str">
        <f t="shared" si="12"/>
        <v/>
      </c>
      <c r="M185" s="42"/>
      <c r="N185" s="42"/>
      <c r="O185" s="34" t="str">
        <f t="shared" si="13"/>
        <v/>
      </c>
      <c r="Q185" s="42"/>
      <c r="R185" s="42"/>
      <c r="S185" s="34" t="str">
        <f t="shared" si="14"/>
        <v/>
      </c>
    </row>
    <row r="186" spans="1:19" x14ac:dyDescent="0.25">
      <c r="A186" s="42"/>
      <c r="B186" s="42"/>
      <c r="C186" s="34" t="str">
        <f t="shared" si="10"/>
        <v/>
      </c>
      <c r="E186" s="42"/>
      <c r="F186" s="42"/>
      <c r="G186" s="34" t="str">
        <f t="shared" si="11"/>
        <v/>
      </c>
      <c r="I186" s="42"/>
      <c r="J186" s="42"/>
      <c r="K186" s="34" t="str">
        <f t="shared" si="12"/>
        <v/>
      </c>
      <c r="M186" s="42"/>
      <c r="N186" s="42"/>
      <c r="O186" s="34" t="str">
        <f t="shared" si="13"/>
        <v/>
      </c>
      <c r="Q186" s="42"/>
      <c r="R186" s="42"/>
      <c r="S186" s="34" t="str">
        <f t="shared" si="14"/>
        <v/>
      </c>
    </row>
    <row r="187" spans="1:19" x14ac:dyDescent="0.25">
      <c r="A187" s="42"/>
      <c r="B187" s="42"/>
      <c r="C187" s="34" t="str">
        <f t="shared" si="10"/>
        <v/>
      </c>
      <c r="E187" s="42"/>
      <c r="F187" s="42"/>
      <c r="G187" s="34" t="str">
        <f t="shared" si="11"/>
        <v/>
      </c>
      <c r="I187" s="42"/>
      <c r="J187" s="42"/>
      <c r="K187" s="34" t="str">
        <f t="shared" si="12"/>
        <v/>
      </c>
      <c r="M187" s="42"/>
      <c r="N187" s="42"/>
      <c r="O187" s="34" t="str">
        <f t="shared" si="13"/>
        <v/>
      </c>
      <c r="Q187" s="42"/>
      <c r="R187" s="42"/>
      <c r="S187" s="34" t="str">
        <f t="shared" si="14"/>
        <v/>
      </c>
    </row>
    <row r="188" spans="1:19" x14ac:dyDescent="0.25">
      <c r="A188" s="42"/>
      <c r="B188" s="42"/>
      <c r="C188" s="34" t="str">
        <f t="shared" si="10"/>
        <v/>
      </c>
      <c r="E188" s="42"/>
      <c r="F188" s="42"/>
      <c r="G188" s="34" t="str">
        <f t="shared" si="11"/>
        <v/>
      </c>
      <c r="I188" s="42"/>
      <c r="J188" s="42"/>
      <c r="K188" s="34" t="str">
        <f t="shared" si="12"/>
        <v/>
      </c>
      <c r="M188" s="42"/>
      <c r="N188" s="42"/>
      <c r="O188" s="34" t="str">
        <f t="shared" si="13"/>
        <v/>
      </c>
      <c r="Q188" s="42"/>
      <c r="R188" s="42"/>
      <c r="S188" s="34" t="str">
        <f t="shared" si="14"/>
        <v/>
      </c>
    </row>
    <row r="189" spans="1:19" x14ac:dyDescent="0.25">
      <c r="A189" s="42"/>
      <c r="B189" s="42"/>
      <c r="C189" s="34" t="str">
        <f t="shared" si="10"/>
        <v/>
      </c>
      <c r="E189" s="42"/>
      <c r="F189" s="42"/>
      <c r="G189" s="34" t="str">
        <f t="shared" si="11"/>
        <v/>
      </c>
      <c r="I189" s="42"/>
      <c r="J189" s="42"/>
      <c r="K189" s="34" t="str">
        <f t="shared" si="12"/>
        <v/>
      </c>
      <c r="M189" s="42"/>
      <c r="N189" s="42"/>
      <c r="O189" s="34" t="str">
        <f t="shared" si="13"/>
        <v/>
      </c>
      <c r="Q189" s="42"/>
      <c r="R189" s="42"/>
      <c r="S189" s="34" t="str">
        <f t="shared" si="14"/>
        <v/>
      </c>
    </row>
    <row r="190" spans="1:19" x14ac:dyDescent="0.25">
      <c r="A190" s="42"/>
      <c r="B190" s="42"/>
      <c r="C190" s="34" t="str">
        <f t="shared" si="10"/>
        <v/>
      </c>
      <c r="E190" s="42"/>
      <c r="F190" s="42"/>
      <c r="G190" s="34" t="str">
        <f t="shared" si="11"/>
        <v/>
      </c>
      <c r="I190" s="42"/>
      <c r="J190" s="42"/>
      <c r="K190" s="34" t="str">
        <f t="shared" si="12"/>
        <v/>
      </c>
      <c r="M190" s="42"/>
      <c r="N190" s="42"/>
      <c r="O190" s="34" t="str">
        <f t="shared" si="13"/>
        <v/>
      </c>
      <c r="Q190" s="42"/>
      <c r="R190" s="42"/>
      <c r="S190" s="34" t="str">
        <f t="shared" si="14"/>
        <v/>
      </c>
    </row>
    <row r="191" spans="1:19" x14ac:dyDescent="0.25">
      <c r="A191" s="42"/>
      <c r="B191" s="42"/>
      <c r="C191" s="34" t="str">
        <f t="shared" si="10"/>
        <v/>
      </c>
      <c r="E191" s="42"/>
      <c r="F191" s="42"/>
      <c r="G191" s="34" t="str">
        <f t="shared" si="11"/>
        <v/>
      </c>
      <c r="I191" s="42"/>
      <c r="J191" s="42"/>
      <c r="K191" s="34" t="str">
        <f t="shared" si="12"/>
        <v/>
      </c>
      <c r="M191" s="42"/>
      <c r="N191" s="42"/>
      <c r="O191" s="34" t="str">
        <f t="shared" si="13"/>
        <v/>
      </c>
      <c r="Q191" s="42"/>
      <c r="R191" s="42"/>
      <c r="S191" s="34" t="str">
        <f t="shared" si="14"/>
        <v/>
      </c>
    </row>
    <row r="192" spans="1:19" x14ac:dyDescent="0.25">
      <c r="A192" s="42"/>
      <c r="B192" s="42"/>
      <c r="C192" s="34" t="str">
        <f t="shared" si="10"/>
        <v/>
      </c>
      <c r="E192" s="42"/>
      <c r="F192" s="42"/>
      <c r="G192" s="34" t="str">
        <f t="shared" si="11"/>
        <v/>
      </c>
      <c r="I192" s="42"/>
      <c r="J192" s="42"/>
      <c r="K192" s="34" t="str">
        <f t="shared" si="12"/>
        <v/>
      </c>
      <c r="M192" s="42"/>
      <c r="N192" s="42"/>
      <c r="O192" s="34" t="str">
        <f t="shared" si="13"/>
        <v/>
      </c>
      <c r="Q192" s="42"/>
      <c r="R192" s="42"/>
      <c r="S192" s="34" t="str">
        <f t="shared" si="14"/>
        <v/>
      </c>
    </row>
    <row r="193" spans="1:19" x14ac:dyDescent="0.25">
      <c r="A193" s="42"/>
      <c r="B193" s="42"/>
      <c r="C193" s="34" t="str">
        <f t="shared" si="10"/>
        <v/>
      </c>
      <c r="E193" s="42"/>
      <c r="F193" s="42"/>
      <c r="G193" s="34" t="str">
        <f t="shared" si="11"/>
        <v/>
      </c>
      <c r="I193" s="42"/>
      <c r="J193" s="42"/>
      <c r="K193" s="34" t="str">
        <f t="shared" si="12"/>
        <v/>
      </c>
      <c r="M193" s="42"/>
      <c r="N193" s="42"/>
      <c r="O193" s="34" t="str">
        <f t="shared" si="13"/>
        <v/>
      </c>
      <c r="Q193" s="42"/>
      <c r="R193" s="42"/>
      <c r="S193" s="34" t="str">
        <f t="shared" si="14"/>
        <v/>
      </c>
    </row>
    <row r="194" spans="1:19" x14ac:dyDescent="0.25">
      <c r="A194" s="42"/>
      <c r="B194" s="42"/>
      <c r="C194" s="34" t="str">
        <f t="shared" si="10"/>
        <v/>
      </c>
      <c r="E194" s="42"/>
      <c r="F194" s="42"/>
      <c r="G194" s="34" t="str">
        <f t="shared" si="11"/>
        <v/>
      </c>
      <c r="I194" s="42"/>
      <c r="J194" s="42"/>
      <c r="K194" s="34" t="str">
        <f t="shared" si="12"/>
        <v/>
      </c>
      <c r="M194" s="42"/>
      <c r="N194" s="42"/>
      <c r="O194" s="34" t="str">
        <f t="shared" si="13"/>
        <v/>
      </c>
      <c r="Q194" s="42"/>
      <c r="R194" s="42"/>
      <c r="S194" s="34" t="str">
        <f t="shared" si="14"/>
        <v/>
      </c>
    </row>
    <row r="195" spans="1:19" x14ac:dyDescent="0.25">
      <c r="A195" s="42"/>
      <c r="B195" s="42"/>
      <c r="C195" s="34" t="str">
        <f t="shared" si="10"/>
        <v/>
      </c>
      <c r="E195" s="42"/>
      <c r="F195" s="42"/>
      <c r="G195" s="34" t="str">
        <f t="shared" si="11"/>
        <v/>
      </c>
      <c r="I195" s="42"/>
      <c r="J195" s="42"/>
      <c r="K195" s="34" t="str">
        <f t="shared" si="12"/>
        <v/>
      </c>
      <c r="M195" s="42"/>
      <c r="N195" s="42"/>
      <c r="O195" s="34" t="str">
        <f t="shared" si="13"/>
        <v/>
      </c>
      <c r="Q195" s="42"/>
      <c r="R195" s="42"/>
      <c r="S195" s="34" t="str">
        <f t="shared" si="14"/>
        <v/>
      </c>
    </row>
    <row r="196" spans="1:19" x14ac:dyDescent="0.25">
      <c r="A196" s="42"/>
      <c r="B196" s="42"/>
      <c r="C196" s="34" t="str">
        <f t="shared" si="10"/>
        <v/>
      </c>
      <c r="E196" s="42"/>
      <c r="F196" s="42"/>
      <c r="G196" s="34" t="str">
        <f t="shared" si="11"/>
        <v/>
      </c>
      <c r="I196" s="42"/>
      <c r="J196" s="42"/>
      <c r="K196" s="34" t="str">
        <f t="shared" si="12"/>
        <v/>
      </c>
      <c r="M196" s="42"/>
      <c r="N196" s="42"/>
      <c r="O196" s="34" t="str">
        <f t="shared" si="13"/>
        <v/>
      </c>
      <c r="Q196" s="42"/>
      <c r="R196" s="42"/>
      <c r="S196" s="34" t="str">
        <f t="shared" si="14"/>
        <v/>
      </c>
    </row>
    <row r="197" spans="1:19" x14ac:dyDescent="0.25">
      <c r="A197" s="42"/>
      <c r="B197" s="42"/>
      <c r="C197" s="34" t="str">
        <f t="shared" si="10"/>
        <v/>
      </c>
      <c r="E197" s="42"/>
      <c r="F197" s="42"/>
      <c r="G197" s="34" t="str">
        <f t="shared" si="11"/>
        <v/>
      </c>
      <c r="I197" s="42"/>
      <c r="J197" s="42"/>
      <c r="K197" s="34" t="str">
        <f t="shared" si="12"/>
        <v/>
      </c>
      <c r="M197" s="42"/>
      <c r="N197" s="42"/>
      <c r="O197" s="34" t="str">
        <f t="shared" si="13"/>
        <v/>
      </c>
      <c r="Q197" s="42"/>
      <c r="R197" s="42"/>
      <c r="S197" s="34" t="str">
        <f t="shared" si="14"/>
        <v/>
      </c>
    </row>
    <row r="198" spans="1:19" x14ac:dyDescent="0.25">
      <c r="A198" s="42"/>
      <c r="B198" s="42"/>
      <c r="C198" s="34" t="str">
        <f t="shared" si="10"/>
        <v/>
      </c>
      <c r="E198" s="42"/>
      <c r="F198" s="42"/>
      <c r="G198" s="34" t="str">
        <f t="shared" si="11"/>
        <v/>
      </c>
      <c r="I198" s="42"/>
      <c r="J198" s="42"/>
      <c r="K198" s="34" t="str">
        <f t="shared" si="12"/>
        <v/>
      </c>
      <c r="M198" s="42"/>
      <c r="N198" s="42"/>
      <c r="O198" s="34" t="str">
        <f t="shared" si="13"/>
        <v/>
      </c>
      <c r="Q198" s="42"/>
      <c r="R198" s="42"/>
      <c r="S198" s="34" t="str">
        <f t="shared" si="14"/>
        <v/>
      </c>
    </row>
    <row r="199" spans="1:19" x14ac:dyDescent="0.25">
      <c r="A199" s="42"/>
      <c r="B199" s="42"/>
      <c r="C199" s="34" t="str">
        <f t="shared" si="10"/>
        <v/>
      </c>
      <c r="E199" s="42"/>
      <c r="F199" s="42"/>
      <c r="G199" s="34" t="str">
        <f t="shared" si="11"/>
        <v/>
      </c>
      <c r="I199" s="42"/>
      <c r="J199" s="42"/>
      <c r="K199" s="34" t="str">
        <f t="shared" si="12"/>
        <v/>
      </c>
      <c r="M199" s="42"/>
      <c r="N199" s="42"/>
      <c r="O199" s="34" t="str">
        <f t="shared" si="13"/>
        <v/>
      </c>
      <c r="Q199" s="42"/>
      <c r="R199" s="42"/>
      <c r="S199" s="34" t="str">
        <f t="shared" si="14"/>
        <v/>
      </c>
    </row>
    <row r="200" spans="1:19" x14ac:dyDescent="0.25">
      <c r="A200" s="42"/>
      <c r="B200" s="42"/>
      <c r="C200" s="34" t="str">
        <f t="shared" si="10"/>
        <v/>
      </c>
      <c r="E200" s="42"/>
      <c r="F200" s="42"/>
      <c r="G200" s="34" t="str">
        <f t="shared" si="11"/>
        <v/>
      </c>
      <c r="I200" s="42"/>
      <c r="J200" s="42"/>
      <c r="K200" s="34" t="str">
        <f t="shared" si="12"/>
        <v/>
      </c>
      <c r="M200" s="42"/>
      <c r="N200" s="42"/>
      <c r="O200" s="34" t="str">
        <f t="shared" si="13"/>
        <v/>
      </c>
      <c r="Q200" s="42"/>
      <c r="R200" s="42"/>
      <c r="S200" s="34" t="str">
        <f t="shared" si="14"/>
        <v/>
      </c>
    </row>
    <row r="201" spans="1:19" x14ac:dyDescent="0.25">
      <c r="A201" s="42"/>
      <c r="B201" s="42"/>
      <c r="C201" s="34" t="str">
        <f t="shared" si="10"/>
        <v/>
      </c>
      <c r="E201" s="42"/>
      <c r="F201" s="42"/>
      <c r="G201" s="34" t="str">
        <f t="shared" si="11"/>
        <v/>
      </c>
      <c r="I201" s="42"/>
      <c r="J201" s="42"/>
      <c r="K201" s="34" t="str">
        <f t="shared" si="12"/>
        <v/>
      </c>
      <c r="M201" s="42"/>
      <c r="N201" s="42"/>
      <c r="O201" s="34" t="str">
        <f t="shared" si="13"/>
        <v/>
      </c>
      <c r="Q201" s="42"/>
      <c r="R201" s="42"/>
      <c r="S201" s="34" t="str">
        <f t="shared" si="14"/>
        <v/>
      </c>
    </row>
    <row r="202" spans="1:19" x14ac:dyDescent="0.25">
      <c r="A202" s="42"/>
      <c r="B202" s="42"/>
      <c r="C202" s="34" t="str">
        <f t="shared" ref="C202:C265" si="15">IF(OR(B202="",B$4=""),"",B202/B$4)</f>
        <v/>
      </c>
      <c r="E202" s="42"/>
      <c r="F202" s="42"/>
      <c r="G202" s="34" t="str">
        <f t="shared" ref="G202:G265" si="16">IF(OR(F202="",F$4=""),"",F202/F$4)</f>
        <v/>
      </c>
      <c r="I202" s="42"/>
      <c r="J202" s="42"/>
      <c r="K202" s="34" t="str">
        <f t="shared" ref="K202:K265" si="17">IF(OR(J202="",J$4=""),"",J202/J$4)</f>
        <v/>
      </c>
      <c r="M202" s="42"/>
      <c r="N202" s="42"/>
      <c r="O202" s="34" t="str">
        <f t="shared" ref="O202:O265" si="18">IF(OR(N202="",N$4=""),"",N202/N$4)</f>
        <v/>
      </c>
      <c r="Q202" s="42"/>
      <c r="R202" s="42"/>
      <c r="S202" s="34" t="str">
        <f t="shared" ref="S202:S265" si="19">IF(OR(R202="",R$4=""),"",R202/R$4)</f>
        <v/>
      </c>
    </row>
    <row r="203" spans="1:19" x14ac:dyDescent="0.25">
      <c r="A203" s="42"/>
      <c r="B203" s="42"/>
      <c r="C203" s="34" t="str">
        <f t="shared" si="15"/>
        <v/>
      </c>
      <c r="E203" s="42"/>
      <c r="F203" s="42"/>
      <c r="G203" s="34" t="str">
        <f t="shared" si="16"/>
        <v/>
      </c>
      <c r="I203" s="42"/>
      <c r="J203" s="42"/>
      <c r="K203" s="34" t="str">
        <f t="shared" si="17"/>
        <v/>
      </c>
      <c r="M203" s="42"/>
      <c r="N203" s="42"/>
      <c r="O203" s="34" t="str">
        <f t="shared" si="18"/>
        <v/>
      </c>
      <c r="Q203" s="42"/>
      <c r="R203" s="42"/>
      <c r="S203" s="34" t="str">
        <f t="shared" si="19"/>
        <v/>
      </c>
    </row>
    <row r="204" spans="1:19" x14ac:dyDescent="0.25">
      <c r="A204" s="42"/>
      <c r="B204" s="42"/>
      <c r="C204" s="34" t="str">
        <f t="shared" si="15"/>
        <v/>
      </c>
      <c r="E204" s="42"/>
      <c r="F204" s="42"/>
      <c r="G204" s="34" t="str">
        <f t="shared" si="16"/>
        <v/>
      </c>
      <c r="I204" s="42"/>
      <c r="J204" s="42"/>
      <c r="K204" s="34" t="str">
        <f t="shared" si="17"/>
        <v/>
      </c>
      <c r="M204" s="42"/>
      <c r="N204" s="42"/>
      <c r="O204" s="34" t="str">
        <f t="shared" si="18"/>
        <v/>
      </c>
      <c r="Q204" s="42"/>
      <c r="R204" s="42"/>
      <c r="S204" s="34" t="str">
        <f t="shared" si="19"/>
        <v/>
      </c>
    </row>
    <row r="205" spans="1:19" x14ac:dyDescent="0.25">
      <c r="A205" s="42"/>
      <c r="B205" s="42"/>
      <c r="C205" s="34" t="str">
        <f t="shared" si="15"/>
        <v/>
      </c>
      <c r="E205" s="42"/>
      <c r="F205" s="42"/>
      <c r="G205" s="34" t="str">
        <f t="shared" si="16"/>
        <v/>
      </c>
      <c r="I205" s="42"/>
      <c r="J205" s="42"/>
      <c r="K205" s="34" t="str">
        <f t="shared" si="17"/>
        <v/>
      </c>
      <c r="M205" s="42"/>
      <c r="N205" s="42"/>
      <c r="O205" s="34" t="str">
        <f t="shared" si="18"/>
        <v/>
      </c>
      <c r="Q205" s="42"/>
      <c r="R205" s="42"/>
      <c r="S205" s="34" t="str">
        <f t="shared" si="19"/>
        <v/>
      </c>
    </row>
    <row r="206" spans="1:19" x14ac:dyDescent="0.25">
      <c r="A206" s="42"/>
      <c r="B206" s="42"/>
      <c r="C206" s="34" t="str">
        <f t="shared" si="15"/>
        <v/>
      </c>
      <c r="E206" s="42"/>
      <c r="F206" s="42"/>
      <c r="G206" s="34" t="str">
        <f t="shared" si="16"/>
        <v/>
      </c>
      <c r="I206" s="42"/>
      <c r="J206" s="42"/>
      <c r="K206" s="34" t="str">
        <f t="shared" si="17"/>
        <v/>
      </c>
      <c r="M206" s="42"/>
      <c r="N206" s="42"/>
      <c r="O206" s="34" t="str">
        <f t="shared" si="18"/>
        <v/>
      </c>
      <c r="Q206" s="42"/>
      <c r="R206" s="42"/>
      <c r="S206" s="34" t="str">
        <f t="shared" si="19"/>
        <v/>
      </c>
    </row>
    <row r="207" spans="1:19" x14ac:dyDescent="0.25">
      <c r="A207" s="42"/>
      <c r="B207" s="42"/>
      <c r="C207" s="34" t="str">
        <f t="shared" si="15"/>
        <v/>
      </c>
      <c r="E207" s="42"/>
      <c r="F207" s="42"/>
      <c r="G207" s="34" t="str">
        <f t="shared" si="16"/>
        <v/>
      </c>
      <c r="I207" s="42"/>
      <c r="J207" s="42"/>
      <c r="K207" s="34" t="str">
        <f t="shared" si="17"/>
        <v/>
      </c>
      <c r="M207" s="42"/>
      <c r="N207" s="42"/>
      <c r="O207" s="34" t="str">
        <f t="shared" si="18"/>
        <v/>
      </c>
      <c r="Q207" s="42"/>
      <c r="R207" s="42"/>
      <c r="S207" s="34" t="str">
        <f t="shared" si="19"/>
        <v/>
      </c>
    </row>
    <row r="208" spans="1:19" x14ac:dyDescent="0.25">
      <c r="A208" s="42"/>
      <c r="B208" s="42"/>
      <c r="C208" s="34" t="str">
        <f t="shared" si="15"/>
        <v/>
      </c>
      <c r="E208" s="42"/>
      <c r="F208" s="42"/>
      <c r="G208" s="34" t="str">
        <f t="shared" si="16"/>
        <v/>
      </c>
      <c r="I208" s="42"/>
      <c r="J208" s="42"/>
      <c r="K208" s="34" t="str">
        <f t="shared" si="17"/>
        <v/>
      </c>
      <c r="M208" s="42"/>
      <c r="N208" s="42"/>
      <c r="O208" s="34" t="str">
        <f t="shared" si="18"/>
        <v/>
      </c>
      <c r="Q208" s="42"/>
      <c r="R208" s="42"/>
      <c r="S208" s="34" t="str">
        <f t="shared" si="19"/>
        <v/>
      </c>
    </row>
    <row r="209" spans="1:19" x14ac:dyDescent="0.25">
      <c r="A209" s="42"/>
      <c r="B209" s="42"/>
      <c r="C209" s="34" t="str">
        <f t="shared" si="15"/>
        <v/>
      </c>
      <c r="E209" s="42"/>
      <c r="F209" s="42"/>
      <c r="G209" s="34" t="str">
        <f t="shared" si="16"/>
        <v/>
      </c>
      <c r="I209" s="42"/>
      <c r="J209" s="42"/>
      <c r="K209" s="34" t="str">
        <f t="shared" si="17"/>
        <v/>
      </c>
      <c r="M209" s="42"/>
      <c r="N209" s="42"/>
      <c r="O209" s="34" t="str">
        <f t="shared" si="18"/>
        <v/>
      </c>
      <c r="Q209" s="42"/>
      <c r="R209" s="42"/>
      <c r="S209" s="34" t="str">
        <f t="shared" si="19"/>
        <v/>
      </c>
    </row>
    <row r="210" spans="1:19" x14ac:dyDescent="0.25">
      <c r="A210" s="42"/>
      <c r="B210" s="42"/>
      <c r="C210" s="34" t="str">
        <f t="shared" si="15"/>
        <v/>
      </c>
      <c r="E210" s="42"/>
      <c r="F210" s="42"/>
      <c r="G210" s="34" t="str">
        <f t="shared" si="16"/>
        <v/>
      </c>
      <c r="I210" s="42"/>
      <c r="J210" s="42"/>
      <c r="K210" s="34" t="str">
        <f t="shared" si="17"/>
        <v/>
      </c>
      <c r="M210" s="42"/>
      <c r="N210" s="42"/>
      <c r="O210" s="34" t="str">
        <f t="shared" si="18"/>
        <v/>
      </c>
      <c r="Q210" s="42"/>
      <c r="R210" s="42"/>
      <c r="S210" s="34" t="str">
        <f t="shared" si="19"/>
        <v/>
      </c>
    </row>
    <row r="211" spans="1:19" x14ac:dyDescent="0.25">
      <c r="A211" s="42"/>
      <c r="B211" s="42"/>
      <c r="C211" s="34" t="str">
        <f t="shared" si="15"/>
        <v/>
      </c>
      <c r="E211" s="42"/>
      <c r="F211" s="42"/>
      <c r="G211" s="34" t="str">
        <f t="shared" si="16"/>
        <v/>
      </c>
      <c r="I211" s="42"/>
      <c r="J211" s="42"/>
      <c r="K211" s="34" t="str">
        <f t="shared" si="17"/>
        <v/>
      </c>
      <c r="M211" s="42"/>
      <c r="N211" s="42"/>
      <c r="O211" s="34" t="str">
        <f t="shared" si="18"/>
        <v/>
      </c>
      <c r="Q211" s="42"/>
      <c r="R211" s="42"/>
      <c r="S211" s="34" t="str">
        <f t="shared" si="19"/>
        <v/>
      </c>
    </row>
    <row r="212" spans="1:19" x14ac:dyDescent="0.25">
      <c r="A212" s="42"/>
      <c r="B212" s="42"/>
      <c r="C212" s="34" t="str">
        <f t="shared" si="15"/>
        <v/>
      </c>
      <c r="E212" s="42"/>
      <c r="F212" s="42"/>
      <c r="G212" s="34" t="str">
        <f t="shared" si="16"/>
        <v/>
      </c>
      <c r="I212" s="42"/>
      <c r="J212" s="42"/>
      <c r="K212" s="34" t="str">
        <f t="shared" si="17"/>
        <v/>
      </c>
      <c r="M212" s="42"/>
      <c r="N212" s="42"/>
      <c r="O212" s="34" t="str">
        <f t="shared" si="18"/>
        <v/>
      </c>
      <c r="Q212" s="42"/>
      <c r="R212" s="42"/>
      <c r="S212" s="34" t="str">
        <f t="shared" si="19"/>
        <v/>
      </c>
    </row>
    <row r="213" spans="1:19" x14ac:dyDescent="0.25">
      <c r="A213" s="42"/>
      <c r="B213" s="42"/>
      <c r="C213" s="34" t="str">
        <f t="shared" si="15"/>
        <v/>
      </c>
      <c r="E213" s="42"/>
      <c r="F213" s="42"/>
      <c r="G213" s="34" t="str">
        <f t="shared" si="16"/>
        <v/>
      </c>
      <c r="I213" s="42"/>
      <c r="J213" s="42"/>
      <c r="K213" s="34" t="str">
        <f t="shared" si="17"/>
        <v/>
      </c>
      <c r="M213" s="42"/>
      <c r="N213" s="42"/>
      <c r="O213" s="34" t="str">
        <f t="shared" si="18"/>
        <v/>
      </c>
      <c r="Q213" s="42"/>
      <c r="R213" s="42"/>
      <c r="S213" s="34" t="str">
        <f t="shared" si="19"/>
        <v/>
      </c>
    </row>
    <row r="214" spans="1:19" x14ac:dyDescent="0.25">
      <c r="A214" s="42"/>
      <c r="B214" s="42"/>
      <c r="C214" s="34" t="str">
        <f t="shared" si="15"/>
        <v/>
      </c>
      <c r="E214" s="42"/>
      <c r="F214" s="42"/>
      <c r="G214" s="34" t="str">
        <f t="shared" si="16"/>
        <v/>
      </c>
      <c r="I214" s="42"/>
      <c r="J214" s="42"/>
      <c r="K214" s="34" t="str">
        <f t="shared" si="17"/>
        <v/>
      </c>
      <c r="M214" s="42"/>
      <c r="N214" s="42"/>
      <c r="O214" s="34" t="str">
        <f t="shared" si="18"/>
        <v/>
      </c>
      <c r="Q214" s="42"/>
      <c r="R214" s="42"/>
      <c r="S214" s="34" t="str">
        <f t="shared" si="19"/>
        <v/>
      </c>
    </row>
    <row r="215" spans="1:19" x14ac:dyDescent="0.25">
      <c r="A215" s="42"/>
      <c r="B215" s="42"/>
      <c r="C215" s="34" t="str">
        <f t="shared" si="15"/>
        <v/>
      </c>
      <c r="E215" s="42"/>
      <c r="F215" s="42"/>
      <c r="G215" s="34" t="str">
        <f t="shared" si="16"/>
        <v/>
      </c>
      <c r="I215" s="42"/>
      <c r="J215" s="42"/>
      <c r="K215" s="34" t="str">
        <f t="shared" si="17"/>
        <v/>
      </c>
      <c r="M215" s="42"/>
      <c r="N215" s="42"/>
      <c r="O215" s="34" t="str">
        <f t="shared" si="18"/>
        <v/>
      </c>
      <c r="Q215" s="42"/>
      <c r="R215" s="42"/>
      <c r="S215" s="34" t="str">
        <f t="shared" si="19"/>
        <v/>
      </c>
    </row>
    <row r="216" spans="1:19" x14ac:dyDescent="0.25">
      <c r="A216" s="42"/>
      <c r="B216" s="42"/>
      <c r="C216" s="34" t="str">
        <f t="shared" si="15"/>
        <v/>
      </c>
      <c r="E216" s="42"/>
      <c r="F216" s="42"/>
      <c r="G216" s="34" t="str">
        <f t="shared" si="16"/>
        <v/>
      </c>
      <c r="I216" s="42"/>
      <c r="J216" s="42"/>
      <c r="K216" s="34" t="str">
        <f t="shared" si="17"/>
        <v/>
      </c>
      <c r="M216" s="42"/>
      <c r="N216" s="42"/>
      <c r="O216" s="34" t="str">
        <f t="shared" si="18"/>
        <v/>
      </c>
      <c r="Q216" s="42"/>
      <c r="R216" s="42"/>
      <c r="S216" s="34" t="str">
        <f t="shared" si="19"/>
        <v/>
      </c>
    </row>
    <row r="217" spans="1:19" x14ac:dyDescent="0.25">
      <c r="A217" s="42"/>
      <c r="B217" s="42"/>
      <c r="C217" s="34" t="str">
        <f t="shared" si="15"/>
        <v/>
      </c>
      <c r="E217" s="42"/>
      <c r="F217" s="42"/>
      <c r="G217" s="34" t="str">
        <f t="shared" si="16"/>
        <v/>
      </c>
      <c r="I217" s="42"/>
      <c r="J217" s="42"/>
      <c r="K217" s="34" t="str">
        <f t="shared" si="17"/>
        <v/>
      </c>
      <c r="M217" s="42"/>
      <c r="N217" s="42"/>
      <c r="O217" s="34" t="str">
        <f t="shared" si="18"/>
        <v/>
      </c>
      <c r="Q217" s="42"/>
      <c r="R217" s="42"/>
      <c r="S217" s="34" t="str">
        <f t="shared" si="19"/>
        <v/>
      </c>
    </row>
    <row r="218" spans="1:19" x14ac:dyDescent="0.25">
      <c r="A218" s="42"/>
      <c r="B218" s="42"/>
      <c r="C218" s="34" t="str">
        <f t="shared" si="15"/>
        <v/>
      </c>
      <c r="E218" s="42"/>
      <c r="F218" s="42"/>
      <c r="G218" s="34" t="str">
        <f t="shared" si="16"/>
        <v/>
      </c>
      <c r="I218" s="42"/>
      <c r="J218" s="42"/>
      <c r="K218" s="34" t="str">
        <f t="shared" si="17"/>
        <v/>
      </c>
      <c r="M218" s="42"/>
      <c r="N218" s="42"/>
      <c r="O218" s="34" t="str">
        <f t="shared" si="18"/>
        <v/>
      </c>
      <c r="Q218" s="42"/>
      <c r="R218" s="42"/>
      <c r="S218" s="34" t="str">
        <f t="shared" si="19"/>
        <v/>
      </c>
    </row>
    <row r="219" spans="1:19" x14ac:dyDescent="0.25">
      <c r="A219" s="42"/>
      <c r="B219" s="42"/>
      <c r="C219" s="34" t="str">
        <f t="shared" si="15"/>
        <v/>
      </c>
      <c r="E219" s="42"/>
      <c r="F219" s="42"/>
      <c r="G219" s="34" t="str">
        <f t="shared" si="16"/>
        <v/>
      </c>
      <c r="I219" s="42"/>
      <c r="J219" s="42"/>
      <c r="K219" s="34" t="str">
        <f t="shared" si="17"/>
        <v/>
      </c>
      <c r="M219" s="42"/>
      <c r="N219" s="42"/>
      <c r="O219" s="34" t="str">
        <f t="shared" si="18"/>
        <v/>
      </c>
      <c r="Q219" s="42"/>
      <c r="R219" s="42"/>
      <c r="S219" s="34" t="str">
        <f t="shared" si="19"/>
        <v/>
      </c>
    </row>
    <row r="220" spans="1:19" x14ac:dyDescent="0.25">
      <c r="A220" s="42"/>
      <c r="B220" s="42"/>
      <c r="C220" s="34" t="str">
        <f t="shared" si="15"/>
        <v/>
      </c>
      <c r="E220" s="42"/>
      <c r="F220" s="42"/>
      <c r="G220" s="34" t="str">
        <f t="shared" si="16"/>
        <v/>
      </c>
      <c r="I220" s="42"/>
      <c r="J220" s="42"/>
      <c r="K220" s="34" t="str">
        <f t="shared" si="17"/>
        <v/>
      </c>
      <c r="M220" s="42"/>
      <c r="N220" s="42"/>
      <c r="O220" s="34" t="str">
        <f t="shared" si="18"/>
        <v/>
      </c>
      <c r="Q220" s="42"/>
      <c r="R220" s="42"/>
      <c r="S220" s="34" t="str">
        <f t="shared" si="19"/>
        <v/>
      </c>
    </row>
    <row r="221" spans="1:19" x14ac:dyDescent="0.25">
      <c r="A221" s="42"/>
      <c r="B221" s="42"/>
      <c r="C221" s="34" t="str">
        <f t="shared" si="15"/>
        <v/>
      </c>
      <c r="E221" s="42"/>
      <c r="F221" s="42"/>
      <c r="G221" s="34" t="str">
        <f t="shared" si="16"/>
        <v/>
      </c>
      <c r="I221" s="42"/>
      <c r="J221" s="42"/>
      <c r="K221" s="34" t="str">
        <f t="shared" si="17"/>
        <v/>
      </c>
      <c r="M221" s="42"/>
      <c r="N221" s="42"/>
      <c r="O221" s="34" t="str">
        <f t="shared" si="18"/>
        <v/>
      </c>
      <c r="Q221" s="42"/>
      <c r="R221" s="42"/>
      <c r="S221" s="34" t="str">
        <f t="shared" si="19"/>
        <v/>
      </c>
    </row>
    <row r="222" spans="1:19" x14ac:dyDescent="0.25">
      <c r="A222" s="42"/>
      <c r="B222" s="42"/>
      <c r="C222" s="34" t="str">
        <f t="shared" si="15"/>
        <v/>
      </c>
      <c r="E222" s="42"/>
      <c r="F222" s="42"/>
      <c r="G222" s="34" t="str">
        <f t="shared" si="16"/>
        <v/>
      </c>
      <c r="I222" s="42"/>
      <c r="J222" s="42"/>
      <c r="K222" s="34" t="str">
        <f t="shared" si="17"/>
        <v/>
      </c>
      <c r="M222" s="42"/>
      <c r="N222" s="42"/>
      <c r="O222" s="34" t="str">
        <f t="shared" si="18"/>
        <v/>
      </c>
      <c r="Q222" s="42"/>
      <c r="R222" s="42"/>
      <c r="S222" s="34" t="str">
        <f t="shared" si="19"/>
        <v/>
      </c>
    </row>
    <row r="223" spans="1:19" x14ac:dyDescent="0.25">
      <c r="A223" s="42"/>
      <c r="B223" s="42"/>
      <c r="C223" s="34" t="str">
        <f t="shared" si="15"/>
        <v/>
      </c>
      <c r="E223" s="42"/>
      <c r="F223" s="42"/>
      <c r="G223" s="34" t="str">
        <f t="shared" si="16"/>
        <v/>
      </c>
      <c r="I223" s="42"/>
      <c r="J223" s="42"/>
      <c r="K223" s="34" t="str">
        <f t="shared" si="17"/>
        <v/>
      </c>
      <c r="M223" s="42"/>
      <c r="N223" s="42"/>
      <c r="O223" s="34" t="str">
        <f t="shared" si="18"/>
        <v/>
      </c>
      <c r="Q223" s="42"/>
      <c r="R223" s="42"/>
      <c r="S223" s="34" t="str">
        <f t="shared" si="19"/>
        <v/>
      </c>
    </row>
    <row r="224" spans="1:19" x14ac:dyDescent="0.25">
      <c r="A224" s="42"/>
      <c r="B224" s="42"/>
      <c r="C224" s="34" t="str">
        <f t="shared" si="15"/>
        <v/>
      </c>
      <c r="E224" s="42"/>
      <c r="F224" s="42"/>
      <c r="G224" s="34" t="str">
        <f t="shared" si="16"/>
        <v/>
      </c>
      <c r="I224" s="42"/>
      <c r="J224" s="42"/>
      <c r="K224" s="34" t="str">
        <f t="shared" si="17"/>
        <v/>
      </c>
      <c r="M224" s="42"/>
      <c r="N224" s="42"/>
      <c r="O224" s="34" t="str">
        <f t="shared" si="18"/>
        <v/>
      </c>
      <c r="Q224" s="42"/>
      <c r="R224" s="42"/>
      <c r="S224" s="34" t="str">
        <f t="shared" si="19"/>
        <v/>
      </c>
    </row>
    <row r="225" spans="1:19" x14ac:dyDescent="0.25">
      <c r="A225" s="42"/>
      <c r="B225" s="42"/>
      <c r="C225" s="34" t="str">
        <f t="shared" si="15"/>
        <v/>
      </c>
      <c r="E225" s="42"/>
      <c r="F225" s="42"/>
      <c r="G225" s="34" t="str">
        <f t="shared" si="16"/>
        <v/>
      </c>
      <c r="I225" s="42"/>
      <c r="J225" s="42"/>
      <c r="K225" s="34" t="str">
        <f t="shared" si="17"/>
        <v/>
      </c>
      <c r="M225" s="42"/>
      <c r="N225" s="42"/>
      <c r="O225" s="34" t="str">
        <f t="shared" si="18"/>
        <v/>
      </c>
      <c r="Q225" s="42"/>
      <c r="R225" s="42"/>
      <c r="S225" s="34" t="str">
        <f t="shared" si="19"/>
        <v/>
      </c>
    </row>
    <row r="226" spans="1:19" x14ac:dyDescent="0.25">
      <c r="A226" s="42"/>
      <c r="B226" s="42"/>
      <c r="C226" s="34" t="str">
        <f t="shared" si="15"/>
        <v/>
      </c>
      <c r="E226" s="42"/>
      <c r="F226" s="42"/>
      <c r="G226" s="34" t="str">
        <f t="shared" si="16"/>
        <v/>
      </c>
      <c r="I226" s="42"/>
      <c r="J226" s="42"/>
      <c r="K226" s="34" t="str">
        <f t="shared" si="17"/>
        <v/>
      </c>
      <c r="M226" s="42"/>
      <c r="N226" s="42"/>
      <c r="O226" s="34" t="str">
        <f t="shared" si="18"/>
        <v/>
      </c>
      <c r="Q226" s="42"/>
      <c r="R226" s="42"/>
      <c r="S226" s="34" t="str">
        <f t="shared" si="19"/>
        <v/>
      </c>
    </row>
    <row r="227" spans="1:19" x14ac:dyDescent="0.25">
      <c r="A227" s="42"/>
      <c r="B227" s="42"/>
      <c r="C227" s="34" t="str">
        <f t="shared" si="15"/>
        <v/>
      </c>
      <c r="E227" s="42"/>
      <c r="F227" s="42"/>
      <c r="G227" s="34" t="str">
        <f t="shared" si="16"/>
        <v/>
      </c>
      <c r="I227" s="42"/>
      <c r="J227" s="42"/>
      <c r="K227" s="34" t="str">
        <f t="shared" si="17"/>
        <v/>
      </c>
      <c r="M227" s="42"/>
      <c r="N227" s="42"/>
      <c r="O227" s="34" t="str">
        <f t="shared" si="18"/>
        <v/>
      </c>
      <c r="Q227" s="42"/>
      <c r="R227" s="42"/>
      <c r="S227" s="34" t="str">
        <f t="shared" si="19"/>
        <v/>
      </c>
    </row>
    <row r="228" spans="1:19" x14ac:dyDescent="0.25">
      <c r="A228" s="42"/>
      <c r="B228" s="42"/>
      <c r="C228" s="34" t="str">
        <f t="shared" si="15"/>
        <v/>
      </c>
      <c r="E228" s="42"/>
      <c r="F228" s="42"/>
      <c r="G228" s="34" t="str">
        <f t="shared" si="16"/>
        <v/>
      </c>
      <c r="I228" s="42"/>
      <c r="J228" s="42"/>
      <c r="K228" s="34" t="str">
        <f t="shared" si="17"/>
        <v/>
      </c>
      <c r="M228" s="42"/>
      <c r="N228" s="42"/>
      <c r="O228" s="34" t="str">
        <f t="shared" si="18"/>
        <v/>
      </c>
      <c r="Q228" s="42"/>
      <c r="R228" s="42"/>
      <c r="S228" s="34" t="str">
        <f t="shared" si="19"/>
        <v/>
      </c>
    </row>
    <row r="229" spans="1:19" x14ac:dyDescent="0.25">
      <c r="A229" s="42"/>
      <c r="B229" s="42"/>
      <c r="C229" s="34" t="str">
        <f t="shared" si="15"/>
        <v/>
      </c>
      <c r="E229" s="42"/>
      <c r="F229" s="42"/>
      <c r="G229" s="34" t="str">
        <f t="shared" si="16"/>
        <v/>
      </c>
      <c r="I229" s="42"/>
      <c r="J229" s="42"/>
      <c r="K229" s="34" t="str">
        <f t="shared" si="17"/>
        <v/>
      </c>
      <c r="M229" s="42"/>
      <c r="N229" s="42"/>
      <c r="O229" s="34" t="str">
        <f t="shared" si="18"/>
        <v/>
      </c>
      <c r="Q229" s="42"/>
      <c r="R229" s="42"/>
      <c r="S229" s="34" t="str">
        <f t="shared" si="19"/>
        <v/>
      </c>
    </row>
    <row r="230" spans="1:19" x14ac:dyDescent="0.25">
      <c r="A230" s="42"/>
      <c r="B230" s="42"/>
      <c r="C230" s="34" t="str">
        <f t="shared" si="15"/>
        <v/>
      </c>
      <c r="E230" s="42"/>
      <c r="F230" s="42"/>
      <c r="G230" s="34" t="str">
        <f t="shared" si="16"/>
        <v/>
      </c>
      <c r="I230" s="42"/>
      <c r="J230" s="42"/>
      <c r="K230" s="34" t="str">
        <f t="shared" si="17"/>
        <v/>
      </c>
      <c r="M230" s="42"/>
      <c r="N230" s="42"/>
      <c r="O230" s="34" t="str">
        <f t="shared" si="18"/>
        <v/>
      </c>
      <c r="Q230" s="42"/>
      <c r="R230" s="42"/>
      <c r="S230" s="34" t="str">
        <f t="shared" si="19"/>
        <v/>
      </c>
    </row>
    <row r="231" spans="1:19" x14ac:dyDescent="0.25">
      <c r="A231" s="42"/>
      <c r="B231" s="42"/>
      <c r="C231" s="34" t="str">
        <f t="shared" si="15"/>
        <v/>
      </c>
      <c r="E231" s="42"/>
      <c r="F231" s="42"/>
      <c r="G231" s="34" t="str">
        <f t="shared" si="16"/>
        <v/>
      </c>
      <c r="I231" s="42"/>
      <c r="J231" s="42"/>
      <c r="K231" s="34" t="str">
        <f t="shared" si="17"/>
        <v/>
      </c>
      <c r="M231" s="42"/>
      <c r="N231" s="42"/>
      <c r="O231" s="34" t="str">
        <f t="shared" si="18"/>
        <v/>
      </c>
      <c r="Q231" s="42"/>
      <c r="R231" s="42"/>
      <c r="S231" s="34" t="str">
        <f t="shared" si="19"/>
        <v/>
      </c>
    </row>
    <row r="232" spans="1:19" x14ac:dyDescent="0.25">
      <c r="A232" s="42"/>
      <c r="B232" s="42"/>
      <c r="C232" s="34" t="str">
        <f t="shared" si="15"/>
        <v/>
      </c>
      <c r="E232" s="42"/>
      <c r="F232" s="42"/>
      <c r="G232" s="34" t="str">
        <f t="shared" si="16"/>
        <v/>
      </c>
      <c r="I232" s="42"/>
      <c r="J232" s="42"/>
      <c r="K232" s="34" t="str">
        <f t="shared" si="17"/>
        <v/>
      </c>
      <c r="M232" s="42"/>
      <c r="N232" s="42"/>
      <c r="O232" s="34" t="str">
        <f t="shared" si="18"/>
        <v/>
      </c>
      <c r="Q232" s="42"/>
      <c r="R232" s="42"/>
      <c r="S232" s="34" t="str">
        <f t="shared" si="19"/>
        <v/>
      </c>
    </row>
    <row r="233" spans="1:19" x14ac:dyDescent="0.25">
      <c r="A233" s="42"/>
      <c r="B233" s="42"/>
      <c r="C233" s="34" t="str">
        <f t="shared" si="15"/>
        <v/>
      </c>
      <c r="E233" s="42"/>
      <c r="F233" s="42"/>
      <c r="G233" s="34" t="str">
        <f t="shared" si="16"/>
        <v/>
      </c>
      <c r="I233" s="42"/>
      <c r="J233" s="42"/>
      <c r="K233" s="34" t="str">
        <f t="shared" si="17"/>
        <v/>
      </c>
      <c r="M233" s="42"/>
      <c r="N233" s="42"/>
      <c r="O233" s="34" t="str">
        <f t="shared" si="18"/>
        <v/>
      </c>
      <c r="Q233" s="42"/>
      <c r="R233" s="42"/>
      <c r="S233" s="34" t="str">
        <f t="shared" si="19"/>
        <v/>
      </c>
    </row>
    <row r="234" spans="1:19" x14ac:dyDescent="0.25">
      <c r="A234" s="42"/>
      <c r="B234" s="42"/>
      <c r="C234" s="34" t="str">
        <f t="shared" si="15"/>
        <v/>
      </c>
      <c r="E234" s="42"/>
      <c r="F234" s="42"/>
      <c r="G234" s="34" t="str">
        <f t="shared" si="16"/>
        <v/>
      </c>
      <c r="I234" s="42"/>
      <c r="J234" s="42"/>
      <c r="K234" s="34" t="str">
        <f t="shared" si="17"/>
        <v/>
      </c>
      <c r="M234" s="42"/>
      <c r="N234" s="42"/>
      <c r="O234" s="34" t="str">
        <f t="shared" si="18"/>
        <v/>
      </c>
      <c r="Q234" s="42"/>
      <c r="R234" s="42"/>
      <c r="S234" s="34" t="str">
        <f t="shared" si="19"/>
        <v/>
      </c>
    </row>
    <row r="235" spans="1:19" x14ac:dyDescent="0.25">
      <c r="A235" s="42"/>
      <c r="B235" s="42"/>
      <c r="C235" s="34" t="str">
        <f t="shared" si="15"/>
        <v/>
      </c>
      <c r="E235" s="42"/>
      <c r="F235" s="42"/>
      <c r="G235" s="34" t="str">
        <f t="shared" si="16"/>
        <v/>
      </c>
      <c r="I235" s="42"/>
      <c r="J235" s="42"/>
      <c r="K235" s="34" t="str">
        <f t="shared" si="17"/>
        <v/>
      </c>
      <c r="M235" s="42"/>
      <c r="N235" s="42"/>
      <c r="O235" s="34" t="str">
        <f t="shared" si="18"/>
        <v/>
      </c>
      <c r="Q235" s="42"/>
      <c r="R235" s="42"/>
      <c r="S235" s="34" t="str">
        <f t="shared" si="19"/>
        <v/>
      </c>
    </row>
    <row r="236" spans="1:19" x14ac:dyDescent="0.25">
      <c r="A236" s="42"/>
      <c r="B236" s="42"/>
      <c r="C236" s="34" t="str">
        <f t="shared" si="15"/>
        <v/>
      </c>
      <c r="E236" s="42"/>
      <c r="F236" s="42"/>
      <c r="G236" s="34" t="str">
        <f t="shared" si="16"/>
        <v/>
      </c>
      <c r="I236" s="42"/>
      <c r="J236" s="42"/>
      <c r="K236" s="34" t="str">
        <f t="shared" si="17"/>
        <v/>
      </c>
      <c r="M236" s="42"/>
      <c r="N236" s="42"/>
      <c r="O236" s="34" t="str">
        <f t="shared" si="18"/>
        <v/>
      </c>
      <c r="Q236" s="42"/>
      <c r="R236" s="42"/>
      <c r="S236" s="34" t="str">
        <f t="shared" si="19"/>
        <v/>
      </c>
    </row>
    <row r="237" spans="1:19" x14ac:dyDescent="0.25">
      <c r="A237" s="42"/>
      <c r="B237" s="42"/>
      <c r="C237" s="34" t="str">
        <f t="shared" si="15"/>
        <v/>
      </c>
      <c r="E237" s="42"/>
      <c r="F237" s="42"/>
      <c r="G237" s="34" t="str">
        <f t="shared" si="16"/>
        <v/>
      </c>
      <c r="I237" s="42"/>
      <c r="J237" s="42"/>
      <c r="K237" s="34" t="str">
        <f t="shared" si="17"/>
        <v/>
      </c>
      <c r="M237" s="42"/>
      <c r="N237" s="42"/>
      <c r="O237" s="34" t="str">
        <f t="shared" si="18"/>
        <v/>
      </c>
      <c r="Q237" s="42"/>
      <c r="R237" s="42"/>
      <c r="S237" s="34" t="str">
        <f t="shared" si="19"/>
        <v/>
      </c>
    </row>
    <row r="238" spans="1:19" x14ac:dyDescent="0.25">
      <c r="A238" s="42"/>
      <c r="B238" s="42"/>
      <c r="C238" s="34" t="str">
        <f t="shared" si="15"/>
        <v/>
      </c>
      <c r="E238" s="42"/>
      <c r="F238" s="42"/>
      <c r="G238" s="34" t="str">
        <f t="shared" si="16"/>
        <v/>
      </c>
      <c r="I238" s="42"/>
      <c r="J238" s="42"/>
      <c r="K238" s="34" t="str">
        <f t="shared" si="17"/>
        <v/>
      </c>
      <c r="M238" s="42"/>
      <c r="N238" s="42"/>
      <c r="O238" s="34" t="str">
        <f t="shared" si="18"/>
        <v/>
      </c>
      <c r="Q238" s="42"/>
      <c r="R238" s="42"/>
      <c r="S238" s="34" t="str">
        <f t="shared" si="19"/>
        <v/>
      </c>
    </row>
    <row r="239" spans="1:19" x14ac:dyDescent="0.25">
      <c r="A239" s="42"/>
      <c r="B239" s="42"/>
      <c r="C239" s="34" t="str">
        <f t="shared" si="15"/>
        <v/>
      </c>
      <c r="E239" s="42"/>
      <c r="F239" s="42"/>
      <c r="G239" s="34" t="str">
        <f t="shared" si="16"/>
        <v/>
      </c>
      <c r="I239" s="42"/>
      <c r="J239" s="42"/>
      <c r="K239" s="34" t="str">
        <f t="shared" si="17"/>
        <v/>
      </c>
      <c r="M239" s="42"/>
      <c r="N239" s="42"/>
      <c r="O239" s="34" t="str">
        <f t="shared" si="18"/>
        <v/>
      </c>
      <c r="Q239" s="42"/>
      <c r="R239" s="42"/>
      <c r="S239" s="34" t="str">
        <f t="shared" si="19"/>
        <v/>
      </c>
    </row>
    <row r="240" spans="1:19" x14ac:dyDescent="0.25">
      <c r="A240" s="42"/>
      <c r="B240" s="42"/>
      <c r="C240" s="34" t="str">
        <f t="shared" si="15"/>
        <v/>
      </c>
      <c r="E240" s="42"/>
      <c r="F240" s="42"/>
      <c r="G240" s="34" t="str">
        <f t="shared" si="16"/>
        <v/>
      </c>
      <c r="I240" s="42"/>
      <c r="J240" s="42"/>
      <c r="K240" s="34" t="str">
        <f t="shared" si="17"/>
        <v/>
      </c>
      <c r="M240" s="42"/>
      <c r="N240" s="42"/>
      <c r="O240" s="34" t="str">
        <f t="shared" si="18"/>
        <v/>
      </c>
      <c r="Q240" s="42"/>
      <c r="R240" s="42"/>
      <c r="S240" s="34" t="str">
        <f t="shared" si="19"/>
        <v/>
      </c>
    </row>
    <row r="241" spans="1:19" x14ac:dyDescent="0.25">
      <c r="A241" s="42"/>
      <c r="B241" s="42"/>
      <c r="C241" s="34" t="str">
        <f t="shared" si="15"/>
        <v/>
      </c>
      <c r="E241" s="42"/>
      <c r="F241" s="42"/>
      <c r="G241" s="34" t="str">
        <f t="shared" si="16"/>
        <v/>
      </c>
      <c r="I241" s="42"/>
      <c r="J241" s="42"/>
      <c r="K241" s="34" t="str">
        <f t="shared" si="17"/>
        <v/>
      </c>
      <c r="M241" s="42"/>
      <c r="N241" s="42"/>
      <c r="O241" s="34" t="str">
        <f t="shared" si="18"/>
        <v/>
      </c>
      <c r="Q241" s="42"/>
      <c r="R241" s="42"/>
      <c r="S241" s="34" t="str">
        <f t="shared" si="19"/>
        <v/>
      </c>
    </row>
    <row r="242" spans="1:19" x14ac:dyDescent="0.25">
      <c r="A242" s="42"/>
      <c r="B242" s="42"/>
      <c r="C242" s="34" t="str">
        <f t="shared" si="15"/>
        <v/>
      </c>
      <c r="E242" s="42"/>
      <c r="F242" s="42"/>
      <c r="G242" s="34" t="str">
        <f t="shared" si="16"/>
        <v/>
      </c>
      <c r="I242" s="42"/>
      <c r="J242" s="42"/>
      <c r="K242" s="34" t="str">
        <f t="shared" si="17"/>
        <v/>
      </c>
      <c r="M242" s="42"/>
      <c r="N242" s="42"/>
      <c r="O242" s="34" t="str">
        <f t="shared" si="18"/>
        <v/>
      </c>
      <c r="Q242" s="42"/>
      <c r="R242" s="42"/>
      <c r="S242" s="34" t="str">
        <f t="shared" si="19"/>
        <v/>
      </c>
    </row>
    <row r="243" spans="1:19" x14ac:dyDescent="0.25">
      <c r="A243" s="42"/>
      <c r="B243" s="42"/>
      <c r="C243" s="34" t="str">
        <f t="shared" si="15"/>
        <v/>
      </c>
      <c r="E243" s="42"/>
      <c r="F243" s="42"/>
      <c r="G243" s="34" t="str">
        <f t="shared" si="16"/>
        <v/>
      </c>
      <c r="I243" s="42"/>
      <c r="J243" s="42"/>
      <c r="K243" s="34" t="str">
        <f t="shared" si="17"/>
        <v/>
      </c>
      <c r="M243" s="42"/>
      <c r="N243" s="42"/>
      <c r="O243" s="34" t="str">
        <f t="shared" si="18"/>
        <v/>
      </c>
      <c r="Q243" s="42"/>
      <c r="R243" s="42"/>
      <c r="S243" s="34" t="str">
        <f t="shared" si="19"/>
        <v/>
      </c>
    </row>
    <row r="244" spans="1:19" x14ac:dyDescent="0.25">
      <c r="A244" s="42"/>
      <c r="B244" s="42"/>
      <c r="C244" s="34" t="str">
        <f t="shared" si="15"/>
        <v/>
      </c>
      <c r="E244" s="42"/>
      <c r="F244" s="42"/>
      <c r="G244" s="34" t="str">
        <f t="shared" si="16"/>
        <v/>
      </c>
      <c r="I244" s="42"/>
      <c r="J244" s="42"/>
      <c r="K244" s="34" t="str">
        <f t="shared" si="17"/>
        <v/>
      </c>
      <c r="M244" s="42"/>
      <c r="N244" s="42"/>
      <c r="O244" s="34" t="str">
        <f t="shared" si="18"/>
        <v/>
      </c>
      <c r="Q244" s="42"/>
      <c r="R244" s="42"/>
      <c r="S244" s="34" t="str">
        <f t="shared" si="19"/>
        <v/>
      </c>
    </row>
    <row r="245" spans="1:19" x14ac:dyDescent="0.25">
      <c r="A245" s="42"/>
      <c r="B245" s="42"/>
      <c r="C245" s="34" t="str">
        <f t="shared" si="15"/>
        <v/>
      </c>
      <c r="E245" s="42"/>
      <c r="F245" s="42"/>
      <c r="G245" s="34" t="str">
        <f t="shared" si="16"/>
        <v/>
      </c>
      <c r="I245" s="42"/>
      <c r="J245" s="42"/>
      <c r="K245" s="34" t="str">
        <f t="shared" si="17"/>
        <v/>
      </c>
      <c r="M245" s="42"/>
      <c r="N245" s="42"/>
      <c r="O245" s="34" t="str">
        <f t="shared" si="18"/>
        <v/>
      </c>
      <c r="Q245" s="42"/>
      <c r="R245" s="42"/>
      <c r="S245" s="34" t="str">
        <f t="shared" si="19"/>
        <v/>
      </c>
    </row>
    <row r="246" spans="1:19" x14ac:dyDescent="0.25">
      <c r="A246" s="42"/>
      <c r="B246" s="42"/>
      <c r="C246" s="34" t="str">
        <f t="shared" si="15"/>
        <v/>
      </c>
      <c r="E246" s="42"/>
      <c r="F246" s="42"/>
      <c r="G246" s="34" t="str">
        <f t="shared" si="16"/>
        <v/>
      </c>
      <c r="I246" s="42"/>
      <c r="J246" s="42"/>
      <c r="K246" s="34" t="str">
        <f t="shared" si="17"/>
        <v/>
      </c>
      <c r="M246" s="42"/>
      <c r="N246" s="42"/>
      <c r="O246" s="34" t="str">
        <f t="shared" si="18"/>
        <v/>
      </c>
      <c r="Q246" s="42"/>
      <c r="R246" s="42"/>
      <c r="S246" s="34" t="str">
        <f t="shared" si="19"/>
        <v/>
      </c>
    </row>
    <row r="247" spans="1:19" x14ac:dyDescent="0.25">
      <c r="A247" s="42"/>
      <c r="B247" s="42"/>
      <c r="C247" s="34" t="str">
        <f t="shared" si="15"/>
        <v/>
      </c>
      <c r="E247" s="42"/>
      <c r="F247" s="42"/>
      <c r="G247" s="34" t="str">
        <f t="shared" si="16"/>
        <v/>
      </c>
      <c r="I247" s="42"/>
      <c r="J247" s="42"/>
      <c r="K247" s="34" t="str">
        <f t="shared" si="17"/>
        <v/>
      </c>
      <c r="M247" s="42"/>
      <c r="N247" s="42"/>
      <c r="O247" s="34" t="str">
        <f t="shared" si="18"/>
        <v/>
      </c>
      <c r="Q247" s="42"/>
      <c r="R247" s="42"/>
      <c r="S247" s="34" t="str">
        <f t="shared" si="19"/>
        <v/>
      </c>
    </row>
    <row r="248" spans="1:19" x14ac:dyDescent="0.25">
      <c r="A248" s="42"/>
      <c r="B248" s="42"/>
      <c r="C248" s="34" t="str">
        <f t="shared" si="15"/>
        <v/>
      </c>
      <c r="E248" s="42"/>
      <c r="F248" s="42"/>
      <c r="G248" s="34" t="str">
        <f t="shared" si="16"/>
        <v/>
      </c>
      <c r="I248" s="42"/>
      <c r="J248" s="42"/>
      <c r="K248" s="34" t="str">
        <f t="shared" si="17"/>
        <v/>
      </c>
      <c r="M248" s="42"/>
      <c r="N248" s="42"/>
      <c r="O248" s="34" t="str">
        <f t="shared" si="18"/>
        <v/>
      </c>
      <c r="Q248" s="42"/>
      <c r="R248" s="42"/>
      <c r="S248" s="34" t="str">
        <f t="shared" si="19"/>
        <v/>
      </c>
    </row>
    <row r="249" spans="1:19" x14ac:dyDescent="0.25">
      <c r="A249" s="42"/>
      <c r="B249" s="42"/>
      <c r="C249" s="34" t="str">
        <f t="shared" si="15"/>
        <v/>
      </c>
      <c r="E249" s="42"/>
      <c r="F249" s="42"/>
      <c r="G249" s="34" t="str">
        <f t="shared" si="16"/>
        <v/>
      </c>
      <c r="I249" s="42"/>
      <c r="J249" s="42"/>
      <c r="K249" s="34" t="str">
        <f t="shared" si="17"/>
        <v/>
      </c>
      <c r="M249" s="42"/>
      <c r="N249" s="42"/>
      <c r="O249" s="34" t="str">
        <f t="shared" si="18"/>
        <v/>
      </c>
      <c r="Q249" s="42"/>
      <c r="R249" s="42"/>
      <c r="S249" s="34" t="str">
        <f t="shared" si="19"/>
        <v/>
      </c>
    </row>
    <row r="250" spans="1:19" x14ac:dyDescent="0.25">
      <c r="A250" s="42"/>
      <c r="B250" s="42"/>
      <c r="C250" s="34" t="str">
        <f t="shared" si="15"/>
        <v/>
      </c>
      <c r="E250" s="42"/>
      <c r="F250" s="42"/>
      <c r="G250" s="34" t="str">
        <f t="shared" si="16"/>
        <v/>
      </c>
      <c r="I250" s="42"/>
      <c r="J250" s="42"/>
      <c r="K250" s="34" t="str">
        <f t="shared" si="17"/>
        <v/>
      </c>
      <c r="M250" s="42"/>
      <c r="N250" s="42"/>
      <c r="O250" s="34" t="str">
        <f t="shared" si="18"/>
        <v/>
      </c>
      <c r="Q250" s="42"/>
      <c r="R250" s="42"/>
      <c r="S250" s="34" t="str">
        <f t="shared" si="19"/>
        <v/>
      </c>
    </row>
    <row r="251" spans="1:19" x14ac:dyDescent="0.25">
      <c r="A251" s="42"/>
      <c r="B251" s="42"/>
      <c r="C251" s="34" t="str">
        <f t="shared" si="15"/>
        <v/>
      </c>
      <c r="E251" s="42"/>
      <c r="F251" s="42"/>
      <c r="G251" s="34" t="str">
        <f t="shared" si="16"/>
        <v/>
      </c>
      <c r="I251" s="42"/>
      <c r="J251" s="42"/>
      <c r="K251" s="34" t="str">
        <f t="shared" si="17"/>
        <v/>
      </c>
      <c r="M251" s="42"/>
      <c r="N251" s="42"/>
      <c r="O251" s="34" t="str">
        <f t="shared" si="18"/>
        <v/>
      </c>
      <c r="Q251" s="42"/>
      <c r="R251" s="42"/>
      <c r="S251" s="34" t="str">
        <f t="shared" si="19"/>
        <v/>
      </c>
    </row>
    <row r="252" spans="1:19" x14ac:dyDescent="0.25">
      <c r="A252" s="42"/>
      <c r="B252" s="42"/>
      <c r="C252" s="34" t="str">
        <f t="shared" si="15"/>
        <v/>
      </c>
      <c r="E252" s="42"/>
      <c r="F252" s="42"/>
      <c r="G252" s="34" t="str">
        <f t="shared" si="16"/>
        <v/>
      </c>
      <c r="I252" s="42"/>
      <c r="J252" s="42"/>
      <c r="K252" s="34" t="str">
        <f t="shared" si="17"/>
        <v/>
      </c>
      <c r="M252" s="42"/>
      <c r="N252" s="42"/>
      <c r="O252" s="34" t="str">
        <f t="shared" si="18"/>
        <v/>
      </c>
      <c r="Q252" s="42"/>
      <c r="R252" s="42"/>
      <c r="S252" s="34" t="str">
        <f t="shared" si="19"/>
        <v/>
      </c>
    </row>
    <row r="253" spans="1:19" x14ac:dyDescent="0.25">
      <c r="A253" s="42"/>
      <c r="B253" s="42"/>
      <c r="C253" s="34" t="str">
        <f t="shared" si="15"/>
        <v/>
      </c>
      <c r="E253" s="42"/>
      <c r="F253" s="42"/>
      <c r="G253" s="34" t="str">
        <f t="shared" si="16"/>
        <v/>
      </c>
      <c r="I253" s="42"/>
      <c r="J253" s="42"/>
      <c r="K253" s="34" t="str">
        <f t="shared" si="17"/>
        <v/>
      </c>
      <c r="M253" s="42"/>
      <c r="N253" s="42"/>
      <c r="O253" s="34" t="str">
        <f t="shared" si="18"/>
        <v/>
      </c>
      <c r="Q253" s="42"/>
      <c r="R253" s="42"/>
      <c r="S253" s="34" t="str">
        <f t="shared" si="19"/>
        <v/>
      </c>
    </row>
    <row r="254" spans="1:19" x14ac:dyDescent="0.25">
      <c r="A254" s="42"/>
      <c r="B254" s="42"/>
      <c r="C254" s="34" t="str">
        <f t="shared" si="15"/>
        <v/>
      </c>
      <c r="E254" s="42"/>
      <c r="F254" s="42"/>
      <c r="G254" s="34" t="str">
        <f t="shared" si="16"/>
        <v/>
      </c>
      <c r="I254" s="42"/>
      <c r="J254" s="42"/>
      <c r="K254" s="34" t="str">
        <f t="shared" si="17"/>
        <v/>
      </c>
      <c r="M254" s="42"/>
      <c r="N254" s="42"/>
      <c r="O254" s="34" t="str">
        <f t="shared" si="18"/>
        <v/>
      </c>
      <c r="Q254" s="42"/>
      <c r="R254" s="42"/>
      <c r="S254" s="34" t="str">
        <f t="shared" si="19"/>
        <v/>
      </c>
    </row>
    <row r="255" spans="1:19" x14ac:dyDescent="0.25">
      <c r="A255" s="42"/>
      <c r="B255" s="42"/>
      <c r="C255" s="34" t="str">
        <f t="shared" si="15"/>
        <v/>
      </c>
      <c r="E255" s="42"/>
      <c r="F255" s="42"/>
      <c r="G255" s="34" t="str">
        <f t="shared" si="16"/>
        <v/>
      </c>
      <c r="I255" s="42"/>
      <c r="J255" s="42"/>
      <c r="K255" s="34" t="str">
        <f t="shared" si="17"/>
        <v/>
      </c>
      <c r="M255" s="42"/>
      <c r="N255" s="42"/>
      <c r="O255" s="34" t="str">
        <f t="shared" si="18"/>
        <v/>
      </c>
      <c r="Q255" s="42"/>
      <c r="R255" s="42"/>
      <c r="S255" s="34" t="str">
        <f t="shared" si="19"/>
        <v/>
      </c>
    </row>
    <row r="256" spans="1:19" x14ac:dyDescent="0.25">
      <c r="A256" s="42"/>
      <c r="B256" s="42"/>
      <c r="C256" s="34" t="str">
        <f t="shared" si="15"/>
        <v/>
      </c>
      <c r="E256" s="42"/>
      <c r="F256" s="42"/>
      <c r="G256" s="34" t="str">
        <f t="shared" si="16"/>
        <v/>
      </c>
      <c r="I256" s="42"/>
      <c r="J256" s="42"/>
      <c r="K256" s="34" t="str">
        <f t="shared" si="17"/>
        <v/>
      </c>
      <c r="M256" s="42"/>
      <c r="N256" s="42"/>
      <c r="O256" s="34" t="str">
        <f t="shared" si="18"/>
        <v/>
      </c>
      <c r="Q256" s="42"/>
      <c r="R256" s="42"/>
      <c r="S256" s="34" t="str">
        <f t="shared" si="19"/>
        <v/>
      </c>
    </row>
    <row r="257" spans="1:19" x14ac:dyDescent="0.25">
      <c r="A257" s="42"/>
      <c r="B257" s="42"/>
      <c r="C257" s="34" t="str">
        <f t="shared" si="15"/>
        <v/>
      </c>
      <c r="E257" s="42"/>
      <c r="F257" s="42"/>
      <c r="G257" s="34" t="str">
        <f t="shared" si="16"/>
        <v/>
      </c>
      <c r="I257" s="42"/>
      <c r="J257" s="42"/>
      <c r="K257" s="34" t="str">
        <f t="shared" si="17"/>
        <v/>
      </c>
      <c r="M257" s="42"/>
      <c r="N257" s="42"/>
      <c r="O257" s="34" t="str">
        <f t="shared" si="18"/>
        <v/>
      </c>
      <c r="Q257" s="42"/>
      <c r="R257" s="42"/>
      <c r="S257" s="34" t="str">
        <f t="shared" si="19"/>
        <v/>
      </c>
    </row>
    <row r="258" spans="1:19" x14ac:dyDescent="0.25">
      <c r="A258" s="42"/>
      <c r="B258" s="42"/>
      <c r="C258" s="34" t="str">
        <f t="shared" si="15"/>
        <v/>
      </c>
      <c r="E258" s="42"/>
      <c r="F258" s="42"/>
      <c r="G258" s="34" t="str">
        <f t="shared" si="16"/>
        <v/>
      </c>
      <c r="I258" s="42"/>
      <c r="J258" s="42"/>
      <c r="K258" s="34" t="str">
        <f t="shared" si="17"/>
        <v/>
      </c>
      <c r="M258" s="42"/>
      <c r="N258" s="42"/>
      <c r="O258" s="34" t="str">
        <f t="shared" si="18"/>
        <v/>
      </c>
      <c r="Q258" s="42"/>
      <c r="R258" s="42"/>
      <c r="S258" s="34" t="str">
        <f t="shared" si="19"/>
        <v/>
      </c>
    </row>
    <row r="259" spans="1:19" x14ac:dyDescent="0.25">
      <c r="A259" s="42"/>
      <c r="B259" s="42"/>
      <c r="C259" s="34" t="str">
        <f t="shared" si="15"/>
        <v/>
      </c>
      <c r="E259" s="42"/>
      <c r="F259" s="42"/>
      <c r="G259" s="34" t="str">
        <f t="shared" si="16"/>
        <v/>
      </c>
      <c r="I259" s="42"/>
      <c r="J259" s="42"/>
      <c r="K259" s="34" t="str">
        <f t="shared" si="17"/>
        <v/>
      </c>
      <c r="M259" s="42"/>
      <c r="N259" s="42"/>
      <c r="O259" s="34" t="str">
        <f t="shared" si="18"/>
        <v/>
      </c>
      <c r="Q259" s="42"/>
      <c r="R259" s="42"/>
      <c r="S259" s="34" t="str">
        <f t="shared" si="19"/>
        <v/>
      </c>
    </row>
    <row r="260" spans="1:19" x14ac:dyDescent="0.25">
      <c r="A260" s="42"/>
      <c r="B260" s="42"/>
      <c r="C260" s="34" t="str">
        <f t="shared" si="15"/>
        <v/>
      </c>
      <c r="E260" s="42"/>
      <c r="F260" s="42"/>
      <c r="G260" s="34" t="str">
        <f t="shared" si="16"/>
        <v/>
      </c>
      <c r="I260" s="42"/>
      <c r="J260" s="42"/>
      <c r="K260" s="34" t="str">
        <f t="shared" si="17"/>
        <v/>
      </c>
      <c r="M260" s="42"/>
      <c r="N260" s="42"/>
      <c r="O260" s="34" t="str">
        <f t="shared" si="18"/>
        <v/>
      </c>
      <c r="Q260" s="42"/>
      <c r="R260" s="42"/>
      <c r="S260" s="34" t="str">
        <f t="shared" si="19"/>
        <v/>
      </c>
    </row>
    <row r="261" spans="1:19" x14ac:dyDescent="0.25">
      <c r="A261" s="42"/>
      <c r="B261" s="42"/>
      <c r="C261" s="34" t="str">
        <f t="shared" si="15"/>
        <v/>
      </c>
      <c r="E261" s="42"/>
      <c r="F261" s="42"/>
      <c r="G261" s="34" t="str">
        <f t="shared" si="16"/>
        <v/>
      </c>
      <c r="I261" s="42"/>
      <c r="J261" s="42"/>
      <c r="K261" s="34" t="str">
        <f t="shared" si="17"/>
        <v/>
      </c>
      <c r="M261" s="42"/>
      <c r="N261" s="42"/>
      <c r="O261" s="34" t="str">
        <f t="shared" si="18"/>
        <v/>
      </c>
      <c r="Q261" s="42"/>
      <c r="R261" s="42"/>
      <c r="S261" s="34" t="str">
        <f t="shared" si="19"/>
        <v/>
      </c>
    </row>
    <row r="262" spans="1:19" x14ac:dyDescent="0.25">
      <c r="A262" s="42"/>
      <c r="B262" s="42"/>
      <c r="C262" s="34" t="str">
        <f t="shared" si="15"/>
        <v/>
      </c>
      <c r="E262" s="42"/>
      <c r="F262" s="42"/>
      <c r="G262" s="34" t="str">
        <f t="shared" si="16"/>
        <v/>
      </c>
      <c r="I262" s="42"/>
      <c r="J262" s="42"/>
      <c r="K262" s="34" t="str">
        <f t="shared" si="17"/>
        <v/>
      </c>
      <c r="M262" s="42"/>
      <c r="N262" s="42"/>
      <c r="O262" s="34" t="str">
        <f t="shared" si="18"/>
        <v/>
      </c>
      <c r="Q262" s="42"/>
      <c r="R262" s="42"/>
      <c r="S262" s="34" t="str">
        <f t="shared" si="19"/>
        <v/>
      </c>
    </row>
    <row r="263" spans="1:19" x14ac:dyDescent="0.25">
      <c r="A263" s="42"/>
      <c r="B263" s="42"/>
      <c r="C263" s="34" t="str">
        <f t="shared" si="15"/>
        <v/>
      </c>
      <c r="E263" s="42"/>
      <c r="F263" s="42"/>
      <c r="G263" s="34" t="str">
        <f t="shared" si="16"/>
        <v/>
      </c>
      <c r="I263" s="42"/>
      <c r="J263" s="42"/>
      <c r="K263" s="34" t="str">
        <f t="shared" si="17"/>
        <v/>
      </c>
      <c r="M263" s="42"/>
      <c r="N263" s="42"/>
      <c r="O263" s="34" t="str">
        <f t="shared" si="18"/>
        <v/>
      </c>
      <c r="Q263" s="42"/>
      <c r="R263" s="42"/>
      <c r="S263" s="34" t="str">
        <f t="shared" si="19"/>
        <v/>
      </c>
    </row>
    <row r="264" spans="1:19" x14ac:dyDescent="0.25">
      <c r="A264" s="42"/>
      <c r="B264" s="42"/>
      <c r="C264" s="34" t="str">
        <f t="shared" si="15"/>
        <v/>
      </c>
      <c r="E264" s="42"/>
      <c r="F264" s="42"/>
      <c r="G264" s="34" t="str">
        <f t="shared" si="16"/>
        <v/>
      </c>
      <c r="I264" s="42"/>
      <c r="J264" s="42"/>
      <c r="K264" s="34" t="str">
        <f t="shared" si="17"/>
        <v/>
      </c>
      <c r="M264" s="42"/>
      <c r="N264" s="42"/>
      <c r="O264" s="34" t="str">
        <f t="shared" si="18"/>
        <v/>
      </c>
      <c r="Q264" s="42"/>
      <c r="R264" s="42"/>
      <c r="S264" s="34" t="str">
        <f t="shared" si="19"/>
        <v/>
      </c>
    </row>
    <row r="265" spans="1:19" x14ac:dyDescent="0.25">
      <c r="A265" s="42"/>
      <c r="B265" s="42"/>
      <c r="C265" s="34" t="str">
        <f t="shared" si="15"/>
        <v/>
      </c>
      <c r="E265" s="42"/>
      <c r="F265" s="42"/>
      <c r="G265" s="34" t="str">
        <f t="shared" si="16"/>
        <v/>
      </c>
      <c r="I265" s="42"/>
      <c r="J265" s="42"/>
      <c r="K265" s="34" t="str">
        <f t="shared" si="17"/>
        <v/>
      </c>
      <c r="M265" s="42"/>
      <c r="N265" s="42"/>
      <c r="O265" s="34" t="str">
        <f t="shared" si="18"/>
        <v/>
      </c>
      <c r="Q265" s="42"/>
      <c r="R265" s="42"/>
      <c r="S265" s="34" t="str">
        <f t="shared" si="19"/>
        <v/>
      </c>
    </row>
    <row r="266" spans="1:19" x14ac:dyDescent="0.25">
      <c r="A266" s="42"/>
      <c r="B266" s="42"/>
      <c r="C266" s="34" t="str">
        <f t="shared" ref="C266:C329" si="20">IF(OR(B266="",B$4=""),"",B266/B$4)</f>
        <v/>
      </c>
      <c r="E266" s="42"/>
      <c r="F266" s="42"/>
      <c r="G266" s="34" t="str">
        <f t="shared" ref="G266:G329" si="21">IF(OR(F266="",F$4=""),"",F266/F$4)</f>
        <v/>
      </c>
      <c r="I266" s="42"/>
      <c r="J266" s="42"/>
      <c r="K266" s="34" t="str">
        <f t="shared" ref="K266:K329" si="22">IF(OR(J266="",J$4=""),"",J266/J$4)</f>
        <v/>
      </c>
      <c r="M266" s="42"/>
      <c r="N266" s="42"/>
      <c r="O266" s="34" t="str">
        <f t="shared" ref="O266:O329" si="23">IF(OR(N266="",N$4=""),"",N266/N$4)</f>
        <v/>
      </c>
      <c r="Q266" s="42"/>
      <c r="R266" s="42"/>
      <c r="S266" s="34" t="str">
        <f t="shared" ref="S266:S329" si="24">IF(OR(R266="",R$4=""),"",R266/R$4)</f>
        <v/>
      </c>
    </row>
    <row r="267" spans="1:19" x14ac:dyDescent="0.25">
      <c r="A267" s="42"/>
      <c r="B267" s="42"/>
      <c r="C267" s="34" t="str">
        <f t="shared" si="20"/>
        <v/>
      </c>
      <c r="E267" s="42"/>
      <c r="F267" s="42"/>
      <c r="G267" s="34" t="str">
        <f t="shared" si="21"/>
        <v/>
      </c>
      <c r="I267" s="42"/>
      <c r="J267" s="42"/>
      <c r="K267" s="34" t="str">
        <f t="shared" si="22"/>
        <v/>
      </c>
      <c r="M267" s="42"/>
      <c r="N267" s="42"/>
      <c r="O267" s="34" t="str">
        <f t="shared" si="23"/>
        <v/>
      </c>
      <c r="Q267" s="42"/>
      <c r="R267" s="42"/>
      <c r="S267" s="34" t="str">
        <f t="shared" si="24"/>
        <v/>
      </c>
    </row>
    <row r="268" spans="1:19" x14ac:dyDescent="0.25">
      <c r="A268" s="42"/>
      <c r="B268" s="42"/>
      <c r="C268" s="34" t="str">
        <f t="shared" si="20"/>
        <v/>
      </c>
      <c r="E268" s="42"/>
      <c r="F268" s="42"/>
      <c r="G268" s="34" t="str">
        <f t="shared" si="21"/>
        <v/>
      </c>
      <c r="I268" s="42"/>
      <c r="J268" s="42"/>
      <c r="K268" s="34" t="str">
        <f t="shared" si="22"/>
        <v/>
      </c>
      <c r="M268" s="42"/>
      <c r="N268" s="42"/>
      <c r="O268" s="34" t="str">
        <f t="shared" si="23"/>
        <v/>
      </c>
      <c r="Q268" s="42"/>
      <c r="R268" s="42"/>
      <c r="S268" s="34" t="str">
        <f t="shared" si="24"/>
        <v/>
      </c>
    </row>
    <row r="269" spans="1:19" x14ac:dyDescent="0.25">
      <c r="A269" s="42"/>
      <c r="B269" s="42"/>
      <c r="C269" s="34" t="str">
        <f t="shared" si="20"/>
        <v/>
      </c>
      <c r="E269" s="42"/>
      <c r="F269" s="42"/>
      <c r="G269" s="34" t="str">
        <f t="shared" si="21"/>
        <v/>
      </c>
      <c r="I269" s="42"/>
      <c r="J269" s="42"/>
      <c r="K269" s="34" t="str">
        <f t="shared" si="22"/>
        <v/>
      </c>
      <c r="M269" s="42"/>
      <c r="N269" s="42"/>
      <c r="O269" s="34" t="str">
        <f t="shared" si="23"/>
        <v/>
      </c>
      <c r="Q269" s="42"/>
      <c r="R269" s="42"/>
      <c r="S269" s="34" t="str">
        <f t="shared" si="24"/>
        <v/>
      </c>
    </row>
    <row r="270" spans="1:19" x14ac:dyDescent="0.25">
      <c r="A270" s="42"/>
      <c r="B270" s="42"/>
      <c r="C270" s="34" t="str">
        <f t="shared" si="20"/>
        <v/>
      </c>
      <c r="E270" s="42"/>
      <c r="F270" s="42"/>
      <c r="G270" s="34" t="str">
        <f t="shared" si="21"/>
        <v/>
      </c>
      <c r="I270" s="42"/>
      <c r="J270" s="42"/>
      <c r="K270" s="34" t="str">
        <f t="shared" si="22"/>
        <v/>
      </c>
      <c r="M270" s="42"/>
      <c r="N270" s="42"/>
      <c r="O270" s="34" t="str">
        <f t="shared" si="23"/>
        <v/>
      </c>
      <c r="Q270" s="42"/>
      <c r="R270" s="42"/>
      <c r="S270" s="34" t="str">
        <f t="shared" si="24"/>
        <v/>
      </c>
    </row>
    <row r="271" spans="1:19" x14ac:dyDescent="0.25">
      <c r="A271" s="42"/>
      <c r="B271" s="42"/>
      <c r="C271" s="34" t="str">
        <f t="shared" si="20"/>
        <v/>
      </c>
      <c r="E271" s="42"/>
      <c r="F271" s="42"/>
      <c r="G271" s="34" t="str">
        <f t="shared" si="21"/>
        <v/>
      </c>
      <c r="I271" s="42"/>
      <c r="J271" s="42"/>
      <c r="K271" s="34" t="str">
        <f t="shared" si="22"/>
        <v/>
      </c>
      <c r="M271" s="42"/>
      <c r="N271" s="42"/>
      <c r="O271" s="34" t="str">
        <f t="shared" si="23"/>
        <v/>
      </c>
      <c r="Q271" s="42"/>
      <c r="R271" s="42"/>
      <c r="S271" s="34" t="str">
        <f t="shared" si="24"/>
        <v/>
      </c>
    </row>
    <row r="272" spans="1:19" x14ac:dyDescent="0.25">
      <c r="A272" s="42"/>
      <c r="B272" s="42"/>
      <c r="C272" s="34" t="str">
        <f t="shared" si="20"/>
        <v/>
      </c>
      <c r="E272" s="42"/>
      <c r="F272" s="42"/>
      <c r="G272" s="34" t="str">
        <f t="shared" si="21"/>
        <v/>
      </c>
      <c r="I272" s="42"/>
      <c r="J272" s="42"/>
      <c r="K272" s="34" t="str">
        <f t="shared" si="22"/>
        <v/>
      </c>
      <c r="M272" s="42"/>
      <c r="N272" s="42"/>
      <c r="O272" s="34" t="str">
        <f t="shared" si="23"/>
        <v/>
      </c>
      <c r="Q272" s="42"/>
      <c r="R272" s="42"/>
      <c r="S272" s="34" t="str">
        <f t="shared" si="24"/>
        <v/>
      </c>
    </row>
    <row r="273" spans="1:19" x14ac:dyDescent="0.25">
      <c r="A273" s="42"/>
      <c r="B273" s="42"/>
      <c r="C273" s="34" t="str">
        <f t="shared" si="20"/>
        <v/>
      </c>
      <c r="E273" s="42"/>
      <c r="F273" s="42"/>
      <c r="G273" s="34" t="str">
        <f t="shared" si="21"/>
        <v/>
      </c>
      <c r="I273" s="42"/>
      <c r="J273" s="42"/>
      <c r="K273" s="34" t="str">
        <f t="shared" si="22"/>
        <v/>
      </c>
      <c r="M273" s="42"/>
      <c r="N273" s="42"/>
      <c r="O273" s="34" t="str">
        <f t="shared" si="23"/>
        <v/>
      </c>
      <c r="Q273" s="42"/>
      <c r="R273" s="42"/>
      <c r="S273" s="34" t="str">
        <f t="shared" si="24"/>
        <v/>
      </c>
    </row>
    <row r="274" spans="1:19" x14ac:dyDescent="0.25">
      <c r="A274" s="42"/>
      <c r="B274" s="42"/>
      <c r="C274" s="34" t="str">
        <f t="shared" si="20"/>
        <v/>
      </c>
      <c r="E274" s="42"/>
      <c r="F274" s="42"/>
      <c r="G274" s="34" t="str">
        <f t="shared" si="21"/>
        <v/>
      </c>
      <c r="I274" s="42"/>
      <c r="J274" s="42"/>
      <c r="K274" s="34" t="str">
        <f t="shared" si="22"/>
        <v/>
      </c>
      <c r="M274" s="42"/>
      <c r="N274" s="42"/>
      <c r="O274" s="34" t="str">
        <f t="shared" si="23"/>
        <v/>
      </c>
      <c r="Q274" s="42"/>
      <c r="R274" s="42"/>
      <c r="S274" s="34" t="str">
        <f t="shared" si="24"/>
        <v/>
      </c>
    </row>
    <row r="275" spans="1:19" x14ac:dyDescent="0.25">
      <c r="A275" s="42"/>
      <c r="B275" s="42"/>
      <c r="C275" s="34" t="str">
        <f t="shared" si="20"/>
        <v/>
      </c>
      <c r="E275" s="42"/>
      <c r="F275" s="42"/>
      <c r="G275" s="34" t="str">
        <f t="shared" si="21"/>
        <v/>
      </c>
      <c r="I275" s="42"/>
      <c r="J275" s="42"/>
      <c r="K275" s="34" t="str">
        <f t="shared" si="22"/>
        <v/>
      </c>
      <c r="M275" s="42"/>
      <c r="N275" s="42"/>
      <c r="O275" s="34" t="str">
        <f t="shared" si="23"/>
        <v/>
      </c>
      <c r="Q275" s="42"/>
      <c r="R275" s="42"/>
      <c r="S275" s="34" t="str">
        <f t="shared" si="24"/>
        <v/>
      </c>
    </row>
    <row r="276" spans="1:19" x14ac:dyDescent="0.25">
      <c r="A276" s="42"/>
      <c r="B276" s="42"/>
      <c r="C276" s="34" t="str">
        <f t="shared" si="20"/>
        <v/>
      </c>
      <c r="E276" s="42"/>
      <c r="F276" s="42"/>
      <c r="G276" s="34" t="str">
        <f t="shared" si="21"/>
        <v/>
      </c>
      <c r="I276" s="42"/>
      <c r="J276" s="42"/>
      <c r="K276" s="34" t="str">
        <f t="shared" si="22"/>
        <v/>
      </c>
      <c r="M276" s="42"/>
      <c r="N276" s="42"/>
      <c r="O276" s="34" t="str">
        <f t="shared" si="23"/>
        <v/>
      </c>
      <c r="Q276" s="42"/>
      <c r="R276" s="42"/>
      <c r="S276" s="34" t="str">
        <f t="shared" si="24"/>
        <v/>
      </c>
    </row>
    <row r="277" spans="1:19" x14ac:dyDescent="0.25">
      <c r="A277" s="42"/>
      <c r="B277" s="42"/>
      <c r="C277" s="34" t="str">
        <f t="shared" si="20"/>
        <v/>
      </c>
      <c r="E277" s="42"/>
      <c r="F277" s="42"/>
      <c r="G277" s="34" t="str">
        <f t="shared" si="21"/>
        <v/>
      </c>
      <c r="I277" s="42"/>
      <c r="J277" s="42"/>
      <c r="K277" s="34" t="str">
        <f t="shared" si="22"/>
        <v/>
      </c>
      <c r="M277" s="42"/>
      <c r="N277" s="42"/>
      <c r="O277" s="34" t="str">
        <f t="shared" si="23"/>
        <v/>
      </c>
      <c r="Q277" s="42"/>
      <c r="R277" s="42"/>
      <c r="S277" s="34" t="str">
        <f t="shared" si="24"/>
        <v/>
      </c>
    </row>
    <row r="278" spans="1:19" x14ac:dyDescent="0.25">
      <c r="A278" s="42"/>
      <c r="B278" s="42"/>
      <c r="C278" s="34" t="str">
        <f t="shared" si="20"/>
        <v/>
      </c>
      <c r="E278" s="42"/>
      <c r="F278" s="42"/>
      <c r="G278" s="34" t="str">
        <f t="shared" si="21"/>
        <v/>
      </c>
      <c r="I278" s="42"/>
      <c r="J278" s="42"/>
      <c r="K278" s="34" t="str">
        <f t="shared" si="22"/>
        <v/>
      </c>
      <c r="M278" s="42"/>
      <c r="N278" s="42"/>
      <c r="O278" s="34" t="str">
        <f t="shared" si="23"/>
        <v/>
      </c>
      <c r="Q278" s="42"/>
      <c r="R278" s="42"/>
      <c r="S278" s="34" t="str">
        <f t="shared" si="24"/>
        <v/>
      </c>
    </row>
    <row r="279" spans="1:19" x14ac:dyDescent="0.25">
      <c r="A279" s="42"/>
      <c r="B279" s="42"/>
      <c r="C279" s="34" t="str">
        <f t="shared" si="20"/>
        <v/>
      </c>
      <c r="E279" s="42"/>
      <c r="F279" s="42"/>
      <c r="G279" s="34" t="str">
        <f t="shared" si="21"/>
        <v/>
      </c>
      <c r="I279" s="42"/>
      <c r="J279" s="42"/>
      <c r="K279" s="34" t="str">
        <f t="shared" si="22"/>
        <v/>
      </c>
      <c r="M279" s="42"/>
      <c r="N279" s="42"/>
      <c r="O279" s="34" t="str">
        <f t="shared" si="23"/>
        <v/>
      </c>
      <c r="Q279" s="42"/>
      <c r="R279" s="42"/>
      <c r="S279" s="34" t="str">
        <f t="shared" si="24"/>
        <v/>
      </c>
    </row>
    <row r="280" spans="1:19" x14ac:dyDescent="0.25">
      <c r="A280" s="42"/>
      <c r="B280" s="42"/>
      <c r="C280" s="34" t="str">
        <f t="shared" si="20"/>
        <v/>
      </c>
      <c r="E280" s="42"/>
      <c r="F280" s="42"/>
      <c r="G280" s="34" t="str">
        <f t="shared" si="21"/>
        <v/>
      </c>
      <c r="I280" s="42"/>
      <c r="J280" s="42"/>
      <c r="K280" s="34" t="str">
        <f t="shared" si="22"/>
        <v/>
      </c>
      <c r="M280" s="42"/>
      <c r="N280" s="42"/>
      <c r="O280" s="34" t="str">
        <f t="shared" si="23"/>
        <v/>
      </c>
      <c r="Q280" s="42"/>
      <c r="R280" s="42"/>
      <c r="S280" s="34" t="str">
        <f t="shared" si="24"/>
        <v/>
      </c>
    </row>
    <row r="281" spans="1:19" x14ac:dyDescent="0.25">
      <c r="A281" s="42"/>
      <c r="B281" s="42"/>
      <c r="C281" s="34" t="str">
        <f t="shared" si="20"/>
        <v/>
      </c>
      <c r="E281" s="42"/>
      <c r="F281" s="42"/>
      <c r="G281" s="34" t="str">
        <f t="shared" si="21"/>
        <v/>
      </c>
      <c r="I281" s="42"/>
      <c r="J281" s="42"/>
      <c r="K281" s="34" t="str">
        <f t="shared" si="22"/>
        <v/>
      </c>
      <c r="M281" s="42"/>
      <c r="N281" s="42"/>
      <c r="O281" s="34" t="str">
        <f t="shared" si="23"/>
        <v/>
      </c>
      <c r="Q281" s="42"/>
      <c r="R281" s="42"/>
      <c r="S281" s="34" t="str">
        <f t="shared" si="24"/>
        <v/>
      </c>
    </row>
    <row r="282" spans="1:19" x14ac:dyDescent="0.25">
      <c r="A282" s="42"/>
      <c r="B282" s="42"/>
      <c r="C282" s="34" t="str">
        <f t="shared" si="20"/>
        <v/>
      </c>
      <c r="E282" s="42"/>
      <c r="F282" s="42"/>
      <c r="G282" s="34" t="str">
        <f t="shared" si="21"/>
        <v/>
      </c>
      <c r="I282" s="42"/>
      <c r="J282" s="42"/>
      <c r="K282" s="34" t="str">
        <f t="shared" si="22"/>
        <v/>
      </c>
      <c r="M282" s="42"/>
      <c r="N282" s="42"/>
      <c r="O282" s="34" t="str">
        <f t="shared" si="23"/>
        <v/>
      </c>
      <c r="Q282" s="42"/>
      <c r="R282" s="42"/>
      <c r="S282" s="34" t="str">
        <f t="shared" si="24"/>
        <v/>
      </c>
    </row>
    <row r="283" spans="1:19" x14ac:dyDescent="0.25">
      <c r="A283" s="42"/>
      <c r="B283" s="42"/>
      <c r="C283" s="34" t="str">
        <f t="shared" si="20"/>
        <v/>
      </c>
      <c r="E283" s="42"/>
      <c r="F283" s="42"/>
      <c r="G283" s="34" t="str">
        <f t="shared" si="21"/>
        <v/>
      </c>
      <c r="I283" s="42"/>
      <c r="J283" s="42"/>
      <c r="K283" s="34" t="str">
        <f t="shared" si="22"/>
        <v/>
      </c>
      <c r="M283" s="42"/>
      <c r="N283" s="42"/>
      <c r="O283" s="34" t="str">
        <f t="shared" si="23"/>
        <v/>
      </c>
      <c r="Q283" s="42"/>
      <c r="R283" s="42"/>
      <c r="S283" s="34" t="str">
        <f t="shared" si="24"/>
        <v/>
      </c>
    </row>
    <row r="284" spans="1:19" x14ac:dyDescent="0.25">
      <c r="A284" s="42"/>
      <c r="B284" s="42"/>
      <c r="C284" s="34" t="str">
        <f t="shared" si="20"/>
        <v/>
      </c>
      <c r="E284" s="42"/>
      <c r="F284" s="42"/>
      <c r="G284" s="34" t="str">
        <f t="shared" si="21"/>
        <v/>
      </c>
      <c r="I284" s="42"/>
      <c r="J284" s="42"/>
      <c r="K284" s="34" t="str">
        <f t="shared" si="22"/>
        <v/>
      </c>
      <c r="M284" s="42"/>
      <c r="N284" s="42"/>
      <c r="O284" s="34" t="str">
        <f t="shared" si="23"/>
        <v/>
      </c>
      <c r="Q284" s="42"/>
      <c r="R284" s="42"/>
      <c r="S284" s="34" t="str">
        <f t="shared" si="24"/>
        <v/>
      </c>
    </row>
    <row r="285" spans="1:19" x14ac:dyDescent="0.25">
      <c r="A285" s="42"/>
      <c r="B285" s="42"/>
      <c r="C285" s="34" t="str">
        <f t="shared" si="20"/>
        <v/>
      </c>
      <c r="E285" s="42"/>
      <c r="F285" s="42"/>
      <c r="G285" s="34" t="str">
        <f t="shared" si="21"/>
        <v/>
      </c>
      <c r="I285" s="42"/>
      <c r="J285" s="42"/>
      <c r="K285" s="34" t="str">
        <f t="shared" si="22"/>
        <v/>
      </c>
      <c r="M285" s="42"/>
      <c r="N285" s="42"/>
      <c r="O285" s="34" t="str">
        <f t="shared" si="23"/>
        <v/>
      </c>
      <c r="Q285" s="42"/>
      <c r="R285" s="42"/>
      <c r="S285" s="34" t="str">
        <f t="shared" si="24"/>
        <v/>
      </c>
    </row>
    <row r="286" spans="1:19" x14ac:dyDescent="0.25">
      <c r="A286" s="42"/>
      <c r="B286" s="42"/>
      <c r="C286" s="34" t="str">
        <f t="shared" si="20"/>
        <v/>
      </c>
      <c r="E286" s="42"/>
      <c r="F286" s="42"/>
      <c r="G286" s="34" t="str">
        <f t="shared" si="21"/>
        <v/>
      </c>
      <c r="I286" s="42"/>
      <c r="J286" s="42"/>
      <c r="K286" s="34" t="str">
        <f t="shared" si="22"/>
        <v/>
      </c>
      <c r="M286" s="42"/>
      <c r="N286" s="42"/>
      <c r="O286" s="34" t="str">
        <f t="shared" si="23"/>
        <v/>
      </c>
      <c r="Q286" s="42"/>
      <c r="R286" s="42"/>
      <c r="S286" s="34" t="str">
        <f t="shared" si="24"/>
        <v/>
      </c>
    </row>
    <row r="287" spans="1:19" x14ac:dyDescent="0.25">
      <c r="A287" s="42"/>
      <c r="B287" s="42"/>
      <c r="C287" s="34" t="str">
        <f t="shared" si="20"/>
        <v/>
      </c>
      <c r="E287" s="42"/>
      <c r="F287" s="42"/>
      <c r="G287" s="34" t="str">
        <f t="shared" si="21"/>
        <v/>
      </c>
      <c r="I287" s="42"/>
      <c r="J287" s="42"/>
      <c r="K287" s="34" t="str">
        <f t="shared" si="22"/>
        <v/>
      </c>
      <c r="M287" s="42"/>
      <c r="N287" s="42"/>
      <c r="O287" s="34" t="str">
        <f t="shared" si="23"/>
        <v/>
      </c>
      <c r="Q287" s="42"/>
      <c r="R287" s="42"/>
      <c r="S287" s="34" t="str">
        <f t="shared" si="24"/>
        <v/>
      </c>
    </row>
    <row r="288" spans="1:19" x14ac:dyDescent="0.25">
      <c r="A288" s="42"/>
      <c r="B288" s="42"/>
      <c r="C288" s="34" t="str">
        <f t="shared" si="20"/>
        <v/>
      </c>
      <c r="E288" s="42"/>
      <c r="F288" s="42"/>
      <c r="G288" s="34" t="str">
        <f t="shared" si="21"/>
        <v/>
      </c>
      <c r="I288" s="42"/>
      <c r="J288" s="42"/>
      <c r="K288" s="34" t="str">
        <f t="shared" si="22"/>
        <v/>
      </c>
      <c r="M288" s="42"/>
      <c r="N288" s="42"/>
      <c r="O288" s="34" t="str">
        <f t="shared" si="23"/>
        <v/>
      </c>
      <c r="Q288" s="42"/>
      <c r="R288" s="42"/>
      <c r="S288" s="34" t="str">
        <f t="shared" si="24"/>
        <v/>
      </c>
    </row>
    <row r="289" spans="1:19" x14ac:dyDescent="0.25">
      <c r="A289" s="42"/>
      <c r="B289" s="42"/>
      <c r="C289" s="34" t="str">
        <f t="shared" si="20"/>
        <v/>
      </c>
      <c r="E289" s="42"/>
      <c r="F289" s="42"/>
      <c r="G289" s="34" t="str">
        <f t="shared" si="21"/>
        <v/>
      </c>
      <c r="I289" s="42"/>
      <c r="J289" s="42"/>
      <c r="K289" s="34" t="str">
        <f t="shared" si="22"/>
        <v/>
      </c>
      <c r="M289" s="42"/>
      <c r="N289" s="42"/>
      <c r="O289" s="34" t="str">
        <f t="shared" si="23"/>
        <v/>
      </c>
      <c r="Q289" s="42"/>
      <c r="R289" s="42"/>
      <c r="S289" s="34" t="str">
        <f t="shared" si="24"/>
        <v/>
      </c>
    </row>
    <row r="290" spans="1:19" x14ac:dyDescent="0.25">
      <c r="A290" s="42"/>
      <c r="B290" s="42"/>
      <c r="C290" s="34" t="str">
        <f t="shared" si="20"/>
        <v/>
      </c>
      <c r="E290" s="42"/>
      <c r="F290" s="42"/>
      <c r="G290" s="34" t="str">
        <f t="shared" si="21"/>
        <v/>
      </c>
      <c r="I290" s="42"/>
      <c r="J290" s="42"/>
      <c r="K290" s="34" t="str">
        <f t="shared" si="22"/>
        <v/>
      </c>
      <c r="M290" s="42"/>
      <c r="N290" s="42"/>
      <c r="O290" s="34" t="str">
        <f t="shared" si="23"/>
        <v/>
      </c>
      <c r="Q290" s="42"/>
      <c r="R290" s="42"/>
      <c r="S290" s="34" t="str">
        <f t="shared" si="24"/>
        <v/>
      </c>
    </row>
    <row r="291" spans="1:19" x14ac:dyDescent="0.25">
      <c r="A291" s="42"/>
      <c r="B291" s="42"/>
      <c r="C291" s="34" t="str">
        <f t="shared" si="20"/>
        <v/>
      </c>
      <c r="E291" s="42"/>
      <c r="F291" s="42"/>
      <c r="G291" s="34" t="str">
        <f t="shared" si="21"/>
        <v/>
      </c>
      <c r="I291" s="42"/>
      <c r="J291" s="42"/>
      <c r="K291" s="34" t="str">
        <f t="shared" si="22"/>
        <v/>
      </c>
      <c r="M291" s="42"/>
      <c r="N291" s="42"/>
      <c r="O291" s="34" t="str">
        <f t="shared" si="23"/>
        <v/>
      </c>
      <c r="Q291" s="42"/>
      <c r="R291" s="42"/>
      <c r="S291" s="34" t="str">
        <f t="shared" si="24"/>
        <v/>
      </c>
    </row>
    <row r="292" spans="1:19" x14ac:dyDescent="0.25">
      <c r="A292" s="42"/>
      <c r="B292" s="42"/>
      <c r="C292" s="34" t="str">
        <f t="shared" si="20"/>
        <v/>
      </c>
      <c r="E292" s="42"/>
      <c r="F292" s="42"/>
      <c r="G292" s="34" t="str">
        <f t="shared" si="21"/>
        <v/>
      </c>
      <c r="I292" s="42"/>
      <c r="J292" s="42"/>
      <c r="K292" s="34" t="str">
        <f t="shared" si="22"/>
        <v/>
      </c>
      <c r="M292" s="42"/>
      <c r="N292" s="42"/>
      <c r="O292" s="34" t="str">
        <f t="shared" si="23"/>
        <v/>
      </c>
      <c r="Q292" s="42"/>
      <c r="R292" s="42"/>
      <c r="S292" s="34" t="str">
        <f t="shared" si="24"/>
        <v/>
      </c>
    </row>
    <row r="293" spans="1:19" x14ac:dyDescent="0.25">
      <c r="A293" s="42"/>
      <c r="B293" s="42"/>
      <c r="C293" s="34" t="str">
        <f t="shared" si="20"/>
        <v/>
      </c>
      <c r="E293" s="42"/>
      <c r="F293" s="42"/>
      <c r="G293" s="34" t="str">
        <f t="shared" si="21"/>
        <v/>
      </c>
      <c r="I293" s="42"/>
      <c r="J293" s="42"/>
      <c r="K293" s="34" t="str">
        <f t="shared" si="22"/>
        <v/>
      </c>
      <c r="M293" s="42"/>
      <c r="N293" s="42"/>
      <c r="O293" s="34" t="str">
        <f t="shared" si="23"/>
        <v/>
      </c>
      <c r="Q293" s="42"/>
      <c r="R293" s="42"/>
      <c r="S293" s="34" t="str">
        <f t="shared" si="24"/>
        <v/>
      </c>
    </row>
    <row r="294" spans="1:19" x14ac:dyDescent="0.25">
      <c r="A294" s="42"/>
      <c r="B294" s="42"/>
      <c r="C294" s="34" t="str">
        <f t="shared" si="20"/>
        <v/>
      </c>
      <c r="E294" s="42"/>
      <c r="F294" s="42"/>
      <c r="G294" s="34" t="str">
        <f t="shared" si="21"/>
        <v/>
      </c>
      <c r="I294" s="42"/>
      <c r="J294" s="42"/>
      <c r="K294" s="34" t="str">
        <f t="shared" si="22"/>
        <v/>
      </c>
      <c r="M294" s="42"/>
      <c r="N294" s="42"/>
      <c r="O294" s="34" t="str">
        <f t="shared" si="23"/>
        <v/>
      </c>
      <c r="Q294" s="42"/>
      <c r="R294" s="42"/>
      <c r="S294" s="34" t="str">
        <f t="shared" si="24"/>
        <v/>
      </c>
    </row>
    <row r="295" spans="1:19" x14ac:dyDescent="0.25">
      <c r="A295" s="42"/>
      <c r="B295" s="42"/>
      <c r="C295" s="34" t="str">
        <f t="shared" si="20"/>
        <v/>
      </c>
      <c r="E295" s="42"/>
      <c r="F295" s="42"/>
      <c r="G295" s="34" t="str">
        <f t="shared" si="21"/>
        <v/>
      </c>
      <c r="I295" s="42"/>
      <c r="J295" s="42"/>
      <c r="K295" s="34" t="str">
        <f t="shared" si="22"/>
        <v/>
      </c>
      <c r="M295" s="42"/>
      <c r="N295" s="42"/>
      <c r="O295" s="34" t="str">
        <f t="shared" si="23"/>
        <v/>
      </c>
      <c r="Q295" s="42"/>
      <c r="R295" s="42"/>
      <c r="S295" s="34" t="str">
        <f t="shared" si="24"/>
        <v/>
      </c>
    </row>
    <row r="296" spans="1:19" x14ac:dyDescent="0.25">
      <c r="A296" s="42"/>
      <c r="B296" s="42"/>
      <c r="C296" s="34" t="str">
        <f t="shared" si="20"/>
        <v/>
      </c>
      <c r="E296" s="42"/>
      <c r="F296" s="42"/>
      <c r="G296" s="34" t="str">
        <f t="shared" si="21"/>
        <v/>
      </c>
      <c r="I296" s="42"/>
      <c r="J296" s="42"/>
      <c r="K296" s="34" t="str">
        <f t="shared" si="22"/>
        <v/>
      </c>
      <c r="M296" s="42"/>
      <c r="N296" s="42"/>
      <c r="O296" s="34" t="str">
        <f t="shared" si="23"/>
        <v/>
      </c>
      <c r="Q296" s="42"/>
      <c r="R296" s="42"/>
      <c r="S296" s="34" t="str">
        <f t="shared" si="24"/>
        <v/>
      </c>
    </row>
    <row r="297" spans="1:19" x14ac:dyDescent="0.25">
      <c r="A297" s="42"/>
      <c r="B297" s="42"/>
      <c r="C297" s="34" t="str">
        <f t="shared" si="20"/>
        <v/>
      </c>
      <c r="E297" s="42"/>
      <c r="F297" s="42"/>
      <c r="G297" s="34" t="str">
        <f t="shared" si="21"/>
        <v/>
      </c>
      <c r="I297" s="42"/>
      <c r="J297" s="42"/>
      <c r="K297" s="34" t="str">
        <f t="shared" si="22"/>
        <v/>
      </c>
      <c r="M297" s="42"/>
      <c r="N297" s="42"/>
      <c r="O297" s="34" t="str">
        <f t="shared" si="23"/>
        <v/>
      </c>
      <c r="Q297" s="42"/>
      <c r="R297" s="42"/>
      <c r="S297" s="34" t="str">
        <f t="shared" si="24"/>
        <v/>
      </c>
    </row>
    <row r="298" spans="1:19" x14ac:dyDescent="0.25">
      <c r="A298" s="42"/>
      <c r="B298" s="42"/>
      <c r="C298" s="34" t="str">
        <f t="shared" si="20"/>
        <v/>
      </c>
      <c r="E298" s="42"/>
      <c r="F298" s="42"/>
      <c r="G298" s="34" t="str">
        <f t="shared" si="21"/>
        <v/>
      </c>
      <c r="I298" s="42"/>
      <c r="J298" s="42"/>
      <c r="K298" s="34" t="str">
        <f t="shared" si="22"/>
        <v/>
      </c>
      <c r="M298" s="42"/>
      <c r="N298" s="42"/>
      <c r="O298" s="34" t="str">
        <f t="shared" si="23"/>
        <v/>
      </c>
      <c r="Q298" s="42"/>
      <c r="R298" s="42"/>
      <c r="S298" s="34" t="str">
        <f t="shared" si="24"/>
        <v/>
      </c>
    </row>
    <row r="299" spans="1:19" x14ac:dyDescent="0.25">
      <c r="A299" s="42"/>
      <c r="B299" s="42"/>
      <c r="C299" s="34" t="str">
        <f t="shared" si="20"/>
        <v/>
      </c>
      <c r="E299" s="42"/>
      <c r="F299" s="42"/>
      <c r="G299" s="34" t="str">
        <f t="shared" si="21"/>
        <v/>
      </c>
      <c r="I299" s="42"/>
      <c r="J299" s="42"/>
      <c r="K299" s="34" t="str">
        <f t="shared" si="22"/>
        <v/>
      </c>
      <c r="M299" s="42"/>
      <c r="N299" s="42"/>
      <c r="O299" s="34" t="str">
        <f t="shared" si="23"/>
        <v/>
      </c>
      <c r="Q299" s="42"/>
      <c r="R299" s="42"/>
      <c r="S299" s="34" t="str">
        <f t="shared" si="24"/>
        <v/>
      </c>
    </row>
    <row r="300" spans="1:19" x14ac:dyDescent="0.25">
      <c r="A300" s="42"/>
      <c r="B300" s="42"/>
      <c r="C300" s="34" t="str">
        <f t="shared" si="20"/>
        <v/>
      </c>
      <c r="E300" s="42"/>
      <c r="F300" s="42"/>
      <c r="G300" s="34" t="str">
        <f t="shared" si="21"/>
        <v/>
      </c>
      <c r="I300" s="42"/>
      <c r="J300" s="42"/>
      <c r="K300" s="34" t="str">
        <f t="shared" si="22"/>
        <v/>
      </c>
      <c r="M300" s="42"/>
      <c r="N300" s="42"/>
      <c r="O300" s="34" t="str">
        <f t="shared" si="23"/>
        <v/>
      </c>
      <c r="Q300" s="42"/>
      <c r="R300" s="42"/>
      <c r="S300" s="34" t="str">
        <f t="shared" si="24"/>
        <v/>
      </c>
    </row>
    <row r="301" spans="1:19" x14ac:dyDescent="0.25">
      <c r="A301" s="42"/>
      <c r="B301" s="42"/>
      <c r="C301" s="34" t="str">
        <f t="shared" si="20"/>
        <v/>
      </c>
      <c r="E301" s="42"/>
      <c r="F301" s="42"/>
      <c r="G301" s="34" t="str">
        <f t="shared" si="21"/>
        <v/>
      </c>
      <c r="I301" s="42"/>
      <c r="J301" s="42"/>
      <c r="K301" s="34" t="str">
        <f t="shared" si="22"/>
        <v/>
      </c>
      <c r="M301" s="42"/>
      <c r="N301" s="42"/>
      <c r="O301" s="34" t="str">
        <f t="shared" si="23"/>
        <v/>
      </c>
      <c r="Q301" s="42"/>
      <c r="R301" s="42"/>
      <c r="S301" s="34" t="str">
        <f t="shared" si="24"/>
        <v/>
      </c>
    </row>
    <row r="302" spans="1:19" x14ac:dyDescent="0.25">
      <c r="A302" s="42"/>
      <c r="B302" s="42"/>
      <c r="C302" s="34" t="str">
        <f t="shared" si="20"/>
        <v/>
      </c>
      <c r="E302" s="42"/>
      <c r="F302" s="42"/>
      <c r="G302" s="34" t="str">
        <f t="shared" si="21"/>
        <v/>
      </c>
      <c r="I302" s="42"/>
      <c r="J302" s="42"/>
      <c r="K302" s="34" t="str">
        <f t="shared" si="22"/>
        <v/>
      </c>
      <c r="M302" s="42"/>
      <c r="N302" s="42"/>
      <c r="O302" s="34" t="str">
        <f t="shared" si="23"/>
        <v/>
      </c>
      <c r="Q302" s="42"/>
      <c r="R302" s="42"/>
      <c r="S302" s="34" t="str">
        <f t="shared" si="24"/>
        <v/>
      </c>
    </row>
    <row r="303" spans="1:19" x14ac:dyDescent="0.25">
      <c r="A303" s="42"/>
      <c r="B303" s="42"/>
      <c r="C303" s="34" t="str">
        <f t="shared" si="20"/>
        <v/>
      </c>
      <c r="E303" s="42"/>
      <c r="F303" s="42"/>
      <c r="G303" s="34" t="str">
        <f t="shared" si="21"/>
        <v/>
      </c>
      <c r="I303" s="42"/>
      <c r="J303" s="42"/>
      <c r="K303" s="34" t="str">
        <f t="shared" si="22"/>
        <v/>
      </c>
      <c r="M303" s="42"/>
      <c r="N303" s="42"/>
      <c r="O303" s="34" t="str">
        <f t="shared" si="23"/>
        <v/>
      </c>
      <c r="Q303" s="42"/>
      <c r="R303" s="42"/>
      <c r="S303" s="34" t="str">
        <f t="shared" si="24"/>
        <v/>
      </c>
    </row>
    <row r="304" spans="1:19" x14ac:dyDescent="0.25">
      <c r="A304" s="42"/>
      <c r="B304" s="42"/>
      <c r="C304" s="34" t="str">
        <f t="shared" si="20"/>
        <v/>
      </c>
      <c r="E304" s="42"/>
      <c r="F304" s="42"/>
      <c r="G304" s="34" t="str">
        <f t="shared" si="21"/>
        <v/>
      </c>
      <c r="I304" s="42"/>
      <c r="J304" s="42"/>
      <c r="K304" s="34" t="str">
        <f t="shared" si="22"/>
        <v/>
      </c>
      <c r="M304" s="42"/>
      <c r="N304" s="42"/>
      <c r="O304" s="34" t="str">
        <f t="shared" si="23"/>
        <v/>
      </c>
      <c r="Q304" s="42"/>
      <c r="R304" s="42"/>
      <c r="S304" s="34" t="str">
        <f t="shared" si="24"/>
        <v/>
      </c>
    </row>
    <row r="305" spans="1:19" x14ac:dyDescent="0.25">
      <c r="A305" s="42"/>
      <c r="B305" s="42"/>
      <c r="C305" s="34" t="str">
        <f t="shared" si="20"/>
        <v/>
      </c>
      <c r="E305" s="42"/>
      <c r="F305" s="42"/>
      <c r="G305" s="34" t="str">
        <f t="shared" si="21"/>
        <v/>
      </c>
      <c r="I305" s="42"/>
      <c r="J305" s="42"/>
      <c r="K305" s="34" t="str">
        <f t="shared" si="22"/>
        <v/>
      </c>
      <c r="M305" s="42"/>
      <c r="N305" s="42"/>
      <c r="O305" s="34" t="str">
        <f t="shared" si="23"/>
        <v/>
      </c>
      <c r="Q305" s="42"/>
      <c r="R305" s="42"/>
      <c r="S305" s="34" t="str">
        <f t="shared" si="24"/>
        <v/>
      </c>
    </row>
    <row r="306" spans="1:19" x14ac:dyDescent="0.25">
      <c r="A306" s="42"/>
      <c r="B306" s="42"/>
      <c r="C306" s="34" t="str">
        <f t="shared" si="20"/>
        <v/>
      </c>
      <c r="E306" s="42"/>
      <c r="F306" s="42"/>
      <c r="G306" s="34" t="str">
        <f t="shared" si="21"/>
        <v/>
      </c>
      <c r="I306" s="42"/>
      <c r="J306" s="42"/>
      <c r="K306" s="34" t="str">
        <f t="shared" si="22"/>
        <v/>
      </c>
      <c r="M306" s="42"/>
      <c r="N306" s="42"/>
      <c r="O306" s="34" t="str">
        <f t="shared" si="23"/>
        <v/>
      </c>
      <c r="Q306" s="42"/>
      <c r="R306" s="42"/>
      <c r="S306" s="34" t="str">
        <f t="shared" si="24"/>
        <v/>
      </c>
    </row>
    <row r="307" spans="1:19" x14ac:dyDescent="0.25">
      <c r="A307" s="42"/>
      <c r="B307" s="42"/>
      <c r="C307" s="34" t="str">
        <f t="shared" si="20"/>
        <v/>
      </c>
      <c r="E307" s="42"/>
      <c r="F307" s="42"/>
      <c r="G307" s="34" t="str">
        <f t="shared" si="21"/>
        <v/>
      </c>
      <c r="I307" s="42"/>
      <c r="J307" s="42"/>
      <c r="K307" s="34" t="str">
        <f t="shared" si="22"/>
        <v/>
      </c>
      <c r="M307" s="42"/>
      <c r="N307" s="42"/>
      <c r="O307" s="34" t="str">
        <f t="shared" si="23"/>
        <v/>
      </c>
      <c r="Q307" s="42"/>
      <c r="R307" s="42"/>
      <c r="S307" s="34" t="str">
        <f t="shared" si="24"/>
        <v/>
      </c>
    </row>
    <row r="308" spans="1:19" x14ac:dyDescent="0.25">
      <c r="A308" s="42"/>
      <c r="B308" s="42"/>
      <c r="C308" s="34" t="str">
        <f t="shared" si="20"/>
        <v/>
      </c>
      <c r="E308" s="42"/>
      <c r="F308" s="42"/>
      <c r="G308" s="34" t="str">
        <f t="shared" si="21"/>
        <v/>
      </c>
      <c r="I308" s="42"/>
      <c r="J308" s="42"/>
      <c r="K308" s="34" t="str">
        <f t="shared" si="22"/>
        <v/>
      </c>
      <c r="M308" s="42"/>
      <c r="N308" s="42"/>
      <c r="O308" s="34" t="str">
        <f t="shared" si="23"/>
        <v/>
      </c>
      <c r="Q308" s="42"/>
      <c r="R308" s="42"/>
      <c r="S308" s="34" t="str">
        <f t="shared" si="24"/>
        <v/>
      </c>
    </row>
    <row r="309" spans="1:19" x14ac:dyDescent="0.25">
      <c r="A309" s="42"/>
      <c r="B309" s="42"/>
      <c r="C309" s="34" t="str">
        <f t="shared" si="20"/>
        <v/>
      </c>
      <c r="E309" s="42"/>
      <c r="F309" s="42"/>
      <c r="G309" s="34" t="str">
        <f t="shared" si="21"/>
        <v/>
      </c>
      <c r="I309" s="42"/>
      <c r="J309" s="42"/>
      <c r="K309" s="34" t="str">
        <f t="shared" si="22"/>
        <v/>
      </c>
      <c r="M309" s="42"/>
      <c r="N309" s="42"/>
      <c r="O309" s="34" t="str">
        <f t="shared" si="23"/>
        <v/>
      </c>
      <c r="Q309" s="42"/>
      <c r="R309" s="42"/>
      <c r="S309" s="34" t="str">
        <f t="shared" si="24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F00-000002000000}">
            <xm:f>AND(ISNUMBER(A10),A10&gt;H_Parametri!$B$7)</xm:f>
            <x14:dxf>
              <fill>
                <patternFill>
                  <bgColor rgb="FFFCE4D6"/>
                </patternFill>
              </fill>
            </x14:dxf>
          </x14:cfRule>
          <xm:sqref>A10:S309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65911"/>
  </sheetPr>
  <dimension ref="A1:S309"/>
  <sheetViews>
    <sheetView topLeftCell="C1" zoomScaleNormal="100" workbookViewId="0">
      <pane ySplit="9" topLeftCell="A10" activePane="bottomLeft" state="frozen"/>
      <selection pane="bottomLeft" activeCell="R16" sqref="R16"/>
    </sheetView>
  </sheetViews>
  <sheetFormatPr defaultColWidth="8.7109375" defaultRowHeight="15" x14ac:dyDescent="0.25"/>
  <cols>
    <col min="1" max="1" width="13" customWidth="1"/>
    <col min="2" max="2" width="30" customWidth="1"/>
    <col min="3" max="3" width="18" customWidth="1"/>
    <col min="4" max="4" width="3" customWidth="1"/>
    <col min="5" max="5" width="13" customWidth="1"/>
    <col min="6" max="6" width="30" customWidth="1"/>
    <col min="7" max="7" width="18" customWidth="1"/>
    <col min="8" max="8" width="3" customWidth="1"/>
    <col min="9" max="9" width="13" customWidth="1"/>
    <col min="10" max="10" width="30" customWidth="1"/>
    <col min="11" max="11" width="18" customWidth="1"/>
    <col min="12" max="12" width="3" customWidth="1"/>
    <col min="13" max="13" width="13" customWidth="1"/>
    <col min="14" max="14" width="30" customWidth="1"/>
    <col min="15" max="15" width="18" customWidth="1"/>
    <col min="16" max="16" width="3" customWidth="1"/>
    <col min="17" max="17" width="13" customWidth="1"/>
    <col min="18" max="18" width="30" customWidth="1"/>
    <col min="19" max="19" width="18" customWidth="1"/>
    <col min="20" max="20" width="3" customWidth="1"/>
  </cols>
  <sheetData>
    <row r="1" spans="1:19" ht="18" x14ac:dyDescent="0.25">
      <c r="A1" s="2" t="s">
        <v>223</v>
      </c>
    </row>
    <row r="2" spans="1:19" x14ac:dyDescent="0.25">
      <c r="A2" s="3" t="s">
        <v>218</v>
      </c>
    </row>
    <row r="4" spans="1:19" x14ac:dyDescent="0.25">
      <c r="A4" s="16" t="s">
        <v>59</v>
      </c>
      <c r="B4" s="12">
        <v>80</v>
      </c>
      <c r="E4" s="16" t="s">
        <v>59</v>
      </c>
      <c r="F4" s="12">
        <v>150</v>
      </c>
      <c r="I4" s="16" t="s">
        <v>59</v>
      </c>
      <c r="J4" s="12">
        <v>250</v>
      </c>
      <c r="M4" s="16" t="s">
        <v>59</v>
      </c>
      <c r="N4" s="12">
        <v>300</v>
      </c>
      <c r="Q4" s="16" t="s">
        <v>59</v>
      </c>
      <c r="R4" s="12">
        <v>450</v>
      </c>
    </row>
    <row r="5" spans="1:19" ht="25.5" x14ac:dyDescent="0.25">
      <c r="A5" s="16" t="s">
        <v>160</v>
      </c>
      <c r="B5" s="13">
        <f>IF(OR(B4="",COUNTIF(A$10:A$309,"&lt;"&amp;0.05)=0),"",MAX(INDEX(B$10:B$309,1):INDEX(B$10:B$309,COUNTIF(A$10:A$309,"&lt;"&amp;0.05))))</f>
        <v>1.0129281627328299</v>
      </c>
      <c r="E5" s="16" t="s">
        <v>160</v>
      </c>
      <c r="F5" s="13">
        <f>IF(OR(F4="",COUNTIF(E$10:E$309,"&lt;"&amp;0.05)=0),"",MAX(INDEX(F$10:F$309,1):INDEX(F$10:F$309,COUNTIF(E$10:E$309,"&lt;"&amp;0.05))))</f>
        <v>1.8048055231715401</v>
      </c>
      <c r="I5" s="16" t="s">
        <v>160</v>
      </c>
      <c r="J5" s="13">
        <f>IF(OR(J4="",COUNTIF(I$10:I$309,"&lt;"&amp;0.05)=0),"",MAX(INDEX(J$10:J$309,1):INDEX(J$10:J$309,COUNTIF(I$10:I$309,"&lt;"&amp;0.05))))</f>
        <v>3.02185954930443</v>
      </c>
      <c r="M5" s="16" t="s">
        <v>160</v>
      </c>
      <c r="N5" s="13">
        <f>IF(OR(N4="",COUNTIF(M$10:M$309,"&lt;"&amp;0.05)=0),"",MAX(INDEX(N$10:N$309,1):INDEX(N$10:N$309,COUNTIF(M$10:M$309,"&lt;"&amp;0.05))))</f>
        <v>3.66377053559907</v>
      </c>
      <c r="Q5" s="16" t="s">
        <v>160</v>
      </c>
      <c r="R5" s="13">
        <f>IF(OR(R4="",COUNTIF(Q$10:Q$309,"&lt;"&amp;0.05)=0),"",MAX(INDEX(R$10:R$309,1):INDEX(R$10:R$309,COUNTIF(Q$10:Q$309,"&lt;"&amp;0.05))))</f>
        <v>5.6323147701726404</v>
      </c>
    </row>
    <row r="6" spans="1:19" ht="25.5" x14ac:dyDescent="0.25">
      <c r="A6" s="16" t="s">
        <v>207</v>
      </c>
      <c r="B6" s="34">
        <f>IF(B5="","",B4/3600/B5)</f>
        <v>2.1938596476839749E-2</v>
      </c>
      <c r="E6" s="16" t="s">
        <v>207</v>
      </c>
      <c r="F6" s="34">
        <f>IF(F5="","",F4/3600/F5)</f>
        <v>2.3086513273433949E-2</v>
      </c>
      <c r="I6" s="16" t="s">
        <v>207</v>
      </c>
      <c r="J6" s="34">
        <f>IF(J5="","",J4/3600/J5)</f>
        <v>2.2980698907872514E-2</v>
      </c>
      <c r="M6" s="16" t="s">
        <v>207</v>
      </c>
      <c r="N6" s="34">
        <f>IF(N5="","",N4/3600/N5)</f>
        <v>2.274523814295246E-2</v>
      </c>
      <c r="Q6" s="16" t="s">
        <v>207</v>
      </c>
      <c r="R6" s="34">
        <f>IF(R5="","",R4/3600/R5)</f>
        <v>2.2193361894823311E-2</v>
      </c>
    </row>
    <row r="7" spans="1:19" ht="25.5" x14ac:dyDescent="0.25">
      <c r="A7" s="16" t="s">
        <v>219</v>
      </c>
      <c r="B7" s="12">
        <v>1</v>
      </c>
      <c r="E7" s="16" t="s">
        <v>219</v>
      </c>
      <c r="F7" s="12">
        <v>1</v>
      </c>
      <c r="I7" s="16" t="s">
        <v>219</v>
      </c>
      <c r="J7" s="12">
        <v>1</v>
      </c>
      <c r="M7" s="16" t="s">
        <v>219</v>
      </c>
      <c r="N7" s="12">
        <v>1</v>
      </c>
      <c r="Q7" s="16" t="s">
        <v>219</v>
      </c>
      <c r="R7" s="12">
        <v>1</v>
      </c>
    </row>
    <row r="8" spans="1:19" x14ac:dyDescent="0.25">
      <c r="A8" s="16" t="s">
        <v>188</v>
      </c>
      <c r="B8" s="5"/>
      <c r="E8" s="16" t="s">
        <v>188</v>
      </c>
      <c r="F8" s="5"/>
      <c r="I8" s="16" t="s">
        <v>188</v>
      </c>
      <c r="J8" s="5"/>
      <c r="M8" s="16" t="s">
        <v>188</v>
      </c>
      <c r="N8" s="5"/>
      <c r="Q8" s="16" t="s">
        <v>188</v>
      </c>
      <c r="R8" s="5"/>
    </row>
    <row r="9" spans="1:19" x14ac:dyDescent="0.25">
      <c r="A9" s="4" t="s">
        <v>176</v>
      </c>
      <c r="B9" s="4" t="s">
        <v>209</v>
      </c>
      <c r="C9" s="4" t="s">
        <v>221</v>
      </c>
      <c r="E9" s="4" t="s">
        <v>176</v>
      </c>
      <c r="F9" s="4" t="s">
        <v>209</v>
      </c>
      <c r="G9" s="4" t="s">
        <v>221</v>
      </c>
      <c r="I9" s="4" t="s">
        <v>176</v>
      </c>
      <c r="J9" s="4" t="s">
        <v>209</v>
      </c>
      <c r="K9" s="4" t="s">
        <v>221</v>
      </c>
      <c r="M9" s="4" t="s">
        <v>176</v>
      </c>
      <c r="N9" s="4" t="s">
        <v>209</v>
      </c>
      <c r="O9" s="4" t="s">
        <v>221</v>
      </c>
      <c r="Q9" s="4" t="s">
        <v>176</v>
      </c>
      <c r="R9" s="4" t="s">
        <v>209</v>
      </c>
      <c r="S9" s="4" t="s">
        <v>221</v>
      </c>
    </row>
    <row r="10" spans="1:19" x14ac:dyDescent="0.25">
      <c r="A10" s="42">
        <v>0</v>
      </c>
      <c r="B10" s="42">
        <v>1.0129281627328299</v>
      </c>
      <c r="C10" s="34">
        <f t="shared" ref="C10:C73" si="0">IF(OR(B10="",B$4=""),"",B10/B$4)</f>
        <v>1.2661602034160373E-2</v>
      </c>
      <c r="E10" s="42">
        <v>0</v>
      </c>
      <c r="F10" s="42">
        <v>1.8048055231715401</v>
      </c>
      <c r="G10" s="34">
        <f t="shared" ref="G10:G73" si="1">IF(OR(F10="",F$4=""),"",F10/F$4)</f>
        <v>1.20320368211436E-2</v>
      </c>
      <c r="I10" s="42">
        <v>0</v>
      </c>
      <c r="J10" s="42">
        <v>3.02185954930443</v>
      </c>
      <c r="K10" s="34">
        <f t="shared" ref="K10:K73" si="2">IF(OR(J10="",J$4=""),"",J10/J$4)</f>
        <v>1.208743819721772E-2</v>
      </c>
      <c r="M10" s="42">
        <v>0</v>
      </c>
      <c r="N10" s="42">
        <v>3.66377053559907</v>
      </c>
      <c r="O10" s="34">
        <f t="shared" ref="O10:O73" si="3">IF(OR(N10="",N$4=""),"",N10/N$4)</f>
        <v>1.22125684519969E-2</v>
      </c>
      <c r="Q10" s="42">
        <v>0</v>
      </c>
      <c r="R10" s="42">
        <v>5.6323147701726404</v>
      </c>
      <c r="S10" s="34">
        <f t="shared" ref="S10:S73" si="4">IF(OR(R10="",R$4=""),"",R10/R$4)</f>
        <v>1.251625504482809E-2</v>
      </c>
    </row>
    <row r="11" spans="1:19" x14ac:dyDescent="0.25">
      <c r="A11" s="42">
        <v>4.0281415994321702E-2</v>
      </c>
      <c r="B11" s="42">
        <v>0.83714879976728895</v>
      </c>
      <c r="C11" s="34">
        <f t="shared" si="0"/>
        <v>1.0464359997091112E-2</v>
      </c>
      <c r="E11" s="42">
        <v>2.9837475397985098E-2</v>
      </c>
      <c r="F11" s="42">
        <v>1.47753914485576</v>
      </c>
      <c r="G11" s="34">
        <f t="shared" si="1"/>
        <v>9.8502609657050658E-3</v>
      </c>
      <c r="I11" s="42">
        <v>3.2923983071619901E-2</v>
      </c>
      <c r="J11" s="42">
        <v>2.57658001665297</v>
      </c>
      <c r="K11" s="34">
        <f t="shared" si="2"/>
        <v>1.030632006661188E-2</v>
      </c>
      <c r="M11" s="42">
        <v>3.7073538196701797E-2</v>
      </c>
      <c r="N11" s="42">
        <v>3.1892705389012401</v>
      </c>
      <c r="O11" s="34">
        <f t="shared" si="3"/>
        <v>1.0630901796337466E-2</v>
      </c>
      <c r="Q11" s="42">
        <v>3.8738652297856897E-2</v>
      </c>
      <c r="R11" s="42">
        <v>4.7312834460693898</v>
      </c>
      <c r="S11" s="34">
        <f t="shared" si="4"/>
        <v>1.0513963213487533E-2</v>
      </c>
    </row>
    <row r="12" spans="1:19" x14ac:dyDescent="0.25">
      <c r="A12" s="42">
        <v>8.0562831988643294E-2</v>
      </c>
      <c r="B12" s="42">
        <v>0.549693352421468</v>
      </c>
      <c r="C12" s="34">
        <f t="shared" si="0"/>
        <v>6.8711669052683496E-3</v>
      </c>
      <c r="E12" s="42">
        <v>5.9674950795970197E-2</v>
      </c>
      <c r="F12" s="42">
        <v>1.17473595620661</v>
      </c>
      <c r="G12" s="34">
        <f t="shared" si="1"/>
        <v>7.8315730413773994E-3</v>
      </c>
      <c r="I12" s="42">
        <v>6.5847966143239803E-2</v>
      </c>
      <c r="J12" s="42">
        <v>2.0009488147393601</v>
      </c>
      <c r="K12" s="34">
        <f t="shared" si="2"/>
        <v>8.0037952589574399E-3</v>
      </c>
      <c r="M12" s="42">
        <v>7.4147076393403594E-2</v>
      </c>
      <c r="N12" s="42">
        <v>2.1180346967352301</v>
      </c>
      <c r="O12" s="34">
        <f t="shared" si="3"/>
        <v>7.0601156557841003E-3</v>
      </c>
      <c r="Q12" s="42">
        <v>7.7477304595713697E-2</v>
      </c>
      <c r="R12" s="42">
        <v>3.18722580941178</v>
      </c>
      <c r="S12" s="34">
        <f t="shared" si="4"/>
        <v>7.0827240209150669E-3</v>
      </c>
    </row>
    <row r="13" spans="1:19" x14ac:dyDescent="0.25">
      <c r="A13" s="42">
        <v>0.120844247982965</v>
      </c>
      <c r="B13" s="42">
        <v>0.44143184249683098</v>
      </c>
      <c r="C13" s="34">
        <f t="shared" si="0"/>
        <v>5.517898031210387E-3</v>
      </c>
      <c r="E13" s="42">
        <v>8.9512426193955399E-2</v>
      </c>
      <c r="F13" s="42">
        <v>0.90389594712347499</v>
      </c>
      <c r="G13" s="34">
        <f t="shared" si="1"/>
        <v>6.0259729808231667E-3</v>
      </c>
      <c r="I13" s="42">
        <v>9.8771949214859697E-2</v>
      </c>
      <c r="J13" s="42">
        <v>1.7203083591445201</v>
      </c>
      <c r="K13" s="34">
        <f t="shared" si="2"/>
        <v>6.8812334365780806E-3</v>
      </c>
      <c r="M13" s="42">
        <v>0.111220614590105</v>
      </c>
      <c r="N13" s="42">
        <v>1.7927281717499499</v>
      </c>
      <c r="O13" s="34">
        <f t="shared" si="3"/>
        <v>5.9757605724998332E-3</v>
      </c>
      <c r="Q13" s="42">
        <v>0.116215956893571</v>
      </c>
      <c r="R13" s="42">
        <v>2.5553962479289498</v>
      </c>
      <c r="S13" s="34">
        <f t="shared" si="4"/>
        <v>5.6786583287309995E-3</v>
      </c>
    </row>
    <row r="14" spans="1:19" x14ac:dyDescent="0.25">
      <c r="A14" s="42">
        <v>0.161125663977287</v>
      </c>
      <c r="B14" s="42">
        <v>0.37875410848206897</v>
      </c>
      <c r="C14" s="34">
        <f t="shared" si="0"/>
        <v>4.7344263560258623E-3</v>
      </c>
      <c r="E14" s="42">
        <v>0.11934990159194001</v>
      </c>
      <c r="F14" s="42">
        <v>0.75781295092318901</v>
      </c>
      <c r="G14" s="34">
        <f t="shared" si="1"/>
        <v>5.0520863394879264E-3</v>
      </c>
      <c r="I14" s="42">
        <v>0.13169593228647999</v>
      </c>
      <c r="J14" s="42">
        <v>1.32996310602236</v>
      </c>
      <c r="K14" s="34">
        <f t="shared" si="2"/>
        <v>5.3198524240894397E-3</v>
      </c>
      <c r="M14" s="42">
        <v>0.14829415278680699</v>
      </c>
      <c r="N14" s="42">
        <v>1.49528738973683</v>
      </c>
      <c r="O14" s="34">
        <f t="shared" si="3"/>
        <v>4.9842912991227666E-3</v>
      </c>
      <c r="Q14" s="42">
        <v>0.15495460919142701</v>
      </c>
      <c r="R14" s="42">
        <v>2.20678597934775</v>
      </c>
      <c r="S14" s="34">
        <f t="shared" si="4"/>
        <v>4.9039688429950001E-3</v>
      </c>
    </row>
    <row r="15" spans="1:19" x14ac:dyDescent="0.25">
      <c r="A15" s="42">
        <v>0.20140707997160801</v>
      </c>
      <c r="B15" s="42">
        <v>0.304562385483862</v>
      </c>
      <c r="C15" s="34">
        <f t="shared" si="0"/>
        <v>3.8070298185482751E-3</v>
      </c>
      <c r="E15" s="42">
        <v>0.14918737698992601</v>
      </c>
      <c r="F15" s="42">
        <v>0.64701489721518102</v>
      </c>
      <c r="G15" s="34">
        <f t="shared" si="1"/>
        <v>4.3134326481012071E-3</v>
      </c>
      <c r="I15" s="42">
        <v>0.164619915358099</v>
      </c>
      <c r="J15" s="42">
        <v>1.15022535092364</v>
      </c>
      <c r="K15" s="34">
        <f t="shared" si="2"/>
        <v>4.6009014036945597E-3</v>
      </c>
      <c r="M15" s="42">
        <v>0.185367690983509</v>
      </c>
      <c r="N15" s="42">
        <v>1.28081922382588</v>
      </c>
      <c r="O15" s="34">
        <f t="shared" si="3"/>
        <v>4.2693974127529337E-3</v>
      </c>
      <c r="Q15" s="42">
        <v>0.19369326148928401</v>
      </c>
      <c r="R15" s="42">
        <v>1.79403124606118</v>
      </c>
      <c r="S15" s="34">
        <f t="shared" si="4"/>
        <v>3.9867361023581778E-3</v>
      </c>
    </row>
    <row r="16" spans="1:19" x14ac:dyDescent="0.25">
      <c r="A16" s="42">
        <v>0.24168849596593001</v>
      </c>
      <c r="B16" s="42">
        <v>0.25274163840540897</v>
      </c>
      <c r="C16" s="34">
        <f t="shared" si="0"/>
        <v>3.159270480067612E-3</v>
      </c>
      <c r="E16" s="42">
        <v>0.17902485238791099</v>
      </c>
      <c r="F16" s="42">
        <v>0.60171416892281904</v>
      </c>
      <c r="G16" s="34">
        <f t="shared" si="1"/>
        <v>4.0114277928187938E-3</v>
      </c>
      <c r="I16" s="42">
        <v>0.19754389842971901</v>
      </c>
      <c r="J16" s="42">
        <v>1.0289112045808799</v>
      </c>
      <c r="K16" s="34">
        <f t="shared" si="2"/>
        <v>4.11564481832352E-3</v>
      </c>
      <c r="M16" s="42">
        <v>0.222441229180211</v>
      </c>
      <c r="N16" s="42">
        <v>1.07837245161748</v>
      </c>
      <c r="O16" s="34">
        <f t="shared" si="3"/>
        <v>3.5945748387249334E-3</v>
      </c>
      <c r="Q16" s="42">
        <v>0.23243191378714101</v>
      </c>
      <c r="R16" s="42">
        <v>1.4826845071683701</v>
      </c>
      <c r="S16" s="34">
        <f t="shared" si="4"/>
        <v>3.2948544603741557E-3</v>
      </c>
    </row>
    <row r="17" spans="1:19" x14ac:dyDescent="0.25">
      <c r="A17" s="42">
        <v>0.28196991196025201</v>
      </c>
      <c r="B17" s="42">
        <v>0.24356210486282701</v>
      </c>
      <c r="C17" s="34">
        <f t="shared" si="0"/>
        <v>3.0445263107853377E-3</v>
      </c>
      <c r="E17" s="42">
        <v>0.208862327785896</v>
      </c>
      <c r="F17" s="42">
        <v>0.48657370054590099</v>
      </c>
      <c r="G17" s="34">
        <f t="shared" si="1"/>
        <v>3.2438246703060066E-3</v>
      </c>
      <c r="I17" s="42">
        <v>0.23046788150133901</v>
      </c>
      <c r="J17" s="42">
        <v>0.860404997145365</v>
      </c>
      <c r="K17" s="34">
        <f t="shared" si="2"/>
        <v>3.4416199885814601E-3</v>
      </c>
      <c r="M17" s="42">
        <v>0.25951476737691298</v>
      </c>
      <c r="N17" s="42">
        <v>0.96545014228418802</v>
      </c>
      <c r="O17" s="34">
        <f t="shared" si="3"/>
        <v>3.2181671409472934E-3</v>
      </c>
      <c r="Q17" s="42">
        <v>0.27117056608499801</v>
      </c>
      <c r="R17" s="42">
        <v>1.39253027366427</v>
      </c>
      <c r="S17" s="34">
        <f t="shared" si="4"/>
        <v>3.0945117192539332E-3</v>
      </c>
    </row>
    <row r="18" spans="1:19" x14ac:dyDescent="0.25">
      <c r="A18" s="42">
        <v>0.32225132795457301</v>
      </c>
      <c r="B18" s="42">
        <v>0.218646563680404</v>
      </c>
      <c r="C18" s="34">
        <f t="shared" si="0"/>
        <v>2.73308204600505E-3</v>
      </c>
      <c r="E18" s="42">
        <v>0.23869980318388101</v>
      </c>
      <c r="F18" s="42">
        <v>0.47847799393158302</v>
      </c>
      <c r="G18" s="34">
        <f t="shared" si="1"/>
        <v>3.1898532928772202E-3</v>
      </c>
      <c r="I18" s="42">
        <v>0.26339186457295899</v>
      </c>
      <c r="J18" s="42">
        <v>0.79412508575396301</v>
      </c>
      <c r="K18" s="34">
        <f t="shared" si="2"/>
        <v>3.1765003430158519E-3</v>
      </c>
      <c r="M18" s="42">
        <v>0.29658830557361399</v>
      </c>
      <c r="N18" s="42">
        <v>1.0150438632912</v>
      </c>
      <c r="O18" s="34">
        <f t="shared" si="3"/>
        <v>3.3834795443039999E-3</v>
      </c>
      <c r="Q18" s="42">
        <v>0.30990921838285501</v>
      </c>
      <c r="R18" s="42">
        <v>1.35062812745752</v>
      </c>
      <c r="S18" s="34">
        <f t="shared" si="4"/>
        <v>3.0013958387944892E-3</v>
      </c>
    </row>
    <row r="19" spans="1:19" x14ac:dyDescent="0.25">
      <c r="A19" s="42">
        <v>0.36253274394889501</v>
      </c>
      <c r="B19" s="42">
        <v>0.17794674410846001</v>
      </c>
      <c r="C19" s="34">
        <f t="shared" si="0"/>
        <v>2.2243343013557499E-3</v>
      </c>
      <c r="E19" s="42">
        <v>0.26853727858186599</v>
      </c>
      <c r="F19" s="42">
        <v>0.43892046980823302</v>
      </c>
      <c r="G19" s="34">
        <f t="shared" si="1"/>
        <v>2.9261364653882199E-3</v>
      </c>
      <c r="I19" s="42">
        <v>0.29631584764457902</v>
      </c>
      <c r="J19" s="42">
        <v>0.83068045423262304</v>
      </c>
      <c r="K19" s="34">
        <f t="shared" si="2"/>
        <v>3.3227218169304923E-3</v>
      </c>
      <c r="M19" s="42">
        <v>0.33366184377031599</v>
      </c>
      <c r="N19" s="42">
        <v>0.86287896112035101</v>
      </c>
      <c r="O19" s="34">
        <f t="shared" si="3"/>
        <v>2.8762632037345032E-3</v>
      </c>
      <c r="Q19" s="42">
        <v>0.34864787068071201</v>
      </c>
      <c r="R19" s="42">
        <v>1.08285341589896</v>
      </c>
      <c r="S19" s="34">
        <f t="shared" si="4"/>
        <v>2.406340924219911E-3</v>
      </c>
    </row>
    <row r="20" spans="1:19" x14ac:dyDescent="0.25">
      <c r="A20" s="42">
        <v>0.40281415994321701</v>
      </c>
      <c r="B20" s="42">
        <v>0.16748467035965001</v>
      </c>
      <c r="C20" s="34">
        <f t="shared" si="0"/>
        <v>2.0935583794956252E-3</v>
      </c>
      <c r="E20" s="42">
        <v>0.29837475397985103</v>
      </c>
      <c r="F20" s="42">
        <v>0.38615920142688398</v>
      </c>
      <c r="G20" s="34">
        <f t="shared" si="1"/>
        <v>2.5743946761792266E-3</v>
      </c>
      <c r="I20" s="42">
        <v>0.329239830716199</v>
      </c>
      <c r="J20" s="42">
        <v>0.72826826547953605</v>
      </c>
      <c r="K20" s="34">
        <f t="shared" si="2"/>
        <v>2.9130730619181442E-3</v>
      </c>
      <c r="M20" s="42">
        <v>0.370735381967018</v>
      </c>
      <c r="N20" s="42">
        <v>0.71793265668613104</v>
      </c>
      <c r="O20" s="34">
        <f t="shared" si="3"/>
        <v>2.3931088556204366E-3</v>
      </c>
      <c r="Q20" s="42">
        <v>0.38738652297856901</v>
      </c>
      <c r="R20" s="42">
        <v>0.95439420853746104</v>
      </c>
      <c r="S20" s="34">
        <f t="shared" si="4"/>
        <v>2.1208760189721358E-3</v>
      </c>
    </row>
    <row r="21" spans="1:19" x14ac:dyDescent="0.25">
      <c r="A21" s="42">
        <v>0.44309557593753801</v>
      </c>
      <c r="B21" s="42">
        <v>0.17574032021983901</v>
      </c>
      <c r="C21" s="34">
        <f t="shared" si="0"/>
        <v>2.1967540027479876E-3</v>
      </c>
      <c r="E21" s="42">
        <v>0.32821222937783601</v>
      </c>
      <c r="F21" s="42">
        <v>0.339969365615019</v>
      </c>
      <c r="G21" s="34">
        <f t="shared" si="1"/>
        <v>2.26646243743346E-3</v>
      </c>
      <c r="I21" s="42">
        <v>0.36216381378781898</v>
      </c>
      <c r="J21" s="42">
        <v>0.61840236883611799</v>
      </c>
      <c r="K21" s="34">
        <f t="shared" si="2"/>
        <v>2.473609475344472E-3</v>
      </c>
      <c r="M21" s="42">
        <v>0.40780892016372</v>
      </c>
      <c r="N21" s="42">
        <v>0.66047738940240597</v>
      </c>
      <c r="O21" s="34">
        <f t="shared" si="3"/>
        <v>2.2015912980080199E-3</v>
      </c>
      <c r="Q21" s="42">
        <v>0.42612517527642502</v>
      </c>
      <c r="R21" s="42">
        <v>0.95502246524283196</v>
      </c>
      <c r="S21" s="34">
        <f t="shared" si="4"/>
        <v>2.1222721449840709E-3</v>
      </c>
    </row>
    <row r="22" spans="1:19" x14ac:dyDescent="0.25">
      <c r="A22" s="42">
        <v>0.48337699193186001</v>
      </c>
      <c r="B22" s="42">
        <v>0.169346153827059</v>
      </c>
      <c r="C22" s="34">
        <f t="shared" si="0"/>
        <v>2.1168269228382377E-3</v>
      </c>
      <c r="E22" s="42">
        <v>0.35804970477582099</v>
      </c>
      <c r="F22" s="42">
        <v>0.30582945739617401</v>
      </c>
      <c r="G22" s="34">
        <f t="shared" si="1"/>
        <v>2.0388630493078266E-3</v>
      </c>
      <c r="I22" s="42">
        <v>0.39508779685943901</v>
      </c>
      <c r="J22" s="42">
        <v>0.57663039044581899</v>
      </c>
      <c r="K22" s="34">
        <f t="shared" si="2"/>
        <v>2.3065215617832759E-3</v>
      </c>
      <c r="M22" s="42">
        <v>0.44488245836042201</v>
      </c>
      <c r="N22" s="42">
        <v>0.67054066909256504</v>
      </c>
      <c r="O22" s="34">
        <f t="shared" si="3"/>
        <v>2.2351355636418837E-3</v>
      </c>
      <c r="Q22" s="42">
        <v>0.46486382757428202</v>
      </c>
      <c r="R22" s="42">
        <v>0.99770181733369001</v>
      </c>
      <c r="S22" s="34">
        <f t="shared" si="4"/>
        <v>2.2171151496304222E-3</v>
      </c>
    </row>
    <row r="23" spans="1:19" x14ac:dyDescent="0.25">
      <c r="A23" s="42">
        <v>0.52365840792618101</v>
      </c>
      <c r="B23" s="42">
        <v>0.159523451877539</v>
      </c>
      <c r="C23" s="34">
        <f t="shared" si="0"/>
        <v>1.9940431484692374E-3</v>
      </c>
      <c r="E23" s="42">
        <v>0.38788718017380702</v>
      </c>
      <c r="F23" s="42">
        <v>0.29634218073091201</v>
      </c>
      <c r="G23" s="34">
        <f t="shared" si="1"/>
        <v>1.9756145382060801E-3</v>
      </c>
      <c r="I23" s="42">
        <v>0.42801177993105799</v>
      </c>
      <c r="J23" s="42">
        <v>0.544604792764523</v>
      </c>
      <c r="K23" s="34">
        <f t="shared" si="2"/>
        <v>2.1784191710580922E-3</v>
      </c>
      <c r="M23" s="42">
        <v>0.48195599655712301</v>
      </c>
      <c r="N23" s="42">
        <v>0.65765160455443195</v>
      </c>
      <c r="O23" s="34">
        <f t="shared" si="3"/>
        <v>2.1921720151814399E-3</v>
      </c>
      <c r="Q23" s="42">
        <v>0.50360247987213902</v>
      </c>
      <c r="R23" s="42">
        <v>0.97300899615094905</v>
      </c>
      <c r="S23" s="34">
        <f t="shared" si="4"/>
        <v>2.1622422136687758E-3</v>
      </c>
    </row>
    <row r="24" spans="1:19" x14ac:dyDescent="0.25">
      <c r="A24" s="42">
        <v>0.56393982392050301</v>
      </c>
      <c r="B24" s="42">
        <v>0.15427737378751299</v>
      </c>
      <c r="C24" s="34">
        <f t="shared" si="0"/>
        <v>1.9284671723439125E-3</v>
      </c>
      <c r="E24" s="42">
        <v>0.417724655571792</v>
      </c>
      <c r="F24" s="42">
        <v>0.29476313421525302</v>
      </c>
      <c r="G24" s="34">
        <f t="shared" si="1"/>
        <v>1.9650875614350203E-3</v>
      </c>
      <c r="I24" s="42">
        <v>0.46093576300267802</v>
      </c>
      <c r="J24" s="42">
        <v>0.51584953743503004</v>
      </c>
      <c r="K24" s="34">
        <f t="shared" si="2"/>
        <v>2.0633981497401202E-3</v>
      </c>
      <c r="M24" s="42">
        <v>0.51902953475382496</v>
      </c>
      <c r="N24" s="42">
        <v>0.61817877048366898</v>
      </c>
      <c r="O24" s="34">
        <f t="shared" si="3"/>
        <v>2.0605959016122299E-3</v>
      </c>
      <c r="Q24" s="42">
        <v>0.54234113216999602</v>
      </c>
      <c r="R24" s="42">
        <v>0.92972030857221399</v>
      </c>
      <c r="S24" s="34">
        <f t="shared" si="4"/>
        <v>2.0660451301604756E-3</v>
      </c>
    </row>
    <row r="25" spans="1:19" x14ac:dyDescent="0.25">
      <c r="A25" s="42">
        <v>0.60422123991482501</v>
      </c>
      <c r="B25" s="42">
        <v>0.153449294814411</v>
      </c>
      <c r="C25" s="34">
        <f t="shared" si="0"/>
        <v>1.9181161851801374E-3</v>
      </c>
      <c r="E25" s="42">
        <v>0.44756213096977698</v>
      </c>
      <c r="F25" s="42">
        <v>0.30341976363803702</v>
      </c>
      <c r="G25" s="34">
        <f t="shared" si="1"/>
        <v>2.0227984242535803E-3</v>
      </c>
      <c r="I25" s="42">
        <v>0.493859746074298</v>
      </c>
      <c r="J25" s="42">
        <v>0.50087703838867204</v>
      </c>
      <c r="K25" s="34">
        <f t="shared" si="2"/>
        <v>2.0035081535546883E-3</v>
      </c>
      <c r="M25" s="42">
        <v>0.55610307295052697</v>
      </c>
      <c r="N25" s="42">
        <v>0.58923357040271496</v>
      </c>
      <c r="O25" s="34">
        <f t="shared" si="3"/>
        <v>1.9641119013423833E-3</v>
      </c>
      <c r="Q25" s="42">
        <v>0.58107978446785302</v>
      </c>
      <c r="R25" s="42">
        <v>0.898843281730064</v>
      </c>
      <c r="S25" s="34">
        <f t="shared" si="4"/>
        <v>1.9974295149556977E-3</v>
      </c>
    </row>
    <row r="26" spans="1:19" x14ac:dyDescent="0.25">
      <c r="A26" s="42">
        <v>0.64450265590914602</v>
      </c>
      <c r="B26" s="42">
        <v>0.156893330409068</v>
      </c>
      <c r="C26" s="34">
        <f t="shared" si="0"/>
        <v>1.9611666301133498E-3</v>
      </c>
      <c r="E26" s="42">
        <v>0.47739960636776202</v>
      </c>
      <c r="F26" s="42">
        <v>0.31397197075122402</v>
      </c>
      <c r="G26" s="34">
        <f t="shared" si="1"/>
        <v>2.093146471674827E-3</v>
      </c>
      <c r="I26" s="42">
        <v>0.52678372914591798</v>
      </c>
      <c r="J26" s="42">
        <v>0.48754786217650897</v>
      </c>
      <c r="K26" s="34">
        <f t="shared" si="2"/>
        <v>1.9501914487060359E-3</v>
      </c>
      <c r="M26" s="42">
        <v>0.59317661114722897</v>
      </c>
      <c r="N26" s="42">
        <v>0.57134160226944297</v>
      </c>
      <c r="O26" s="34">
        <f t="shared" si="3"/>
        <v>1.9044720075648098E-3</v>
      </c>
      <c r="Q26" s="42">
        <v>0.61981843676571002</v>
      </c>
      <c r="R26" s="42">
        <v>0.88028045008897304</v>
      </c>
      <c r="S26" s="34">
        <f t="shared" si="4"/>
        <v>1.9561787779754955E-3</v>
      </c>
    </row>
    <row r="27" spans="1:19" x14ac:dyDescent="0.25">
      <c r="A27" s="42">
        <v>0.68478407190346802</v>
      </c>
      <c r="B27" s="42">
        <v>0.16131510946892899</v>
      </c>
      <c r="C27" s="34">
        <f t="shared" si="0"/>
        <v>2.0164388683616124E-3</v>
      </c>
      <c r="E27" s="42">
        <v>0.507237081765747</v>
      </c>
      <c r="F27" s="42">
        <v>0.32412314806987202</v>
      </c>
      <c r="G27" s="34">
        <f t="shared" si="1"/>
        <v>2.1608209871324803E-3</v>
      </c>
      <c r="I27" s="42">
        <v>0.55970771221753801</v>
      </c>
      <c r="J27" s="42">
        <v>0.47353610271868402</v>
      </c>
      <c r="K27" s="34">
        <f t="shared" si="2"/>
        <v>1.8941444108747361E-3</v>
      </c>
      <c r="M27" s="42">
        <v>0.63025014934393098</v>
      </c>
      <c r="N27" s="42">
        <v>0.56478061611478303</v>
      </c>
      <c r="O27" s="34">
        <f t="shared" si="3"/>
        <v>1.8826020537159435E-3</v>
      </c>
      <c r="Q27" s="42">
        <v>0.65855708906356603</v>
      </c>
      <c r="R27" s="42">
        <v>0.86608856582124905</v>
      </c>
      <c r="S27" s="34">
        <f t="shared" si="4"/>
        <v>1.9246412573805534E-3</v>
      </c>
    </row>
    <row r="28" spans="1:19" x14ac:dyDescent="0.25">
      <c r="A28" s="42">
        <v>0.72506548789779002</v>
      </c>
      <c r="B28" s="42">
        <v>0.16020617670798101</v>
      </c>
      <c r="C28" s="34">
        <f t="shared" si="0"/>
        <v>2.0025772088497627E-3</v>
      </c>
      <c r="E28" s="42">
        <v>0.53707455716373198</v>
      </c>
      <c r="F28" s="42">
        <v>0.324928374492441</v>
      </c>
      <c r="G28" s="34">
        <f t="shared" si="1"/>
        <v>2.1661891632829399E-3</v>
      </c>
      <c r="I28" s="42">
        <v>0.59263169528915804</v>
      </c>
      <c r="J28" s="42">
        <v>0.46787488285221801</v>
      </c>
      <c r="K28" s="34">
        <f t="shared" si="2"/>
        <v>1.871499531408872E-3</v>
      </c>
      <c r="M28" s="42">
        <v>0.66732368754063198</v>
      </c>
      <c r="N28" s="42">
        <v>0.56600402608024503</v>
      </c>
      <c r="O28" s="34">
        <f t="shared" si="3"/>
        <v>1.8866800869341502E-3</v>
      </c>
      <c r="Q28" s="42">
        <v>0.69729574136142303</v>
      </c>
      <c r="R28" s="42">
        <v>0.85626769424268401</v>
      </c>
      <c r="S28" s="34">
        <f t="shared" si="4"/>
        <v>1.9028170983170756E-3</v>
      </c>
    </row>
    <row r="29" spans="1:19" x14ac:dyDescent="0.25">
      <c r="A29" s="42">
        <v>0.76534690389211102</v>
      </c>
      <c r="B29" s="42">
        <v>0.155294277002966</v>
      </c>
      <c r="C29" s="34">
        <f t="shared" si="0"/>
        <v>1.941178462537075E-3</v>
      </c>
      <c r="E29" s="42">
        <v>0.56691203256171696</v>
      </c>
      <c r="F29" s="42">
        <v>0.31679041641691102</v>
      </c>
      <c r="G29" s="34">
        <f t="shared" si="1"/>
        <v>2.1119361094460733E-3</v>
      </c>
      <c r="I29" s="42">
        <v>0.62555567836077797</v>
      </c>
      <c r="J29" s="42">
        <v>0.46938153803178501</v>
      </c>
      <c r="K29" s="34">
        <f t="shared" si="2"/>
        <v>1.8775261521271401E-3</v>
      </c>
      <c r="M29" s="42">
        <v>0.70439722573733399</v>
      </c>
      <c r="N29" s="42">
        <v>0.56736874880246402</v>
      </c>
      <c r="O29" s="34">
        <f t="shared" si="3"/>
        <v>1.89122916267488E-3</v>
      </c>
      <c r="Q29" s="42">
        <v>0.73603439365928003</v>
      </c>
      <c r="R29" s="42">
        <v>0.85142042127123996</v>
      </c>
      <c r="S29" s="34">
        <f t="shared" si="4"/>
        <v>1.8920453806027554E-3</v>
      </c>
    </row>
    <row r="30" spans="1:19" x14ac:dyDescent="0.25">
      <c r="A30" s="42">
        <v>0.80562831988643302</v>
      </c>
      <c r="B30" s="42">
        <v>0.15287999181515199</v>
      </c>
      <c r="C30" s="34">
        <f t="shared" si="0"/>
        <v>1.9109998976893998E-3</v>
      </c>
      <c r="E30" s="42">
        <v>0.59674950795970205</v>
      </c>
      <c r="F30" s="42">
        <v>0.31201850963453998</v>
      </c>
      <c r="G30" s="34">
        <f t="shared" si="1"/>
        <v>2.0801233975635998E-3</v>
      </c>
      <c r="I30" s="42">
        <v>0.658479661432398</v>
      </c>
      <c r="J30" s="42">
        <v>0.47708877004740502</v>
      </c>
      <c r="K30" s="34">
        <f t="shared" si="2"/>
        <v>1.9083550801896202E-3</v>
      </c>
      <c r="M30" s="42">
        <v>0.74147076393403599</v>
      </c>
      <c r="N30" s="42">
        <v>0.57050948107106103</v>
      </c>
      <c r="O30" s="34">
        <f t="shared" si="3"/>
        <v>1.9016982702368701E-3</v>
      </c>
      <c r="Q30" s="42">
        <v>0.77477304595713703</v>
      </c>
      <c r="R30" s="42">
        <v>0.85095525962142204</v>
      </c>
      <c r="S30" s="34">
        <f t="shared" si="4"/>
        <v>1.8910116880476045E-3</v>
      </c>
    </row>
    <row r="31" spans="1:19" x14ac:dyDescent="0.25">
      <c r="A31" s="42">
        <v>0.84590973588075502</v>
      </c>
      <c r="B31" s="42">
        <v>0.15161860324333501</v>
      </c>
      <c r="C31" s="34">
        <f t="shared" si="0"/>
        <v>1.8952325405416875E-3</v>
      </c>
      <c r="E31" s="42">
        <v>0.62658698335768803</v>
      </c>
      <c r="F31" s="42">
        <v>0.308696790224397</v>
      </c>
      <c r="G31" s="34">
        <f t="shared" si="1"/>
        <v>2.05797860149598E-3</v>
      </c>
      <c r="I31" s="42">
        <v>0.69140364450401803</v>
      </c>
      <c r="J31" s="42">
        <v>0.483949369458407</v>
      </c>
      <c r="K31" s="34">
        <f t="shared" si="2"/>
        <v>1.9357974778336281E-3</v>
      </c>
      <c r="M31" s="42">
        <v>0.778544302130738</v>
      </c>
      <c r="N31" s="42">
        <v>0.57592069019199799</v>
      </c>
      <c r="O31" s="34">
        <f t="shared" si="3"/>
        <v>1.9197356339733266E-3</v>
      </c>
      <c r="Q31" s="42">
        <v>0.81351169825499403</v>
      </c>
      <c r="R31" s="42">
        <v>0.85300799707867403</v>
      </c>
      <c r="S31" s="34">
        <f t="shared" si="4"/>
        <v>1.8955733268414979E-3</v>
      </c>
    </row>
    <row r="32" spans="1:19" x14ac:dyDescent="0.25">
      <c r="A32" s="42">
        <v>0.88619115187507602</v>
      </c>
      <c r="B32" s="42">
        <v>0.149869366889676</v>
      </c>
      <c r="C32" s="34">
        <f t="shared" si="0"/>
        <v>1.8733670861209501E-3</v>
      </c>
      <c r="E32" s="42">
        <v>0.65642445875567301</v>
      </c>
      <c r="F32" s="42">
        <v>0.30652305459070001</v>
      </c>
      <c r="G32" s="34">
        <f t="shared" si="1"/>
        <v>2.0434870306046669E-3</v>
      </c>
      <c r="I32" s="42">
        <v>0.72432762757563796</v>
      </c>
      <c r="J32" s="42">
        <v>0.48251325943134499</v>
      </c>
      <c r="K32" s="34">
        <f t="shared" si="2"/>
        <v>1.93005303772538E-3</v>
      </c>
      <c r="M32" s="42">
        <v>0.81561784032744</v>
      </c>
      <c r="N32" s="42">
        <v>0.58061924106324603</v>
      </c>
      <c r="O32" s="34">
        <f t="shared" si="3"/>
        <v>1.9353974702108201E-3</v>
      </c>
      <c r="Q32" s="42">
        <v>0.85225035055285103</v>
      </c>
      <c r="R32" s="42">
        <v>0.85465028828744805</v>
      </c>
      <c r="S32" s="34">
        <f t="shared" si="4"/>
        <v>1.8992228628609957E-3</v>
      </c>
    </row>
    <row r="33" spans="1:19" x14ac:dyDescent="0.25">
      <c r="A33" s="42">
        <v>0.92647256786939802</v>
      </c>
      <c r="B33" s="42">
        <v>0.14928802196772001</v>
      </c>
      <c r="C33" s="34">
        <f t="shared" si="0"/>
        <v>1.8661002745965001E-3</v>
      </c>
      <c r="E33" s="42">
        <v>0.68626193415365799</v>
      </c>
      <c r="F33" s="42">
        <v>0.30577580722127101</v>
      </c>
      <c r="G33" s="34">
        <f t="shared" si="1"/>
        <v>2.03850538147514E-3</v>
      </c>
      <c r="I33" s="42">
        <v>0.75725161064725699</v>
      </c>
      <c r="J33" s="42">
        <v>0.47181578120829198</v>
      </c>
      <c r="K33" s="34">
        <f t="shared" si="2"/>
        <v>1.887263124833168E-3</v>
      </c>
      <c r="M33" s="42">
        <v>0.85269137852414101</v>
      </c>
      <c r="N33" s="42">
        <v>0.56731702489755997</v>
      </c>
      <c r="O33" s="34">
        <f t="shared" si="3"/>
        <v>1.8910567496585333E-3</v>
      </c>
      <c r="Q33" s="42">
        <v>0.89098900285070803</v>
      </c>
      <c r="R33" s="42">
        <v>0.85659770162001503</v>
      </c>
      <c r="S33" s="34">
        <f t="shared" si="4"/>
        <v>1.9035504480444778E-3</v>
      </c>
    </row>
    <row r="34" spans="1:19" x14ac:dyDescent="0.25">
      <c r="A34" s="42">
        <v>0.96675398386372002</v>
      </c>
      <c r="B34" s="42">
        <v>0.14983149862470899</v>
      </c>
      <c r="C34" s="34">
        <f t="shared" si="0"/>
        <v>1.8728937328088622E-3</v>
      </c>
      <c r="E34" s="42">
        <v>0.71609940955164297</v>
      </c>
      <c r="F34" s="42">
        <v>0.30642892805288202</v>
      </c>
      <c r="G34" s="34">
        <f t="shared" si="1"/>
        <v>2.0428595203525468E-3</v>
      </c>
      <c r="I34" s="42">
        <v>0.79017559371887702</v>
      </c>
      <c r="J34" s="42">
        <v>0.462412652653585</v>
      </c>
      <c r="K34" s="34">
        <f t="shared" si="2"/>
        <v>1.8496506106143399E-3</v>
      </c>
      <c r="M34" s="42">
        <v>0.88976491672084301</v>
      </c>
      <c r="N34" s="42">
        <v>0.55689235662162995</v>
      </c>
      <c r="O34" s="34">
        <f t="shared" si="3"/>
        <v>1.8563078554054331E-3</v>
      </c>
      <c r="Q34" s="42">
        <v>0.92972765514856404</v>
      </c>
      <c r="R34" s="42">
        <v>0.85839549809489002</v>
      </c>
      <c r="S34" s="34">
        <f t="shared" si="4"/>
        <v>1.9075455513219777E-3</v>
      </c>
    </row>
    <row r="35" spans="1:19" x14ac:dyDescent="0.25">
      <c r="A35" s="42">
        <v>1.0070353998580399</v>
      </c>
      <c r="B35" s="42">
        <v>0.15080432177573899</v>
      </c>
      <c r="C35" s="34">
        <f t="shared" si="0"/>
        <v>1.8850540221967374E-3</v>
      </c>
      <c r="E35" s="42">
        <v>0.74593688494962795</v>
      </c>
      <c r="F35" s="42">
        <v>0.30848170761090599</v>
      </c>
      <c r="G35" s="34">
        <f t="shared" si="1"/>
        <v>2.0565447174060399E-3</v>
      </c>
      <c r="I35" s="42">
        <v>0.82309957679049695</v>
      </c>
      <c r="J35" s="42">
        <v>0.45477735487784798</v>
      </c>
      <c r="K35" s="34">
        <f t="shared" si="2"/>
        <v>1.8191094195113919E-3</v>
      </c>
      <c r="M35" s="42">
        <v>0.92683845491754502</v>
      </c>
      <c r="N35" s="42">
        <v>0.54962696390065502</v>
      </c>
      <c r="O35" s="34">
        <f t="shared" si="3"/>
        <v>1.83208987966885E-3</v>
      </c>
      <c r="Q35" s="42">
        <v>0.96846630744642104</v>
      </c>
      <c r="R35" s="42">
        <v>0.86006099620966803</v>
      </c>
      <c r="S35" s="34">
        <f t="shared" si="4"/>
        <v>1.9112466582437066E-3</v>
      </c>
    </row>
    <row r="36" spans="1:19" x14ac:dyDescent="0.25">
      <c r="A36" s="42">
        <v>1.04731681585236</v>
      </c>
      <c r="B36" s="42">
        <v>0.15114115585476201</v>
      </c>
      <c r="C36" s="34">
        <f t="shared" si="0"/>
        <v>1.8892644481845252E-3</v>
      </c>
      <c r="E36" s="42">
        <v>0.77577436034761305</v>
      </c>
      <c r="F36" s="42">
        <v>0.31162765863742098</v>
      </c>
      <c r="G36" s="34">
        <f t="shared" si="1"/>
        <v>2.0775177242494734E-3</v>
      </c>
      <c r="I36" s="42">
        <v>0.85602355986211698</v>
      </c>
      <c r="J36" s="42">
        <v>0.44778727357499798</v>
      </c>
      <c r="K36" s="34">
        <f t="shared" si="2"/>
        <v>1.791149094299992E-3</v>
      </c>
      <c r="M36" s="42">
        <v>0.96391199311424702</v>
      </c>
      <c r="N36" s="42">
        <v>0.54470958000508196</v>
      </c>
      <c r="O36" s="34">
        <f t="shared" si="3"/>
        <v>1.8156986000169399E-3</v>
      </c>
      <c r="Q36" s="42">
        <v>1.00720495974428</v>
      </c>
      <c r="R36" s="42">
        <v>0.86140495761037394</v>
      </c>
      <c r="S36" s="34">
        <f t="shared" si="4"/>
        <v>1.9142332391341643E-3</v>
      </c>
    </row>
    <row r="37" spans="1:19" x14ac:dyDescent="0.25">
      <c r="A37" s="42">
        <v>1.0875982318466799</v>
      </c>
      <c r="B37" s="42">
        <v>0.151923221062916</v>
      </c>
      <c r="C37" s="34">
        <f t="shared" si="0"/>
        <v>1.89904026328645E-3</v>
      </c>
      <c r="E37" s="42">
        <v>0.80561183574559803</v>
      </c>
      <c r="F37" s="42">
        <v>0.31487833385991398</v>
      </c>
      <c r="G37" s="34">
        <f t="shared" si="1"/>
        <v>2.0991888923994266E-3</v>
      </c>
      <c r="I37" s="42">
        <v>0.88894754293373701</v>
      </c>
      <c r="J37" s="42">
        <v>0.44115452415024298</v>
      </c>
      <c r="K37" s="34">
        <f t="shared" si="2"/>
        <v>1.7646180966009719E-3</v>
      </c>
      <c r="M37" s="42">
        <v>1.0009855313109499</v>
      </c>
      <c r="N37" s="42">
        <v>0.54240837899013605</v>
      </c>
      <c r="O37" s="34">
        <f t="shared" si="3"/>
        <v>1.8080279299671203E-3</v>
      </c>
      <c r="Q37" s="42">
        <v>1.0459436120421399</v>
      </c>
      <c r="R37" s="42">
        <v>0.86180105382571903</v>
      </c>
      <c r="S37" s="34">
        <f t="shared" si="4"/>
        <v>1.9151134529460422E-3</v>
      </c>
    </row>
    <row r="38" spans="1:19" x14ac:dyDescent="0.25">
      <c r="A38" s="42">
        <v>1.12787964784101</v>
      </c>
      <c r="B38" s="42">
        <v>0.15313738814970301</v>
      </c>
      <c r="C38" s="34">
        <f t="shared" si="0"/>
        <v>1.9142173518712877E-3</v>
      </c>
      <c r="E38" s="42">
        <v>0.83544931114358401</v>
      </c>
      <c r="F38" s="42">
        <v>0.31852841660688003</v>
      </c>
      <c r="G38" s="34">
        <f t="shared" si="1"/>
        <v>2.1235227773792002E-3</v>
      </c>
      <c r="I38" s="42">
        <v>0.92187152600535704</v>
      </c>
      <c r="J38" s="42">
        <v>0.43510322494827303</v>
      </c>
      <c r="K38" s="34">
        <f t="shared" si="2"/>
        <v>1.740412899793092E-3</v>
      </c>
      <c r="M38" s="42">
        <v>1.0380590695076499</v>
      </c>
      <c r="N38" s="42">
        <v>0.54128043674841098</v>
      </c>
      <c r="O38" s="34">
        <f t="shared" si="3"/>
        <v>1.8042681224947033E-3</v>
      </c>
      <c r="Q38" s="42">
        <v>1.08468226433999</v>
      </c>
      <c r="R38" s="42">
        <v>0.86163104243922795</v>
      </c>
      <c r="S38" s="34">
        <f t="shared" si="4"/>
        <v>1.914735649864951E-3</v>
      </c>
    </row>
    <row r="39" spans="1:19" x14ac:dyDescent="0.25">
      <c r="A39" s="42">
        <v>1.1681610638353299</v>
      </c>
      <c r="B39" s="42">
        <v>0.15437088343833</v>
      </c>
      <c r="C39" s="34">
        <f t="shared" si="0"/>
        <v>1.929636042979125E-3</v>
      </c>
      <c r="E39" s="42">
        <v>0.86528678654156899</v>
      </c>
      <c r="F39" s="42">
        <v>0.32253212020834898</v>
      </c>
      <c r="G39" s="34">
        <f t="shared" si="1"/>
        <v>2.1502141347223267E-3</v>
      </c>
      <c r="I39" s="42">
        <v>0.95479550907697697</v>
      </c>
      <c r="J39" s="42">
        <v>0.42961818381043798</v>
      </c>
      <c r="K39" s="34">
        <f t="shared" si="2"/>
        <v>1.718472735241752E-3</v>
      </c>
      <c r="M39" s="42">
        <v>1.0751326077043499</v>
      </c>
      <c r="N39" s="42">
        <v>0.54067837105076799</v>
      </c>
      <c r="O39" s="34">
        <f t="shared" si="3"/>
        <v>1.8022612368358932E-3</v>
      </c>
      <c r="Q39" s="42">
        <v>1.1234209166378499</v>
      </c>
      <c r="R39" s="42">
        <v>0.86231776995837395</v>
      </c>
      <c r="S39" s="34">
        <f t="shared" si="4"/>
        <v>1.9162617110186088E-3</v>
      </c>
    </row>
    <row r="40" spans="1:19" x14ac:dyDescent="0.25">
      <c r="A40" s="42">
        <v>1.20844247982965</v>
      </c>
      <c r="B40" s="42">
        <v>0.15416924328429599</v>
      </c>
      <c r="C40" s="34">
        <f t="shared" si="0"/>
        <v>1.9271155410536998E-3</v>
      </c>
      <c r="E40" s="42">
        <v>0.89512426193955397</v>
      </c>
      <c r="F40" s="42">
        <v>0.32701208863575998</v>
      </c>
      <c r="G40" s="34">
        <f t="shared" si="1"/>
        <v>2.1800805909050667E-3</v>
      </c>
      <c r="I40" s="42">
        <v>0.987719492148597</v>
      </c>
      <c r="J40" s="42">
        <v>0.42468067129685</v>
      </c>
      <c r="K40" s="34">
        <f t="shared" si="2"/>
        <v>1.6987226851874E-3</v>
      </c>
      <c r="M40" s="42">
        <v>1.1122061459010499</v>
      </c>
      <c r="N40" s="42">
        <v>0.54053580781652399</v>
      </c>
      <c r="O40" s="34">
        <f t="shared" si="3"/>
        <v>1.8017860260550801E-3</v>
      </c>
      <c r="Q40" s="42">
        <v>1.16215956893571</v>
      </c>
      <c r="R40" s="42">
        <v>0.86288329695746901</v>
      </c>
      <c r="S40" s="34">
        <f t="shared" si="4"/>
        <v>1.9175184376832644E-3</v>
      </c>
    </row>
    <row r="41" spans="1:19" x14ac:dyDescent="0.25">
      <c r="A41" s="42">
        <v>1.2487238958239699</v>
      </c>
      <c r="B41" s="42">
        <v>0.15309182939237601</v>
      </c>
      <c r="C41" s="34">
        <f t="shared" si="0"/>
        <v>1.9136478674047E-3</v>
      </c>
      <c r="E41" s="42">
        <v>0.92496173733753895</v>
      </c>
      <c r="F41" s="42">
        <v>0.331954563942158</v>
      </c>
      <c r="G41" s="34">
        <f t="shared" si="1"/>
        <v>2.2130304262810534E-3</v>
      </c>
      <c r="I41" s="42">
        <v>1.02064347522022</v>
      </c>
      <c r="J41" s="42">
        <v>0.422642630600716</v>
      </c>
      <c r="K41" s="34">
        <f t="shared" si="2"/>
        <v>1.690570522402864E-3</v>
      </c>
      <c r="M41" s="42">
        <v>1.1492796840977599</v>
      </c>
      <c r="N41" s="42">
        <v>0.54110952631828901</v>
      </c>
      <c r="O41" s="34">
        <f t="shared" si="3"/>
        <v>1.8036984210609633E-3</v>
      </c>
      <c r="Q41" s="42">
        <v>1.2008982212335599</v>
      </c>
      <c r="R41" s="42">
        <v>0.86322336711099001</v>
      </c>
      <c r="S41" s="34">
        <f t="shared" si="4"/>
        <v>1.9182741491355333E-3</v>
      </c>
    </row>
    <row r="42" spans="1:19" x14ac:dyDescent="0.25">
      <c r="A42" s="42">
        <v>1.28900531181829</v>
      </c>
      <c r="B42" s="42">
        <v>0.152510883474828</v>
      </c>
      <c r="C42" s="34">
        <f t="shared" si="0"/>
        <v>1.9063860434353499E-3</v>
      </c>
      <c r="E42" s="42">
        <v>0.95479921273552404</v>
      </c>
      <c r="F42" s="42">
        <v>0.335986224750976</v>
      </c>
      <c r="G42" s="34">
        <f t="shared" si="1"/>
        <v>2.2399081650065068E-3</v>
      </c>
      <c r="I42" s="42">
        <v>1.05356745829184</v>
      </c>
      <c r="J42" s="42">
        <v>0.42090598941705398</v>
      </c>
      <c r="K42" s="34">
        <f t="shared" si="2"/>
        <v>1.683623957668216E-3</v>
      </c>
      <c r="M42" s="42">
        <v>1.1863532222944599</v>
      </c>
      <c r="N42" s="42">
        <v>0.54222035135886804</v>
      </c>
      <c r="O42" s="34">
        <f t="shared" si="3"/>
        <v>1.8074011711962268E-3</v>
      </c>
      <c r="Q42" s="42">
        <v>1.23963687353142</v>
      </c>
      <c r="R42" s="42">
        <v>0.86334644497235502</v>
      </c>
      <c r="S42" s="34">
        <f t="shared" si="4"/>
        <v>1.9185476554941224E-3</v>
      </c>
    </row>
    <row r="43" spans="1:19" x14ac:dyDescent="0.25">
      <c r="A43" s="42">
        <v>1.3292867278126099</v>
      </c>
      <c r="B43" s="42">
        <v>0.15215080196884101</v>
      </c>
      <c r="C43" s="34">
        <f t="shared" si="0"/>
        <v>1.9018850246105127E-3</v>
      </c>
      <c r="E43" s="42">
        <v>0.98463668813350902</v>
      </c>
      <c r="F43" s="42">
        <v>0.33428711743137401</v>
      </c>
      <c r="G43" s="34">
        <f t="shared" si="1"/>
        <v>2.2285807828758266E-3</v>
      </c>
      <c r="I43" s="42">
        <v>1.0864914413634601</v>
      </c>
      <c r="J43" s="42">
        <v>0.41943549144063702</v>
      </c>
      <c r="K43" s="34">
        <f t="shared" si="2"/>
        <v>1.677741965762548E-3</v>
      </c>
      <c r="M43" s="42">
        <v>1.2234267604911599</v>
      </c>
      <c r="N43" s="42">
        <v>0.54339418603128997</v>
      </c>
      <c r="O43" s="34">
        <f t="shared" si="3"/>
        <v>1.8113139534376333E-3</v>
      </c>
      <c r="Q43" s="42">
        <v>1.2783755258292799</v>
      </c>
      <c r="R43" s="42">
        <v>0.86455454840260804</v>
      </c>
      <c r="S43" s="34">
        <f t="shared" si="4"/>
        <v>1.9212323297835734E-3</v>
      </c>
    </row>
    <row r="44" spans="1:19" x14ac:dyDescent="0.25">
      <c r="A44" s="42">
        <v>1.36956814380694</v>
      </c>
      <c r="B44" s="42">
        <v>0.15193041905445201</v>
      </c>
      <c r="C44" s="34">
        <f t="shared" si="0"/>
        <v>1.8991302381806501E-3</v>
      </c>
      <c r="E44" s="42">
        <v>1.01447416353149</v>
      </c>
      <c r="F44" s="42">
        <v>0.33289629509065199</v>
      </c>
      <c r="G44" s="34">
        <f t="shared" si="1"/>
        <v>2.2193086339376798E-3</v>
      </c>
      <c r="I44" s="42">
        <v>1.11941542443508</v>
      </c>
      <c r="J44" s="42">
        <v>0.41825755190578101</v>
      </c>
      <c r="K44" s="34">
        <f t="shared" si="2"/>
        <v>1.673030207623124E-3</v>
      </c>
      <c r="M44" s="42">
        <v>1.26050029868786</v>
      </c>
      <c r="N44" s="42">
        <v>0.54460751554338305</v>
      </c>
      <c r="O44" s="34">
        <f t="shared" si="3"/>
        <v>1.8153583851446102E-3</v>
      </c>
      <c r="Q44" s="42">
        <v>1.3171141781271301</v>
      </c>
      <c r="R44" s="42">
        <v>0.86597083318047896</v>
      </c>
      <c r="S44" s="34">
        <f t="shared" si="4"/>
        <v>1.9243796292899532E-3</v>
      </c>
    </row>
    <row r="45" spans="1:19" x14ac:dyDescent="0.25">
      <c r="A45" s="42">
        <v>1.4098495598012599</v>
      </c>
      <c r="B45" s="42">
        <v>0.15209358735628101</v>
      </c>
      <c r="C45" s="34">
        <f t="shared" si="0"/>
        <v>1.9011698419535126E-3</v>
      </c>
      <c r="E45" s="42">
        <v>1.04431163892948</v>
      </c>
      <c r="F45" s="42">
        <v>0.33243119586519898</v>
      </c>
      <c r="G45" s="34">
        <f t="shared" si="1"/>
        <v>2.2162079724346597E-3</v>
      </c>
      <c r="I45" s="42">
        <v>1.1523394075066999</v>
      </c>
      <c r="J45" s="42">
        <v>0.41797409564129401</v>
      </c>
      <c r="K45" s="34">
        <f t="shared" si="2"/>
        <v>1.6718963825651761E-3</v>
      </c>
      <c r="M45" s="42">
        <v>1.29757383688456</v>
      </c>
      <c r="N45" s="42">
        <v>0.545908448123687</v>
      </c>
      <c r="O45" s="34">
        <f t="shared" si="3"/>
        <v>1.8196948270789567E-3</v>
      </c>
      <c r="Q45" s="42">
        <v>1.3558528304249899</v>
      </c>
      <c r="R45" s="42">
        <v>0.86729775577802404</v>
      </c>
      <c r="S45" s="34">
        <f t="shared" si="4"/>
        <v>1.9273283461733867E-3</v>
      </c>
    </row>
    <row r="46" spans="1:19" x14ac:dyDescent="0.25">
      <c r="A46" s="42">
        <v>1.45013097579558</v>
      </c>
      <c r="B46" s="42">
        <v>0.152657593696199</v>
      </c>
      <c r="C46" s="34">
        <f t="shared" si="0"/>
        <v>1.9082199212024874E-3</v>
      </c>
      <c r="E46" s="42">
        <v>1.07414911432746</v>
      </c>
      <c r="F46" s="42">
        <v>0.33295815092130399</v>
      </c>
      <c r="G46" s="34">
        <f t="shared" si="1"/>
        <v>2.2197210061420266E-3</v>
      </c>
      <c r="I46" s="42">
        <v>1.1852633905783201</v>
      </c>
      <c r="J46" s="42">
        <v>0.419130965719336</v>
      </c>
      <c r="K46" s="34">
        <f t="shared" si="2"/>
        <v>1.6765238628773441E-3</v>
      </c>
      <c r="M46" s="42">
        <v>1.33464737508126</v>
      </c>
      <c r="N46" s="42">
        <v>0.54739472276318102</v>
      </c>
      <c r="O46" s="34">
        <f t="shared" si="3"/>
        <v>1.82464907587727E-3</v>
      </c>
      <c r="Q46" s="42">
        <v>1.3945914827228501</v>
      </c>
      <c r="R46" s="42">
        <v>0.86814954568543601</v>
      </c>
      <c r="S46" s="34">
        <f t="shared" si="4"/>
        <v>1.9292212126343022E-3</v>
      </c>
    </row>
    <row r="47" spans="1:19" x14ac:dyDescent="0.25">
      <c r="A47" s="42">
        <v>1.4904123917898999</v>
      </c>
      <c r="B47" s="42">
        <v>0.153324449975827</v>
      </c>
      <c r="C47" s="34">
        <f t="shared" si="0"/>
        <v>1.9165556246978376E-3</v>
      </c>
      <c r="E47" s="42">
        <v>1.1039865897254499</v>
      </c>
      <c r="F47" s="42">
        <v>0.33353297886427802</v>
      </c>
      <c r="G47" s="34">
        <f t="shared" si="1"/>
        <v>2.2235531924285202E-3</v>
      </c>
      <c r="I47" s="42">
        <v>1.21818737364994</v>
      </c>
      <c r="J47" s="42">
        <v>0.420352034199729</v>
      </c>
      <c r="K47" s="34">
        <f t="shared" si="2"/>
        <v>1.6814081367989161E-3</v>
      </c>
      <c r="M47" s="42">
        <v>1.37172091327797</v>
      </c>
      <c r="N47" s="42">
        <v>0.54899200776049395</v>
      </c>
      <c r="O47" s="34">
        <f t="shared" si="3"/>
        <v>1.8299733592016464E-3</v>
      </c>
      <c r="Q47" s="42">
        <v>1.4333301350206999</v>
      </c>
      <c r="R47" s="42">
        <v>0.86884327841180398</v>
      </c>
      <c r="S47" s="34">
        <f t="shared" si="4"/>
        <v>1.93076284091512E-3</v>
      </c>
    </row>
    <row r="48" spans="1:19" x14ac:dyDescent="0.25">
      <c r="A48" s="42">
        <v>1.53069380778422</v>
      </c>
      <c r="B48" s="42">
        <v>0.154011958684734</v>
      </c>
      <c r="C48" s="34">
        <f t="shared" si="0"/>
        <v>1.925149483559175E-3</v>
      </c>
      <c r="E48" s="42">
        <v>1.1338240651234299</v>
      </c>
      <c r="F48" s="42">
        <v>0.33345782834749299</v>
      </c>
      <c r="G48" s="34">
        <f t="shared" si="1"/>
        <v>2.2230521889832866E-3</v>
      </c>
      <c r="I48" s="42">
        <v>1.2511113567215599</v>
      </c>
      <c r="J48" s="42">
        <v>0.42166449018011798</v>
      </c>
      <c r="K48" s="34">
        <f t="shared" si="2"/>
        <v>1.686657960720472E-3</v>
      </c>
      <c r="M48" s="42">
        <v>1.40879445147467</v>
      </c>
      <c r="N48" s="42">
        <v>0.55073134530526102</v>
      </c>
      <c r="O48" s="34">
        <f t="shared" si="3"/>
        <v>1.8357711510175367E-3</v>
      </c>
      <c r="Q48" s="42">
        <v>1.4720687873185601</v>
      </c>
      <c r="R48" s="42">
        <v>0.86923323381346096</v>
      </c>
      <c r="S48" s="34">
        <f t="shared" si="4"/>
        <v>1.9316294084743577E-3</v>
      </c>
    </row>
    <row r="49" spans="1:19" x14ac:dyDescent="0.25">
      <c r="A49" s="42">
        <v>1.5709752237785399</v>
      </c>
      <c r="B49" s="42">
        <v>0.154999426000338</v>
      </c>
      <c r="C49" s="34">
        <f t="shared" si="0"/>
        <v>1.937492825004225E-3</v>
      </c>
      <c r="E49" s="42">
        <v>1.1636615405214199</v>
      </c>
      <c r="F49" s="42">
        <v>0.33397521073393599</v>
      </c>
      <c r="G49" s="34">
        <f t="shared" si="1"/>
        <v>2.2265014048929066E-3</v>
      </c>
      <c r="I49" s="42">
        <v>1.2840353397931801</v>
      </c>
      <c r="J49" s="42">
        <v>0.423045948966015</v>
      </c>
      <c r="K49" s="34">
        <f t="shared" si="2"/>
        <v>1.6921837958640601E-3</v>
      </c>
      <c r="M49" s="42">
        <v>1.44586798967137</v>
      </c>
      <c r="N49" s="42">
        <v>0.55036614549969598</v>
      </c>
      <c r="O49" s="34">
        <f t="shared" si="3"/>
        <v>1.8345538183323199E-3</v>
      </c>
      <c r="Q49" s="42">
        <v>1.5108074396164199</v>
      </c>
      <c r="R49" s="42">
        <v>0.86951229732470003</v>
      </c>
      <c r="S49" s="34">
        <f t="shared" si="4"/>
        <v>1.9322495496104444E-3</v>
      </c>
    </row>
    <row r="50" spans="1:19" x14ac:dyDescent="0.25">
      <c r="A50" s="42">
        <v>1.61125663977287</v>
      </c>
      <c r="B50" s="42">
        <v>0.15628952873996799</v>
      </c>
      <c r="C50" s="34">
        <f t="shared" si="0"/>
        <v>1.9536191092496E-3</v>
      </c>
      <c r="E50" s="42">
        <v>1.1934990159194001</v>
      </c>
      <c r="F50" s="42">
        <v>0.33502648548872799</v>
      </c>
      <c r="G50" s="34">
        <f t="shared" si="1"/>
        <v>2.2335099032581864E-3</v>
      </c>
      <c r="I50" s="42">
        <v>1.3169593228648</v>
      </c>
      <c r="J50" s="42">
        <v>0.42465750608965402</v>
      </c>
      <c r="K50" s="34">
        <f t="shared" si="2"/>
        <v>1.6986300243586161E-3</v>
      </c>
      <c r="M50" s="42">
        <v>1.48294152786807</v>
      </c>
      <c r="N50" s="42">
        <v>0.54997993456282701</v>
      </c>
      <c r="O50" s="34">
        <f t="shared" si="3"/>
        <v>1.8332664485427566E-3</v>
      </c>
      <c r="Q50" s="42">
        <v>1.5495460919142701</v>
      </c>
      <c r="R50" s="42">
        <v>0.86978802491358498</v>
      </c>
      <c r="S50" s="34">
        <f t="shared" si="4"/>
        <v>1.9328622775857444E-3</v>
      </c>
    </row>
    <row r="51" spans="1:19" x14ac:dyDescent="0.25">
      <c r="A51" s="42">
        <v>1.6515380557671899</v>
      </c>
      <c r="B51" s="42">
        <v>0.15754635832717001</v>
      </c>
      <c r="C51" s="34">
        <f t="shared" si="0"/>
        <v>1.9693294790896253E-3</v>
      </c>
      <c r="E51" s="42">
        <v>1.2233364913173901</v>
      </c>
      <c r="F51" s="42">
        <v>0.33680600403597599</v>
      </c>
      <c r="G51" s="34">
        <f t="shared" si="1"/>
        <v>2.2453733602398399E-3</v>
      </c>
      <c r="I51" s="42">
        <v>1.3498833059364199</v>
      </c>
      <c r="J51" s="42">
        <v>0.42643218385426301</v>
      </c>
      <c r="K51" s="34">
        <f t="shared" si="2"/>
        <v>1.705728735417052E-3</v>
      </c>
      <c r="M51" s="42">
        <v>1.52001506606477</v>
      </c>
      <c r="N51" s="42">
        <v>0.550061430640986</v>
      </c>
      <c r="O51" s="34">
        <f t="shared" si="3"/>
        <v>1.8335381021366199E-3</v>
      </c>
      <c r="Q51" s="42">
        <v>1.58828474421213</v>
      </c>
      <c r="R51" s="42">
        <v>0.86959953345922503</v>
      </c>
      <c r="S51" s="34">
        <f t="shared" si="4"/>
        <v>1.9324434076871666E-3</v>
      </c>
    </row>
    <row r="52" spans="1:19" x14ac:dyDescent="0.25">
      <c r="A52" s="42">
        <v>1.69181947176151</v>
      </c>
      <c r="B52" s="42">
        <v>0.15745891042174701</v>
      </c>
      <c r="C52" s="34">
        <f t="shared" si="0"/>
        <v>1.9682363802718374E-3</v>
      </c>
      <c r="E52" s="42">
        <v>1.2531739667153801</v>
      </c>
      <c r="F52" s="42">
        <v>0.33914677476767802</v>
      </c>
      <c r="G52" s="34">
        <f t="shared" si="1"/>
        <v>2.2609784984511869E-3</v>
      </c>
      <c r="I52" s="42">
        <v>1.3828072890080401</v>
      </c>
      <c r="J52" s="42">
        <v>0.42828521004215497</v>
      </c>
      <c r="K52" s="34">
        <f t="shared" si="2"/>
        <v>1.7131408401686199E-3</v>
      </c>
      <c r="M52" s="42">
        <v>1.55708860426148</v>
      </c>
      <c r="N52" s="42">
        <v>0.55062194059043401</v>
      </c>
      <c r="O52" s="34">
        <f t="shared" si="3"/>
        <v>1.83540646863478E-3</v>
      </c>
      <c r="Q52" s="42">
        <v>1.6270233965099901</v>
      </c>
      <c r="R52" s="42">
        <v>0.86930811534357</v>
      </c>
      <c r="S52" s="34">
        <f t="shared" si="4"/>
        <v>1.9317958118745999E-3</v>
      </c>
    </row>
    <row r="53" spans="1:19" x14ac:dyDescent="0.25">
      <c r="A53" s="42">
        <v>1.7321008877558299</v>
      </c>
      <c r="B53" s="42">
        <v>0.15709227630108999</v>
      </c>
      <c r="C53" s="34">
        <f t="shared" si="0"/>
        <v>1.9636534537636249E-3</v>
      </c>
      <c r="E53" s="42">
        <v>1.28301144211336</v>
      </c>
      <c r="F53" s="42">
        <v>0.33979710430503102</v>
      </c>
      <c r="G53" s="34">
        <f t="shared" si="1"/>
        <v>2.2653140287002068E-3</v>
      </c>
      <c r="I53" s="42">
        <v>1.41573127207966</v>
      </c>
      <c r="J53" s="42">
        <v>0.43019043754741398</v>
      </c>
      <c r="K53" s="34">
        <f t="shared" si="2"/>
        <v>1.720761750189656E-3</v>
      </c>
      <c r="M53" s="42">
        <v>1.59416214245818</v>
      </c>
      <c r="N53" s="42">
        <v>0.55168651473257502</v>
      </c>
      <c r="O53" s="34">
        <f t="shared" si="3"/>
        <v>1.8389550491085835E-3</v>
      </c>
      <c r="Q53" s="42">
        <v>1.66576204880784</v>
      </c>
      <c r="R53" s="42">
        <v>0.86900440638064103</v>
      </c>
      <c r="S53" s="34">
        <f t="shared" si="4"/>
        <v>1.9311209030680912E-3</v>
      </c>
    </row>
    <row r="54" spans="1:19" x14ac:dyDescent="0.25">
      <c r="A54" s="42">
        <v>1.77238230375015</v>
      </c>
      <c r="B54" s="42">
        <v>0.15707585312876801</v>
      </c>
      <c r="C54" s="34">
        <f t="shared" si="0"/>
        <v>1.9634481641096001E-3</v>
      </c>
      <c r="E54" s="42">
        <v>1.31284891751135</v>
      </c>
      <c r="F54" s="42">
        <v>0.34038725589469998</v>
      </c>
      <c r="G54" s="34">
        <f t="shared" si="1"/>
        <v>2.2692483726313331E-3</v>
      </c>
      <c r="I54" s="42">
        <v>1.4486552551512799</v>
      </c>
      <c r="J54" s="42">
        <v>0.43214098474201301</v>
      </c>
      <c r="K54" s="34">
        <f t="shared" si="2"/>
        <v>1.728563938968052E-3</v>
      </c>
      <c r="M54" s="42">
        <v>1.63123568065488</v>
      </c>
      <c r="N54" s="42">
        <v>0.55213712492945699</v>
      </c>
      <c r="O54" s="34">
        <f t="shared" si="3"/>
        <v>1.84045708309819E-3</v>
      </c>
      <c r="Q54" s="42">
        <v>1.7045007011057001</v>
      </c>
      <c r="R54" s="42">
        <v>0.86868645136365696</v>
      </c>
      <c r="S54" s="34">
        <f t="shared" si="4"/>
        <v>1.9304143363636822E-3</v>
      </c>
    </row>
    <row r="55" spans="1:19" x14ac:dyDescent="0.25">
      <c r="A55" s="42">
        <v>1.8126637197444699</v>
      </c>
      <c r="B55" s="42">
        <v>0.15701647946822</v>
      </c>
      <c r="C55" s="34">
        <f t="shared" si="0"/>
        <v>1.9627059933527502E-3</v>
      </c>
      <c r="E55" s="42">
        <v>1.34268639290933</v>
      </c>
      <c r="F55" s="42">
        <v>0.33965253008658303</v>
      </c>
      <c r="G55" s="34">
        <f t="shared" si="1"/>
        <v>2.2643502005772202E-3</v>
      </c>
      <c r="I55" s="42">
        <v>1.4815792382228901</v>
      </c>
      <c r="J55" s="42">
        <v>0.43360591626276301</v>
      </c>
      <c r="K55" s="34">
        <f t="shared" si="2"/>
        <v>1.7344236650510521E-3</v>
      </c>
      <c r="M55" s="42">
        <v>1.66830921885158</v>
      </c>
      <c r="N55" s="42">
        <v>0.55261383273289899</v>
      </c>
      <c r="O55" s="34">
        <f t="shared" si="3"/>
        <v>1.8420461091096633E-3</v>
      </c>
      <c r="Q55" s="42">
        <v>1.74323935340356</v>
      </c>
      <c r="R55" s="42">
        <v>0.867492310015334</v>
      </c>
      <c r="S55" s="34">
        <f t="shared" si="4"/>
        <v>1.9277606889229644E-3</v>
      </c>
    </row>
    <row r="56" spans="1:19" x14ac:dyDescent="0.25">
      <c r="A56" s="42">
        <v>1.8529451357388</v>
      </c>
      <c r="B56" s="42">
        <v>0.15679234336181899</v>
      </c>
      <c r="C56" s="34">
        <f t="shared" si="0"/>
        <v>1.9599042920227373E-3</v>
      </c>
      <c r="E56" s="42">
        <v>1.37252386830732</v>
      </c>
      <c r="F56" s="42">
        <v>0.33701000993021302</v>
      </c>
      <c r="G56" s="34">
        <f t="shared" si="1"/>
        <v>2.2467333995347533E-3</v>
      </c>
      <c r="I56" s="42">
        <v>1.51450322129451</v>
      </c>
      <c r="J56" s="42">
        <v>0.43517764642780699</v>
      </c>
      <c r="K56" s="34">
        <f t="shared" si="2"/>
        <v>1.7407105857112279E-3</v>
      </c>
      <c r="M56" s="42">
        <v>1.70538275704828</v>
      </c>
      <c r="N56" s="42">
        <v>0.55362085180305498</v>
      </c>
      <c r="O56" s="34">
        <f t="shared" si="3"/>
        <v>1.8454028393435167E-3</v>
      </c>
      <c r="Q56" s="42">
        <v>1.7819780057014201</v>
      </c>
      <c r="R56" s="42">
        <v>0.86641897403782897</v>
      </c>
      <c r="S56" s="34">
        <f t="shared" si="4"/>
        <v>1.9253754978618423E-3</v>
      </c>
    </row>
    <row r="57" spans="1:19" x14ac:dyDescent="0.25">
      <c r="A57" s="42">
        <v>1.8932265517331199</v>
      </c>
      <c r="B57" s="42">
        <v>0.15684394013132</v>
      </c>
      <c r="C57" s="34">
        <f t="shared" si="0"/>
        <v>1.9605492516415E-3</v>
      </c>
      <c r="E57" s="42">
        <v>1.4023613437053</v>
      </c>
      <c r="F57" s="42">
        <v>0.33522337904146798</v>
      </c>
      <c r="G57" s="34">
        <f t="shared" si="1"/>
        <v>2.2348225269431198E-3</v>
      </c>
      <c r="I57" s="42">
        <v>1.5474272043661299</v>
      </c>
      <c r="J57" s="42">
        <v>0.43689047854568502</v>
      </c>
      <c r="K57" s="34">
        <f t="shared" si="2"/>
        <v>1.74756191418274E-3</v>
      </c>
      <c r="M57" s="42">
        <v>1.74245629524498</v>
      </c>
      <c r="N57" s="42">
        <v>0.55511662414986895</v>
      </c>
      <c r="O57" s="34">
        <f t="shared" si="3"/>
        <v>1.8503887471662298E-3</v>
      </c>
      <c r="Q57" s="42">
        <v>1.82071665799927</v>
      </c>
      <c r="R57" s="42">
        <v>0.86539507528945403</v>
      </c>
      <c r="S57" s="34">
        <f t="shared" si="4"/>
        <v>1.9231001673098978E-3</v>
      </c>
    </row>
    <row r="58" spans="1:19" x14ac:dyDescent="0.25">
      <c r="A58" s="42">
        <v>1.93350796772744</v>
      </c>
      <c r="B58" s="42">
        <v>0.15717126837446199</v>
      </c>
      <c r="C58" s="34">
        <f t="shared" si="0"/>
        <v>1.9646408546807751E-3</v>
      </c>
      <c r="E58" s="42">
        <v>1.4321988191032899</v>
      </c>
      <c r="F58" s="42">
        <v>0.33409623648530101</v>
      </c>
      <c r="G58" s="34">
        <f t="shared" si="1"/>
        <v>2.2273082432353402E-3</v>
      </c>
      <c r="I58" s="42">
        <v>1.58035118743775</v>
      </c>
      <c r="J58" s="42">
        <v>0.43877421427945001</v>
      </c>
      <c r="K58" s="34">
        <f t="shared" si="2"/>
        <v>1.7550968571178E-3</v>
      </c>
      <c r="M58" s="42">
        <v>1.77952983344169</v>
      </c>
      <c r="N58" s="42">
        <v>0.55618555721525997</v>
      </c>
      <c r="O58" s="34">
        <f t="shared" si="3"/>
        <v>1.8539518573841998E-3</v>
      </c>
      <c r="Q58" s="42">
        <v>1.8594553102971301</v>
      </c>
      <c r="R58" s="42">
        <v>0.86469825416648105</v>
      </c>
      <c r="S58" s="34">
        <f t="shared" si="4"/>
        <v>1.9215516759255136E-3</v>
      </c>
    </row>
    <row r="59" spans="1:19" x14ac:dyDescent="0.25">
      <c r="A59" s="42">
        <v>1.9737893837217599</v>
      </c>
      <c r="B59" s="42">
        <v>0.157324200140775</v>
      </c>
      <c r="C59" s="34">
        <f t="shared" si="0"/>
        <v>1.9665525017596875E-3</v>
      </c>
      <c r="E59" s="42">
        <v>1.4620362945012699</v>
      </c>
      <c r="F59" s="42">
        <v>0.33137208002416502</v>
      </c>
      <c r="G59" s="34">
        <f t="shared" si="1"/>
        <v>2.2091472001611002E-3</v>
      </c>
      <c r="I59" s="42">
        <v>1.61327517050937</v>
      </c>
      <c r="J59" s="42">
        <v>0.44059414538790398</v>
      </c>
      <c r="K59" s="34">
        <f t="shared" si="2"/>
        <v>1.7623765815516159E-3</v>
      </c>
      <c r="M59" s="42">
        <v>1.81660337163839</v>
      </c>
      <c r="N59" s="42">
        <v>0.55659269891299501</v>
      </c>
      <c r="O59" s="34">
        <f t="shared" si="3"/>
        <v>1.85530899637665E-3</v>
      </c>
      <c r="Q59" s="42">
        <v>1.89819396259499</v>
      </c>
      <c r="R59" s="42">
        <v>0.86304669169558301</v>
      </c>
      <c r="S59" s="34">
        <f t="shared" si="4"/>
        <v>1.9178815371012955E-3</v>
      </c>
    </row>
    <row r="60" spans="1:19" x14ac:dyDescent="0.25">
      <c r="A60" s="42">
        <v>2.0140707997160798</v>
      </c>
      <c r="B60" s="42">
        <v>0.15722660711799399</v>
      </c>
      <c r="C60" s="34">
        <f t="shared" si="0"/>
        <v>1.965332588974925E-3</v>
      </c>
      <c r="E60" s="42">
        <v>1.4918737698992599</v>
      </c>
      <c r="F60" s="42">
        <v>0.329042926372626</v>
      </c>
      <c r="G60" s="34">
        <f t="shared" si="1"/>
        <v>2.1936195091508399E-3</v>
      </c>
      <c r="I60" s="42">
        <v>1.6461991535809899</v>
      </c>
      <c r="J60" s="42">
        <v>0.441583418891136</v>
      </c>
      <c r="K60" s="34">
        <f t="shared" si="2"/>
        <v>1.7663336755645441E-3</v>
      </c>
      <c r="M60" s="42">
        <v>1.85367690983509</v>
      </c>
      <c r="N60" s="42">
        <v>0.55746193389873799</v>
      </c>
      <c r="O60" s="34">
        <f t="shared" si="3"/>
        <v>1.8582064463291267E-3</v>
      </c>
      <c r="Q60" s="42">
        <v>1.9369326148928401</v>
      </c>
      <c r="R60" s="42">
        <v>0.861467273470233</v>
      </c>
      <c r="S60" s="34">
        <f t="shared" si="4"/>
        <v>1.91437171882274E-3</v>
      </c>
    </row>
    <row r="61" spans="1:19" x14ac:dyDescent="0.25">
      <c r="A61" s="42">
        <v>2.0543522157103999</v>
      </c>
      <c r="B61" s="42">
        <v>0.157363306813041</v>
      </c>
      <c r="C61" s="34">
        <f t="shared" si="0"/>
        <v>1.9670413351630125E-3</v>
      </c>
      <c r="E61" s="42">
        <v>1.5217112452972399</v>
      </c>
      <c r="F61" s="42">
        <v>0.32720220423583501</v>
      </c>
      <c r="G61" s="34">
        <f t="shared" si="1"/>
        <v>2.1813480282389E-3</v>
      </c>
      <c r="I61" s="42">
        <v>1.67912313665261</v>
      </c>
      <c r="J61" s="42">
        <v>0.442786502016426</v>
      </c>
      <c r="K61" s="34">
        <f t="shared" si="2"/>
        <v>1.7711460080657041E-3</v>
      </c>
      <c r="M61" s="42">
        <v>1.89075044803179</v>
      </c>
      <c r="N61" s="42">
        <v>0.558783155956737</v>
      </c>
      <c r="O61" s="34">
        <f t="shared" si="3"/>
        <v>1.8626105198557899E-3</v>
      </c>
      <c r="Q61" s="42">
        <v>1.9756712671907</v>
      </c>
      <c r="R61" s="42">
        <v>0.85995891433940896</v>
      </c>
      <c r="S61" s="34">
        <f t="shared" si="4"/>
        <v>1.9110198096431311E-3</v>
      </c>
    </row>
    <row r="62" spans="1:19" x14ac:dyDescent="0.25">
      <c r="A62" s="42">
        <v>2.0946336317047298</v>
      </c>
      <c r="B62" s="42">
        <v>0.15773873103341399</v>
      </c>
      <c r="C62" s="34">
        <f t="shared" si="0"/>
        <v>1.9717341379176748E-3</v>
      </c>
      <c r="E62" s="42">
        <v>1.5515487206952301</v>
      </c>
      <c r="F62" s="42">
        <v>0.32581742939367297</v>
      </c>
      <c r="G62" s="34">
        <f t="shared" si="1"/>
        <v>2.1721161959578198E-3</v>
      </c>
      <c r="I62" s="42">
        <v>1.71204711972423</v>
      </c>
      <c r="J62" s="42">
        <v>0.44329845187328298</v>
      </c>
      <c r="K62" s="34">
        <f t="shared" si="2"/>
        <v>1.773193807493132E-3</v>
      </c>
      <c r="M62" s="42">
        <v>1.92782398622849</v>
      </c>
      <c r="N62" s="42">
        <v>0.56012877780695103</v>
      </c>
      <c r="O62" s="34">
        <f t="shared" si="3"/>
        <v>1.8670959260231701E-3</v>
      </c>
      <c r="Q62" s="42">
        <v>2.0144099194885601</v>
      </c>
      <c r="R62" s="42">
        <v>0.85881673137009296</v>
      </c>
      <c r="S62" s="34">
        <f t="shared" si="4"/>
        <v>1.9084816252668733E-3</v>
      </c>
    </row>
    <row r="63" spans="1:19" x14ac:dyDescent="0.25">
      <c r="A63" s="42">
        <v>2.1349150476990499</v>
      </c>
      <c r="B63" s="42">
        <v>0.15781060617069501</v>
      </c>
      <c r="C63" s="34">
        <f t="shared" si="0"/>
        <v>1.9726325771336874E-3</v>
      </c>
      <c r="E63" s="42">
        <v>1.5813861960932101</v>
      </c>
      <c r="F63" s="42">
        <v>0.324866700052029</v>
      </c>
      <c r="G63" s="34">
        <f t="shared" si="1"/>
        <v>2.1657780003468598E-3</v>
      </c>
      <c r="I63" s="42">
        <v>1.7449711027958501</v>
      </c>
      <c r="J63" s="42">
        <v>0.44230199628774902</v>
      </c>
      <c r="K63" s="34">
        <f t="shared" si="2"/>
        <v>1.769207985150996E-3</v>
      </c>
      <c r="M63" s="42">
        <v>1.9648975244252</v>
      </c>
      <c r="N63" s="42">
        <v>0.56014089016025104</v>
      </c>
      <c r="O63" s="34">
        <f t="shared" si="3"/>
        <v>1.8671363005341702E-3</v>
      </c>
      <c r="Q63" s="42">
        <v>2.05314857178641</v>
      </c>
      <c r="R63" s="42">
        <v>0.85653499386813003</v>
      </c>
      <c r="S63" s="34">
        <f t="shared" si="4"/>
        <v>1.9034110974847334E-3</v>
      </c>
    </row>
    <row r="64" spans="1:19" x14ac:dyDescent="0.25">
      <c r="A64" s="42">
        <v>2.1751964636933701</v>
      </c>
      <c r="B64" s="42">
        <v>0.15649226368855401</v>
      </c>
      <c r="C64" s="34">
        <f t="shared" si="0"/>
        <v>1.956153296106925E-3</v>
      </c>
      <c r="E64" s="42">
        <v>1.6112236714912</v>
      </c>
      <c r="F64" s="42">
        <v>0.32439680562913298</v>
      </c>
      <c r="G64" s="34">
        <f t="shared" si="1"/>
        <v>2.1626453708608866E-3</v>
      </c>
      <c r="I64" s="42">
        <v>1.77789508586747</v>
      </c>
      <c r="J64" s="42">
        <v>0.44094557423367098</v>
      </c>
      <c r="K64" s="34">
        <f t="shared" si="2"/>
        <v>1.7637822969346839E-3</v>
      </c>
      <c r="M64" s="42">
        <v>2.0019710626218998</v>
      </c>
      <c r="N64" s="42">
        <v>0.55977598911094195</v>
      </c>
      <c r="O64" s="34">
        <f t="shared" si="3"/>
        <v>1.8659199637031398E-3</v>
      </c>
      <c r="Q64" s="42">
        <v>2.0918872240842701</v>
      </c>
      <c r="R64" s="42">
        <v>0.85429736447383597</v>
      </c>
      <c r="S64" s="34">
        <f t="shared" si="4"/>
        <v>1.8984385877196355E-3</v>
      </c>
    </row>
    <row r="65" spans="1:19" x14ac:dyDescent="0.25">
      <c r="A65" s="42">
        <v>2.2154778796876902</v>
      </c>
      <c r="B65" s="42">
        <v>0.155402445878488</v>
      </c>
      <c r="C65" s="34">
        <f t="shared" si="0"/>
        <v>1.9425305734811001E-3</v>
      </c>
      <c r="E65" s="42">
        <v>1.64106114688918</v>
      </c>
      <c r="F65" s="42">
        <v>0.320340113597811</v>
      </c>
      <c r="G65" s="34">
        <f t="shared" si="1"/>
        <v>2.1356007573187399E-3</v>
      </c>
      <c r="I65" s="42">
        <v>1.8108190689390899</v>
      </c>
      <c r="J65" s="42">
        <v>0.43888561248611901</v>
      </c>
      <c r="K65" s="34">
        <f t="shared" si="2"/>
        <v>1.7555424499444761E-3</v>
      </c>
      <c r="M65" s="42">
        <v>2.0390446008185998</v>
      </c>
      <c r="N65" s="42">
        <v>0.55801142614321497</v>
      </c>
      <c r="O65" s="34">
        <f t="shared" si="3"/>
        <v>1.8600380871440498E-3</v>
      </c>
      <c r="Q65" s="42">
        <v>2.1306258763821302</v>
      </c>
      <c r="R65" s="42">
        <v>0.85206747020528895</v>
      </c>
      <c r="S65" s="34">
        <f t="shared" si="4"/>
        <v>1.8934832671228643E-3</v>
      </c>
    </row>
    <row r="66" spans="1:19" x14ac:dyDescent="0.25">
      <c r="A66" s="42">
        <v>2.2557592956820098</v>
      </c>
      <c r="B66" s="42">
        <v>0.15453848900602399</v>
      </c>
      <c r="C66" s="34">
        <f t="shared" si="0"/>
        <v>1.9317311125752999E-3</v>
      </c>
      <c r="E66" s="42">
        <v>1.67089862228717</v>
      </c>
      <c r="F66" s="42">
        <v>0.31608170282092202</v>
      </c>
      <c r="G66" s="34">
        <f t="shared" si="1"/>
        <v>2.1072113521394802E-3</v>
      </c>
      <c r="I66" s="42">
        <v>1.8437430520107101</v>
      </c>
      <c r="J66" s="42">
        <v>0.43726835307782702</v>
      </c>
      <c r="K66" s="34">
        <f t="shared" si="2"/>
        <v>1.749073412311308E-3</v>
      </c>
      <c r="M66" s="42">
        <v>2.0761181390152998</v>
      </c>
      <c r="N66" s="42">
        <v>0.55685798983572599</v>
      </c>
      <c r="O66" s="34">
        <f t="shared" si="3"/>
        <v>1.85619329945242E-3</v>
      </c>
      <c r="Q66" s="42">
        <v>2.1693645286799801</v>
      </c>
      <c r="R66" s="42">
        <v>0.84970303374981804</v>
      </c>
      <c r="S66" s="34">
        <f t="shared" si="4"/>
        <v>1.8882289638884845E-3</v>
      </c>
    </row>
    <row r="67" spans="1:19" x14ac:dyDescent="0.25">
      <c r="A67" s="42">
        <v>2.2960407116763299</v>
      </c>
      <c r="B67" s="42">
        <v>0.153480181112603</v>
      </c>
      <c r="C67" s="34">
        <f t="shared" si="0"/>
        <v>1.9185022639075376E-3</v>
      </c>
      <c r="E67" s="42">
        <v>1.70073609768515</v>
      </c>
      <c r="F67" s="42">
        <v>0.31218913307214202</v>
      </c>
      <c r="G67" s="34">
        <f t="shared" si="1"/>
        <v>2.0812608871476133E-3</v>
      </c>
      <c r="I67" s="42">
        <v>1.87666703508233</v>
      </c>
      <c r="J67" s="42">
        <v>0.43618847844310199</v>
      </c>
      <c r="K67" s="34">
        <f t="shared" si="2"/>
        <v>1.7447539137724079E-3</v>
      </c>
      <c r="M67" s="42">
        <v>2.1131916772119999</v>
      </c>
      <c r="N67" s="42">
        <v>0.55442587235324303</v>
      </c>
      <c r="O67" s="34">
        <f t="shared" si="3"/>
        <v>1.8480862411774767E-3</v>
      </c>
      <c r="Q67" s="42">
        <v>2.2081031809778402</v>
      </c>
      <c r="R67" s="42">
        <v>0.84672664232446304</v>
      </c>
      <c r="S67" s="34">
        <f t="shared" si="4"/>
        <v>1.8816147607210289E-3</v>
      </c>
    </row>
    <row r="68" spans="1:19" x14ac:dyDescent="0.25">
      <c r="A68" s="42">
        <v>2.3363221276706598</v>
      </c>
      <c r="B68" s="42">
        <v>0.15222139560661199</v>
      </c>
      <c r="C68" s="34">
        <f t="shared" si="0"/>
        <v>1.9027674450826499E-3</v>
      </c>
      <c r="E68" s="42">
        <v>1.73057357308314</v>
      </c>
      <c r="F68" s="42">
        <v>0.30873068111482999</v>
      </c>
      <c r="G68" s="34">
        <f t="shared" si="1"/>
        <v>2.0582045407655332E-3</v>
      </c>
      <c r="I68" s="42">
        <v>1.9095910181539499</v>
      </c>
      <c r="J68" s="42">
        <v>0.435671654171636</v>
      </c>
      <c r="K68" s="34">
        <f t="shared" si="2"/>
        <v>1.7426866166865441E-3</v>
      </c>
      <c r="M68" s="42">
        <v>2.1502652154086999</v>
      </c>
      <c r="N68" s="42">
        <v>0.55244396308517096</v>
      </c>
      <c r="O68" s="34">
        <f t="shared" si="3"/>
        <v>1.8414798769505699E-3</v>
      </c>
      <c r="Q68" s="42">
        <v>2.2468418332756999</v>
      </c>
      <c r="R68" s="42">
        <v>0.84379241511636505</v>
      </c>
      <c r="S68" s="34">
        <f t="shared" si="4"/>
        <v>1.8750942558141445E-3</v>
      </c>
    </row>
    <row r="69" spans="1:19" x14ac:dyDescent="0.25">
      <c r="A69" s="42">
        <v>2.3766035436649799</v>
      </c>
      <c r="B69" s="42">
        <v>0.151176100211495</v>
      </c>
      <c r="C69" s="34">
        <f t="shared" si="0"/>
        <v>1.8897012526436874E-3</v>
      </c>
      <c r="E69" s="42">
        <v>1.76041104848112</v>
      </c>
      <c r="F69" s="42">
        <v>0.30563173143490002</v>
      </c>
      <c r="G69" s="34">
        <f t="shared" si="1"/>
        <v>2.0375448762326668E-3</v>
      </c>
      <c r="I69" s="42">
        <v>1.9425150012255701</v>
      </c>
      <c r="J69" s="42">
        <v>0.43429587861167102</v>
      </c>
      <c r="K69" s="34">
        <f t="shared" si="2"/>
        <v>1.737183514446684E-3</v>
      </c>
      <c r="M69" s="42">
        <v>2.1873387536054101</v>
      </c>
      <c r="N69" s="42">
        <v>0.55110502769244696</v>
      </c>
      <c r="O69" s="34">
        <f t="shared" si="3"/>
        <v>1.8370167589748232E-3</v>
      </c>
      <c r="Q69" s="42">
        <v>2.2855804855735502</v>
      </c>
      <c r="R69" s="42">
        <v>0.84063879795940299</v>
      </c>
      <c r="S69" s="34">
        <f t="shared" si="4"/>
        <v>1.8680862176875621E-3</v>
      </c>
    </row>
    <row r="70" spans="1:19" x14ac:dyDescent="0.25">
      <c r="A70" s="42">
        <v>2.4168849596593001</v>
      </c>
      <c r="B70" s="42">
        <v>0.15034478283611499</v>
      </c>
      <c r="C70" s="34">
        <f t="shared" si="0"/>
        <v>1.8793097854514374E-3</v>
      </c>
      <c r="E70" s="42">
        <v>1.7902485238791099</v>
      </c>
      <c r="F70" s="42">
        <v>0.30296872403929997</v>
      </c>
      <c r="G70" s="34">
        <f t="shared" si="1"/>
        <v>2.019791493595333E-3</v>
      </c>
      <c r="I70" s="42">
        <v>1.97543898429719</v>
      </c>
      <c r="J70" s="42">
        <v>0.432488706818077</v>
      </c>
      <c r="K70" s="34">
        <f t="shared" si="2"/>
        <v>1.7299548272723081E-3</v>
      </c>
      <c r="M70" s="42">
        <v>2.2244122918021101</v>
      </c>
      <c r="N70" s="42">
        <v>0.55037869026438102</v>
      </c>
      <c r="O70" s="34">
        <f t="shared" si="3"/>
        <v>1.8345956342146034E-3</v>
      </c>
      <c r="Q70" s="42">
        <v>2.3243191378714099</v>
      </c>
      <c r="R70" s="42">
        <v>0.83743018361757504</v>
      </c>
      <c r="S70" s="34">
        <f t="shared" si="4"/>
        <v>1.8609559635946113E-3</v>
      </c>
    </row>
    <row r="71" spans="1:19" x14ac:dyDescent="0.25">
      <c r="A71" s="42">
        <v>2.4571663756536202</v>
      </c>
      <c r="B71" s="42">
        <v>0.149365387544767</v>
      </c>
      <c r="C71" s="34">
        <f t="shared" si="0"/>
        <v>1.8670673443095874E-3</v>
      </c>
      <c r="E71" s="42">
        <v>1.8200859992770899</v>
      </c>
      <c r="F71" s="42">
        <v>0.30003829576107699</v>
      </c>
      <c r="G71" s="34">
        <f t="shared" si="1"/>
        <v>2.0002553050738467E-3</v>
      </c>
      <c r="I71" s="42">
        <v>2.0083629673688099</v>
      </c>
      <c r="J71" s="42">
        <v>0.43128043089576401</v>
      </c>
      <c r="K71" s="34">
        <f t="shared" si="2"/>
        <v>1.7251217235830561E-3</v>
      </c>
      <c r="M71" s="42">
        <v>2.2614858299988101</v>
      </c>
      <c r="N71" s="42">
        <v>0.54912433060460997</v>
      </c>
      <c r="O71" s="34">
        <f t="shared" si="3"/>
        <v>1.8304144353486998E-3</v>
      </c>
      <c r="Q71" s="42">
        <v>2.36305779016927</v>
      </c>
      <c r="R71" s="42">
        <v>0.83390687668733998</v>
      </c>
      <c r="S71" s="34">
        <f t="shared" si="4"/>
        <v>1.8531263926385333E-3</v>
      </c>
    </row>
    <row r="72" spans="1:19" x14ac:dyDescent="0.25">
      <c r="A72" s="42">
        <v>2.4974477916479398</v>
      </c>
      <c r="B72" s="42">
        <v>0.148212021402778</v>
      </c>
      <c r="C72" s="34">
        <f t="shared" si="0"/>
        <v>1.852650267534725E-3</v>
      </c>
      <c r="E72" s="42">
        <v>1.8499234746750799</v>
      </c>
      <c r="F72" s="42">
        <v>0.29708015018584399</v>
      </c>
      <c r="G72" s="34">
        <f t="shared" si="1"/>
        <v>1.9805343345722934E-3</v>
      </c>
      <c r="I72" s="42">
        <v>2.0412869504404298</v>
      </c>
      <c r="J72" s="42">
        <v>0.43069220392454599</v>
      </c>
      <c r="K72" s="34">
        <f t="shared" si="2"/>
        <v>1.7227688156981839E-3</v>
      </c>
      <c r="M72" s="42">
        <v>2.2985593681955101</v>
      </c>
      <c r="N72" s="42">
        <v>0.54783970646285796</v>
      </c>
      <c r="O72" s="34">
        <f t="shared" si="3"/>
        <v>1.8261323548761932E-3</v>
      </c>
      <c r="Q72" s="42">
        <v>2.4017964424671199</v>
      </c>
      <c r="R72" s="42">
        <v>0.83044307157819097</v>
      </c>
      <c r="S72" s="34">
        <f t="shared" si="4"/>
        <v>1.8454290479515355E-3</v>
      </c>
    </row>
    <row r="73" spans="1:19" x14ac:dyDescent="0.25">
      <c r="A73" s="42">
        <v>2.53772920764226</v>
      </c>
      <c r="B73" s="42">
        <v>0.14726595632481199</v>
      </c>
      <c r="C73" s="34">
        <f t="shared" si="0"/>
        <v>1.8408244540601497E-3</v>
      </c>
      <c r="E73" s="42">
        <v>1.8797609500730601</v>
      </c>
      <c r="F73" s="42">
        <v>0.29345561936937697</v>
      </c>
      <c r="G73" s="34">
        <f t="shared" si="1"/>
        <v>1.9563707957958466E-3</v>
      </c>
      <c r="I73" s="42">
        <v>2.0742109335120502</v>
      </c>
      <c r="J73" s="42">
        <v>0.43075949211860898</v>
      </c>
      <c r="K73" s="34">
        <f t="shared" si="2"/>
        <v>1.7230379684744358E-3</v>
      </c>
      <c r="M73" s="42">
        <v>2.3356329063922101</v>
      </c>
      <c r="N73" s="42">
        <v>0.54723047152844295</v>
      </c>
      <c r="O73" s="34">
        <f t="shared" si="3"/>
        <v>1.8241015717614766E-3</v>
      </c>
      <c r="Q73" s="42">
        <v>2.44053509476498</v>
      </c>
      <c r="R73" s="42">
        <v>0.82715203822181405</v>
      </c>
      <c r="S73" s="34">
        <f t="shared" si="4"/>
        <v>1.8381156404929202E-3</v>
      </c>
    </row>
    <row r="74" spans="1:19" x14ac:dyDescent="0.25">
      <c r="A74" s="42">
        <v>2.5780106236365898</v>
      </c>
      <c r="B74" s="42">
        <v>0.14652272959422899</v>
      </c>
      <c r="C74" s="34">
        <f t="shared" ref="C74:C137" si="5">IF(OR(B74="",B$4=""),"",B74/B$4)</f>
        <v>1.8315341199278625E-3</v>
      </c>
      <c r="E74" s="42">
        <v>1.9095984254710501</v>
      </c>
      <c r="F74" s="42">
        <v>0.289181802530878</v>
      </c>
      <c r="G74" s="34">
        <f t="shared" ref="G74:G137" si="6">IF(OR(F74="",F$4=""),"",F74/F$4)</f>
        <v>1.9278786835391867E-3</v>
      </c>
      <c r="I74" s="42">
        <v>2.1071349165836701</v>
      </c>
      <c r="J74" s="42">
        <v>0.42949617066067602</v>
      </c>
      <c r="K74" s="34">
        <f t="shared" ref="K74:K137" si="7">IF(OR(J74="",J$4=""),"",J74/J$4)</f>
        <v>1.7179846826427042E-3</v>
      </c>
      <c r="M74" s="42">
        <v>2.3727064445889199</v>
      </c>
      <c r="N74" s="42">
        <v>0.547211812622863</v>
      </c>
      <c r="O74" s="34">
        <f t="shared" ref="O74:O137" si="8">IF(OR(N74="",N$4=""),"",N74/N$4)</f>
        <v>1.8240393754095433E-3</v>
      </c>
      <c r="Q74" s="42">
        <v>2.4792737470628401</v>
      </c>
      <c r="R74" s="42">
        <v>0.82378708958929703</v>
      </c>
      <c r="S74" s="34">
        <f t="shared" ref="S74:S137" si="9">IF(OR(R74="",R$4=""),"",R74/R$4)</f>
        <v>1.8306379768651044E-3</v>
      </c>
    </row>
    <row r="75" spans="1:19" x14ac:dyDescent="0.25">
      <c r="A75" s="42">
        <v>2.61829203963091</v>
      </c>
      <c r="B75" s="42">
        <v>0.14485596852240901</v>
      </c>
      <c r="C75" s="34">
        <f t="shared" si="5"/>
        <v>1.8106996065301126E-3</v>
      </c>
      <c r="E75" s="42">
        <v>1.9394359008690301</v>
      </c>
      <c r="F75" s="42">
        <v>0.28516900249563298</v>
      </c>
      <c r="G75" s="34">
        <f t="shared" si="6"/>
        <v>1.9011266833042198E-3</v>
      </c>
      <c r="I75" s="42">
        <v>2.1400588996552901</v>
      </c>
      <c r="J75" s="42">
        <v>0.42784358632250502</v>
      </c>
      <c r="K75" s="34">
        <f t="shared" si="7"/>
        <v>1.71137434529002E-3</v>
      </c>
      <c r="M75" s="42">
        <v>2.4097799827856199</v>
      </c>
      <c r="N75" s="42">
        <v>0.54720039237558904</v>
      </c>
      <c r="O75" s="34">
        <f t="shared" si="8"/>
        <v>1.8240013079186301E-3</v>
      </c>
      <c r="Q75" s="42">
        <v>2.5180123993607002</v>
      </c>
      <c r="R75" s="42">
        <v>0.82033727348478802</v>
      </c>
      <c r="S75" s="34">
        <f t="shared" si="9"/>
        <v>1.8229717188550845E-3</v>
      </c>
    </row>
    <row r="76" spans="1:19" x14ac:dyDescent="0.25">
      <c r="A76" s="42">
        <v>2.6585734556252301</v>
      </c>
      <c r="B76" s="42">
        <v>0.14284982067303401</v>
      </c>
      <c r="C76" s="34">
        <f t="shared" si="5"/>
        <v>1.7856227584129251E-3</v>
      </c>
      <c r="E76" s="42">
        <v>1.96927337626702</v>
      </c>
      <c r="F76" s="42">
        <v>0.28143126954125303</v>
      </c>
      <c r="G76" s="34">
        <f t="shared" si="6"/>
        <v>1.8762084636083536E-3</v>
      </c>
      <c r="I76" s="42">
        <v>2.17298288272691</v>
      </c>
      <c r="J76" s="42">
        <v>0.42629873692320702</v>
      </c>
      <c r="K76" s="34">
        <f t="shared" si="7"/>
        <v>1.705194947692828E-3</v>
      </c>
      <c r="M76" s="42">
        <v>2.4468535209823199</v>
      </c>
      <c r="N76" s="42">
        <v>0.54656815187309205</v>
      </c>
      <c r="O76" s="34">
        <f t="shared" si="8"/>
        <v>1.8218938395769735E-3</v>
      </c>
      <c r="Q76" s="42">
        <v>2.5567510516585501</v>
      </c>
      <c r="R76" s="42">
        <v>0.81694114446282495</v>
      </c>
      <c r="S76" s="34">
        <f t="shared" si="9"/>
        <v>1.8154247654729443E-3</v>
      </c>
    </row>
    <row r="77" spans="1:19" x14ac:dyDescent="0.25">
      <c r="A77" s="42">
        <v>2.6988548716195502</v>
      </c>
      <c r="B77" s="42">
        <v>0.14100061754726101</v>
      </c>
      <c r="C77" s="34">
        <f t="shared" si="5"/>
        <v>1.7625077193407627E-3</v>
      </c>
      <c r="E77" s="42">
        <v>1.999110851665</v>
      </c>
      <c r="F77" s="42">
        <v>0.27792266008268102</v>
      </c>
      <c r="G77" s="34">
        <f t="shared" si="6"/>
        <v>1.85281773388454E-3</v>
      </c>
      <c r="I77" s="42">
        <v>2.2059068657985299</v>
      </c>
      <c r="J77" s="42">
        <v>0.421362361209565</v>
      </c>
      <c r="K77" s="34">
        <f t="shared" si="7"/>
        <v>1.6854494448382601E-3</v>
      </c>
      <c r="M77" s="42">
        <v>2.4839270591790199</v>
      </c>
      <c r="N77" s="42">
        <v>0.54639773170212302</v>
      </c>
      <c r="O77" s="34">
        <f t="shared" si="8"/>
        <v>1.8213257723404101E-3</v>
      </c>
      <c r="Q77" s="42">
        <v>2.5954897039564102</v>
      </c>
      <c r="R77" s="42">
        <v>0.81380837568935704</v>
      </c>
      <c r="S77" s="34">
        <f t="shared" si="9"/>
        <v>1.8084630570874601E-3</v>
      </c>
    </row>
    <row r="78" spans="1:19" x14ac:dyDescent="0.25">
      <c r="A78" s="42">
        <v>2.7391362876138698</v>
      </c>
      <c r="B78" s="42">
        <v>0.13930837469795601</v>
      </c>
      <c r="C78" s="34">
        <f t="shared" si="5"/>
        <v>1.7413546837244502E-3</v>
      </c>
      <c r="E78" s="42">
        <v>2.0289483270629902</v>
      </c>
      <c r="F78" s="42">
        <v>0.27432768802511098</v>
      </c>
      <c r="G78" s="34">
        <f t="shared" si="6"/>
        <v>1.82885125350074E-3</v>
      </c>
      <c r="I78" s="42">
        <v>2.2388308488701498</v>
      </c>
      <c r="J78" s="42">
        <v>0.41740407677569602</v>
      </c>
      <c r="K78" s="34">
        <f t="shared" si="7"/>
        <v>1.669616307102784E-3</v>
      </c>
      <c r="M78" s="42">
        <v>2.5210005973757199</v>
      </c>
      <c r="N78" s="42">
        <v>0.54346420138308205</v>
      </c>
      <c r="O78" s="34">
        <f t="shared" si="8"/>
        <v>1.8115473379436068E-3</v>
      </c>
      <c r="Q78" s="42">
        <v>2.6342283562542699</v>
      </c>
      <c r="R78" s="42">
        <v>0.81043075930240205</v>
      </c>
      <c r="S78" s="34">
        <f t="shared" si="9"/>
        <v>1.8009572428942268E-3</v>
      </c>
    </row>
    <row r="79" spans="1:19" x14ac:dyDescent="0.25">
      <c r="A79" s="42">
        <v>2.77941770360819</v>
      </c>
      <c r="B79" s="42">
        <v>0.13760377801960699</v>
      </c>
      <c r="C79" s="34">
        <f t="shared" si="5"/>
        <v>1.7200472252450875E-3</v>
      </c>
      <c r="E79" s="42">
        <v>2.05878580246097</v>
      </c>
      <c r="F79" s="42">
        <v>0.27107413799622698</v>
      </c>
      <c r="G79" s="34">
        <f t="shared" si="6"/>
        <v>1.8071609199748464E-3</v>
      </c>
      <c r="I79" s="42">
        <v>2.2717548319417702</v>
      </c>
      <c r="J79" s="42">
        <v>0.411669331704686</v>
      </c>
      <c r="K79" s="34">
        <f t="shared" si="7"/>
        <v>1.646677326818744E-3</v>
      </c>
      <c r="M79" s="42">
        <v>2.5580741355724199</v>
      </c>
      <c r="N79" s="42">
        <v>0.53992415457645504</v>
      </c>
      <c r="O79" s="34">
        <f t="shared" si="8"/>
        <v>1.7997471819215169E-3</v>
      </c>
      <c r="Q79" s="42">
        <v>2.6729670085521202</v>
      </c>
      <c r="R79" s="42">
        <v>0.80676081650278297</v>
      </c>
      <c r="S79" s="34">
        <f t="shared" si="9"/>
        <v>1.7928018144506288E-3</v>
      </c>
    </row>
    <row r="80" spans="1:19" x14ac:dyDescent="0.25">
      <c r="A80" s="42">
        <v>2.8196991196025198</v>
      </c>
      <c r="B80" s="42">
        <v>0.135878100224927</v>
      </c>
      <c r="C80" s="34">
        <f t="shared" si="5"/>
        <v>1.6984762528115874E-3</v>
      </c>
      <c r="E80" s="42">
        <v>2.08862327785896</v>
      </c>
      <c r="F80" s="42">
        <v>0.26814453447264502</v>
      </c>
      <c r="G80" s="34">
        <f t="shared" si="6"/>
        <v>1.7876302298176336E-3</v>
      </c>
      <c r="I80" s="42">
        <v>2.3046788150133901</v>
      </c>
      <c r="J80" s="42">
        <v>0.40611248309565001</v>
      </c>
      <c r="K80" s="34">
        <f t="shared" si="7"/>
        <v>1.6244499323826E-3</v>
      </c>
      <c r="M80" s="42">
        <v>2.5951476737691301</v>
      </c>
      <c r="N80" s="42">
        <v>0.53541503406888402</v>
      </c>
      <c r="O80" s="34">
        <f t="shared" si="8"/>
        <v>1.7847167802296133E-3</v>
      </c>
      <c r="Q80" s="42">
        <v>2.7117056608499799</v>
      </c>
      <c r="R80" s="42">
        <v>0.80307051434252397</v>
      </c>
      <c r="S80" s="34">
        <f t="shared" si="9"/>
        <v>1.7846011429833867E-3</v>
      </c>
    </row>
    <row r="81" spans="1:19" x14ac:dyDescent="0.25">
      <c r="A81" s="42">
        <v>2.85998053559684</v>
      </c>
      <c r="B81" s="42">
        <v>0.13431998481152699</v>
      </c>
      <c r="C81" s="34">
        <f t="shared" si="5"/>
        <v>1.6789998101440873E-3</v>
      </c>
      <c r="E81" s="42">
        <v>2.1184607532569402</v>
      </c>
      <c r="F81" s="42">
        <v>0.26446116373367801</v>
      </c>
      <c r="G81" s="34">
        <f t="shared" si="6"/>
        <v>1.7630744248911868E-3</v>
      </c>
      <c r="I81" s="42">
        <v>2.33760279808501</v>
      </c>
      <c r="J81" s="42">
        <v>0.40157278032261301</v>
      </c>
      <c r="K81" s="34">
        <f t="shared" si="7"/>
        <v>1.606291121290452E-3</v>
      </c>
      <c r="M81" s="42">
        <v>2.6322212119658301</v>
      </c>
      <c r="N81" s="42">
        <v>0.53147732320366103</v>
      </c>
      <c r="O81" s="34">
        <f t="shared" si="8"/>
        <v>1.7715910773455368E-3</v>
      </c>
      <c r="Q81" s="42">
        <v>2.75044431314784</v>
      </c>
      <c r="R81" s="42">
        <v>0.79931647654692095</v>
      </c>
      <c r="S81" s="34">
        <f t="shared" si="9"/>
        <v>1.7762588367709355E-3</v>
      </c>
    </row>
    <row r="82" spans="1:19" x14ac:dyDescent="0.25">
      <c r="A82" s="42">
        <v>2.9002619515911601</v>
      </c>
      <c r="B82" s="42">
        <v>0.13292906464450299</v>
      </c>
      <c r="C82" s="34">
        <f t="shared" si="5"/>
        <v>1.6616133080562874E-3</v>
      </c>
      <c r="E82" s="42">
        <v>2.1482982286549301</v>
      </c>
      <c r="F82" s="42">
        <v>0.260586784345816</v>
      </c>
      <c r="G82" s="34">
        <f t="shared" si="6"/>
        <v>1.7372452289721068E-3</v>
      </c>
      <c r="I82" s="42">
        <v>2.37052678115663</v>
      </c>
      <c r="J82" s="42">
        <v>0.39818700320454598</v>
      </c>
      <c r="K82" s="34">
        <f t="shared" si="7"/>
        <v>1.592748012818184E-3</v>
      </c>
      <c r="M82" s="42">
        <v>2.6692947501625301</v>
      </c>
      <c r="N82" s="42">
        <v>0.52814043872538596</v>
      </c>
      <c r="O82" s="34">
        <f t="shared" si="8"/>
        <v>1.7604681290846198E-3</v>
      </c>
      <c r="Q82" s="42">
        <v>2.7891829654456899</v>
      </c>
      <c r="R82" s="42">
        <v>0.79486745733358299</v>
      </c>
      <c r="S82" s="34">
        <f t="shared" si="9"/>
        <v>1.7663721274079622E-3</v>
      </c>
    </row>
    <row r="83" spans="1:19" x14ac:dyDescent="0.25">
      <c r="A83" s="42">
        <v>2.9405433675854802</v>
      </c>
      <c r="B83" s="42">
        <v>0.131662134155315</v>
      </c>
      <c r="C83" s="34">
        <f t="shared" si="5"/>
        <v>1.6457766769414374E-3</v>
      </c>
      <c r="E83" s="42">
        <v>2.1781357040529099</v>
      </c>
      <c r="F83" s="42">
        <v>0.25689949342445201</v>
      </c>
      <c r="G83" s="34">
        <f t="shared" si="6"/>
        <v>1.7126632894963467E-3</v>
      </c>
      <c r="I83" s="42">
        <v>2.4034507642282499</v>
      </c>
      <c r="J83" s="42">
        <v>0.39603916383846</v>
      </c>
      <c r="K83" s="34">
        <f t="shared" si="7"/>
        <v>1.58415665535384E-3</v>
      </c>
      <c r="M83" s="42">
        <v>2.7063682883592302</v>
      </c>
      <c r="N83" s="42">
        <v>0.52537337750512203</v>
      </c>
      <c r="O83" s="34">
        <f t="shared" si="8"/>
        <v>1.7512445916837401E-3</v>
      </c>
      <c r="Q83" s="42">
        <v>2.82792161774355</v>
      </c>
      <c r="R83" s="42">
        <v>0.78933673076629696</v>
      </c>
      <c r="S83" s="34">
        <f t="shared" si="9"/>
        <v>1.7540816239251043E-3</v>
      </c>
    </row>
    <row r="84" spans="1:19" x14ac:dyDescent="0.25">
      <c r="A84" s="42">
        <v>2.9808247835797999</v>
      </c>
      <c r="B84" s="42">
        <v>0.130514075903327</v>
      </c>
      <c r="C84" s="34">
        <f t="shared" si="5"/>
        <v>1.6314259487915875E-3</v>
      </c>
      <c r="E84" s="42">
        <v>2.2079731794508999</v>
      </c>
      <c r="F84" s="42">
        <v>0.25330945024694101</v>
      </c>
      <c r="G84" s="34">
        <f t="shared" si="6"/>
        <v>1.6887296683129401E-3</v>
      </c>
      <c r="I84" s="42">
        <v>2.4363747472998698</v>
      </c>
      <c r="J84" s="42">
        <v>0.391943657940938</v>
      </c>
      <c r="K84" s="34">
        <f t="shared" si="7"/>
        <v>1.5677746317637521E-3</v>
      </c>
      <c r="M84" s="42">
        <v>2.7434418265559302</v>
      </c>
      <c r="N84" s="42">
        <v>0.52192615309564405</v>
      </c>
      <c r="O84" s="34">
        <f t="shared" si="8"/>
        <v>1.7397538436521468E-3</v>
      </c>
      <c r="Q84" s="42">
        <v>2.8666602700414101</v>
      </c>
      <c r="R84" s="42">
        <v>0.78360914214522503</v>
      </c>
      <c r="S84" s="34">
        <f t="shared" si="9"/>
        <v>1.7413536492116113E-3</v>
      </c>
    </row>
    <row r="85" spans="1:19" x14ac:dyDescent="0.25">
      <c r="A85" s="42">
        <v>3.02110619957412</v>
      </c>
      <c r="B85" s="42">
        <v>0.129513950959322</v>
      </c>
      <c r="C85" s="34">
        <f t="shared" si="5"/>
        <v>1.6189243869915251E-3</v>
      </c>
      <c r="E85" s="42">
        <v>2.2378106548488801</v>
      </c>
      <c r="F85" s="42">
        <v>0.24983099564011901</v>
      </c>
      <c r="G85" s="34">
        <f t="shared" si="6"/>
        <v>1.6655399709341267E-3</v>
      </c>
      <c r="I85" s="42">
        <v>2.4692987303714902</v>
      </c>
      <c r="J85" s="42">
        <v>0.38819041185345698</v>
      </c>
      <c r="K85" s="34">
        <f t="shared" si="7"/>
        <v>1.552761647413828E-3</v>
      </c>
      <c r="M85" s="42">
        <v>2.7805153647526399</v>
      </c>
      <c r="N85" s="42">
        <v>0.51839861778525798</v>
      </c>
      <c r="O85" s="34">
        <f t="shared" si="8"/>
        <v>1.7279953926175266E-3</v>
      </c>
      <c r="Q85" s="42">
        <v>2.90539892233926</v>
      </c>
      <c r="R85" s="42">
        <v>0.77765900449261705</v>
      </c>
      <c r="S85" s="34">
        <f t="shared" si="9"/>
        <v>1.7281311210947045E-3</v>
      </c>
    </row>
    <row r="86" spans="1:19" x14ac:dyDescent="0.25">
      <c r="A86" s="42">
        <v>3.0613876155684498</v>
      </c>
      <c r="B86" s="42">
        <v>0.12812172305727501</v>
      </c>
      <c r="C86" s="34">
        <f t="shared" si="5"/>
        <v>1.6015215382159376E-3</v>
      </c>
      <c r="E86" s="42">
        <v>2.2676481302468701</v>
      </c>
      <c r="F86" s="42">
        <v>0.24679913445297799</v>
      </c>
      <c r="G86" s="34">
        <f t="shared" si="6"/>
        <v>1.6453275630198532E-3</v>
      </c>
      <c r="I86" s="42">
        <v>2.5022227134431101</v>
      </c>
      <c r="J86" s="42">
        <v>0.38581591546490102</v>
      </c>
      <c r="K86" s="34">
        <f t="shared" si="7"/>
        <v>1.543263661859604E-3</v>
      </c>
      <c r="M86" s="42">
        <v>2.8175889029493399</v>
      </c>
      <c r="N86" s="42">
        <v>0.51546494100557605</v>
      </c>
      <c r="O86" s="34">
        <f t="shared" si="8"/>
        <v>1.7182164700185868E-3</v>
      </c>
      <c r="Q86" s="42">
        <v>2.9441375746371201</v>
      </c>
      <c r="R86" s="42">
        <v>0.77035502203025297</v>
      </c>
      <c r="S86" s="34">
        <f t="shared" si="9"/>
        <v>1.7119000489561177E-3</v>
      </c>
    </row>
    <row r="87" spans="1:19" x14ac:dyDescent="0.25">
      <c r="A87" s="42">
        <v>3.10166903156277</v>
      </c>
      <c r="B87" s="42">
        <v>0.12622213687228201</v>
      </c>
      <c r="C87" s="34">
        <f t="shared" si="5"/>
        <v>1.5777767109035252E-3</v>
      </c>
      <c r="E87" s="42">
        <v>2.2974856056448498</v>
      </c>
      <c r="F87" s="42">
        <v>0.24418278507536301</v>
      </c>
      <c r="G87" s="34">
        <f t="shared" si="6"/>
        <v>1.6278852338357534E-3</v>
      </c>
      <c r="I87" s="42">
        <v>2.53514669651473</v>
      </c>
      <c r="J87" s="42">
        <v>0.38462013826067498</v>
      </c>
      <c r="K87" s="34">
        <f t="shared" si="7"/>
        <v>1.5384805530427E-3</v>
      </c>
      <c r="M87" s="42">
        <v>2.85466244114604</v>
      </c>
      <c r="N87" s="42">
        <v>0.513128764825311</v>
      </c>
      <c r="O87" s="34">
        <f t="shared" si="8"/>
        <v>1.7104292160843701E-3</v>
      </c>
      <c r="Q87" s="42">
        <v>2.9828762269349798</v>
      </c>
      <c r="R87" s="42">
        <v>0.76159663461490901</v>
      </c>
      <c r="S87" s="34">
        <f t="shared" si="9"/>
        <v>1.692436965810909E-3</v>
      </c>
    </row>
    <row r="88" spans="1:19" x14ac:dyDescent="0.25">
      <c r="A88" s="42">
        <v>3.1419504475570901</v>
      </c>
      <c r="B88" s="42">
        <v>0.12449520008397</v>
      </c>
      <c r="C88" s="34">
        <f t="shared" si="5"/>
        <v>1.5561900010496251E-3</v>
      </c>
      <c r="E88" s="42">
        <v>2.3273230810428398</v>
      </c>
      <c r="F88" s="42">
        <v>0.24190726601718801</v>
      </c>
      <c r="G88" s="34">
        <f t="shared" si="6"/>
        <v>1.6127151067812534E-3</v>
      </c>
      <c r="I88" s="42">
        <v>2.5680706795863499</v>
      </c>
      <c r="J88" s="42">
        <v>0.38191915657769498</v>
      </c>
      <c r="K88" s="34">
        <f t="shared" si="7"/>
        <v>1.5276766263107799E-3</v>
      </c>
      <c r="M88" s="42">
        <v>2.89173597934274</v>
      </c>
      <c r="N88" s="42">
        <v>0.51058720618851305</v>
      </c>
      <c r="O88" s="34">
        <f t="shared" si="8"/>
        <v>1.7019573539617102E-3</v>
      </c>
      <c r="Q88" s="42">
        <v>3.0216148792328301</v>
      </c>
      <c r="R88" s="42">
        <v>0.75304583856629603</v>
      </c>
      <c r="S88" s="34">
        <f t="shared" si="9"/>
        <v>1.6734351968139911E-3</v>
      </c>
    </row>
    <row r="89" spans="1:19" x14ac:dyDescent="0.25">
      <c r="A89" s="42">
        <v>3.1822318635514102</v>
      </c>
      <c r="B89" s="42">
        <v>0.122909207222161</v>
      </c>
      <c r="C89" s="34">
        <f t="shared" si="5"/>
        <v>1.5363650902770125E-3</v>
      </c>
      <c r="E89" s="42">
        <v>2.35716055644082</v>
      </c>
      <c r="F89" s="42">
        <v>0.238854635463434</v>
      </c>
      <c r="G89" s="34">
        <f t="shared" si="6"/>
        <v>1.5923642364228934E-3</v>
      </c>
      <c r="I89" s="42">
        <v>2.6009946626579699</v>
      </c>
      <c r="J89" s="42">
        <v>0.37409368191049902</v>
      </c>
      <c r="K89" s="34">
        <f t="shared" si="7"/>
        <v>1.4963747276419961E-3</v>
      </c>
      <c r="M89" s="42">
        <v>2.92880951753944</v>
      </c>
      <c r="N89" s="42">
        <v>0.50724920089793701</v>
      </c>
      <c r="O89" s="34">
        <f t="shared" si="8"/>
        <v>1.69083066965979E-3</v>
      </c>
      <c r="Q89" s="42">
        <v>3.0603535315306898</v>
      </c>
      <c r="R89" s="42">
        <v>0.744842740795159</v>
      </c>
      <c r="S89" s="34">
        <f t="shared" si="9"/>
        <v>1.655206090655909E-3</v>
      </c>
    </row>
    <row r="90" spans="1:19" x14ac:dyDescent="0.25">
      <c r="A90" s="42">
        <v>3.2225132795457299</v>
      </c>
      <c r="B90" s="42">
        <v>0.121463501812586</v>
      </c>
      <c r="C90" s="34">
        <f t="shared" si="5"/>
        <v>1.518293772657325E-3</v>
      </c>
      <c r="E90" s="42">
        <v>2.38699803183881</v>
      </c>
      <c r="F90" s="42">
        <v>0.23598140873384199</v>
      </c>
      <c r="G90" s="34">
        <f t="shared" si="6"/>
        <v>1.5732093915589466E-3</v>
      </c>
      <c r="I90" s="42">
        <v>2.6339186457295898</v>
      </c>
      <c r="J90" s="42">
        <v>0.36628254607649302</v>
      </c>
      <c r="K90" s="34">
        <f t="shared" si="7"/>
        <v>1.465130184305972E-3</v>
      </c>
      <c r="M90" s="42">
        <v>2.96588305573614</v>
      </c>
      <c r="N90" s="42">
        <v>0.50457499609812095</v>
      </c>
      <c r="O90" s="34">
        <f t="shared" si="8"/>
        <v>1.6819166536604032E-3</v>
      </c>
      <c r="Q90" s="42">
        <v>3.0990921838285499</v>
      </c>
      <c r="R90" s="42">
        <v>0.73564638186402698</v>
      </c>
      <c r="S90" s="34">
        <f t="shared" si="9"/>
        <v>1.6347697374756154E-3</v>
      </c>
    </row>
    <row r="91" spans="1:19" x14ac:dyDescent="0.25">
      <c r="A91" s="42">
        <v>3.26279469554005</v>
      </c>
      <c r="B91" s="42">
        <v>0.120193930369805</v>
      </c>
      <c r="C91" s="34">
        <f t="shared" si="5"/>
        <v>1.5024241296225625E-3</v>
      </c>
      <c r="E91" s="42">
        <v>2.4168355072368</v>
      </c>
      <c r="F91" s="42">
        <v>0.232608560127399</v>
      </c>
      <c r="G91" s="34">
        <f t="shared" si="6"/>
        <v>1.5507237341826599E-3</v>
      </c>
      <c r="I91" s="42">
        <v>2.6668426288012101</v>
      </c>
      <c r="J91" s="42">
        <v>0.36041913748870102</v>
      </c>
      <c r="K91" s="34">
        <f t="shared" si="7"/>
        <v>1.4416765499548042E-3</v>
      </c>
      <c r="M91" s="42">
        <v>3.0029565939328502</v>
      </c>
      <c r="N91" s="42">
        <v>0.499381141735526</v>
      </c>
      <c r="O91" s="34">
        <f t="shared" si="8"/>
        <v>1.6646038057850866E-3</v>
      </c>
      <c r="Q91" s="42">
        <v>3.13783083612641</v>
      </c>
      <c r="R91" s="42">
        <v>0.72523548368893598</v>
      </c>
      <c r="S91" s="34">
        <f t="shared" si="9"/>
        <v>1.6116344081976354E-3</v>
      </c>
    </row>
    <row r="92" spans="1:19" x14ac:dyDescent="0.25">
      <c r="A92" s="42">
        <v>3.3030761115343799</v>
      </c>
      <c r="B92" s="42">
        <v>0.119134453628176</v>
      </c>
      <c r="C92" s="34">
        <f t="shared" si="5"/>
        <v>1.4891806703522001E-3</v>
      </c>
      <c r="E92" s="42">
        <v>2.4466729826347802</v>
      </c>
      <c r="F92" s="42">
        <v>0.22939780658453399</v>
      </c>
      <c r="G92" s="34">
        <f t="shared" si="6"/>
        <v>1.5293187105635598E-3</v>
      </c>
      <c r="I92" s="42">
        <v>2.6997666118728301</v>
      </c>
      <c r="J92" s="42">
        <v>0.356803229304127</v>
      </c>
      <c r="K92" s="34">
        <f t="shared" si="7"/>
        <v>1.427212917216508E-3</v>
      </c>
      <c r="M92" s="42">
        <v>3.0400301321295502</v>
      </c>
      <c r="N92" s="42">
        <v>0.492906332128906</v>
      </c>
      <c r="O92" s="34">
        <f t="shared" si="8"/>
        <v>1.6430211070963534E-3</v>
      </c>
      <c r="Q92" s="42">
        <v>3.1765694884242599</v>
      </c>
      <c r="R92" s="42">
        <v>0.71561330794917299</v>
      </c>
      <c r="S92" s="34">
        <f t="shared" si="9"/>
        <v>1.5902517954426067E-3</v>
      </c>
    </row>
    <row r="93" spans="1:19" x14ac:dyDescent="0.25">
      <c r="A93" s="42">
        <v>3.3433575275287</v>
      </c>
      <c r="B93" s="42">
        <v>0.118256827543378</v>
      </c>
      <c r="C93" s="34">
        <f t="shared" si="5"/>
        <v>1.4782103442922251E-3</v>
      </c>
      <c r="E93" s="42">
        <v>2.4765104580327701</v>
      </c>
      <c r="F93" s="42">
        <v>0.226724861442787</v>
      </c>
      <c r="G93" s="34">
        <f t="shared" si="6"/>
        <v>1.5114990762852467E-3</v>
      </c>
      <c r="I93" s="42">
        <v>2.73269059494445</v>
      </c>
      <c r="J93" s="42">
        <v>0.35525745994924002</v>
      </c>
      <c r="K93" s="34">
        <f t="shared" si="7"/>
        <v>1.4210298397969601E-3</v>
      </c>
      <c r="M93" s="42">
        <v>3.0771036703262502</v>
      </c>
      <c r="N93" s="42">
        <v>0.484784775012922</v>
      </c>
      <c r="O93" s="34">
        <f t="shared" si="8"/>
        <v>1.6159492500430733E-3</v>
      </c>
      <c r="Q93" s="42">
        <v>3.21530814072212</v>
      </c>
      <c r="R93" s="42">
        <v>0.70694540458858901</v>
      </c>
      <c r="S93" s="34">
        <f t="shared" si="9"/>
        <v>1.5709897879746422E-3</v>
      </c>
    </row>
    <row r="94" spans="1:19" x14ac:dyDescent="0.25">
      <c r="A94" s="42">
        <v>3.3836389435230201</v>
      </c>
      <c r="B94" s="42">
        <v>0.11756004415391801</v>
      </c>
      <c r="C94" s="34">
        <f t="shared" si="5"/>
        <v>1.4695005519239752E-3</v>
      </c>
      <c r="E94" s="42">
        <v>2.5063479334307499</v>
      </c>
      <c r="F94" s="42">
        <v>0.22462721531993801</v>
      </c>
      <c r="G94" s="34">
        <f t="shared" si="6"/>
        <v>1.4975147687995868E-3</v>
      </c>
      <c r="I94" s="42">
        <v>2.7656145780160699</v>
      </c>
      <c r="J94" s="42">
        <v>0.35602518567048702</v>
      </c>
      <c r="K94" s="34">
        <f t="shared" si="7"/>
        <v>1.424100742681948E-3</v>
      </c>
      <c r="M94" s="42">
        <v>3.1141772085229502</v>
      </c>
      <c r="N94" s="42">
        <v>0.47766512411820999</v>
      </c>
      <c r="O94" s="34">
        <f t="shared" si="8"/>
        <v>1.5922170803940334E-3</v>
      </c>
      <c r="Q94" s="42">
        <v>3.2540467930199801</v>
      </c>
      <c r="R94" s="42">
        <v>0.69887338405056298</v>
      </c>
      <c r="S94" s="34">
        <f t="shared" si="9"/>
        <v>1.5530519645568066E-3</v>
      </c>
    </row>
    <row r="95" spans="1:19" x14ac:dyDescent="0.25">
      <c r="A95" s="42">
        <v>3.4239203595173402</v>
      </c>
      <c r="B95" s="42">
        <v>0.11696900388428801</v>
      </c>
      <c r="C95" s="34">
        <f t="shared" si="5"/>
        <v>1.4621125485536001E-3</v>
      </c>
      <c r="E95" s="42">
        <v>2.5361854088287399</v>
      </c>
      <c r="F95" s="42">
        <v>0.223150978370424</v>
      </c>
      <c r="G95" s="34">
        <f t="shared" si="6"/>
        <v>1.48767318913616E-3</v>
      </c>
      <c r="I95" s="42">
        <v>2.7985385610876898</v>
      </c>
      <c r="J95" s="42">
        <v>0.35448324178207502</v>
      </c>
      <c r="K95" s="34">
        <f t="shared" si="7"/>
        <v>1.4179329671283E-3</v>
      </c>
      <c r="M95" s="42">
        <v>3.1512507467196502</v>
      </c>
      <c r="N95" s="42">
        <v>0.47152225724878999</v>
      </c>
      <c r="O95" s="34">
        <f t="shared" si="8"/>
        <v>1.5717408574959667E-3</v>
      </c>
      <c r="Q95" s="42">
        <v>3.29278544531783</v>
      </c>
      <c r="R95" s="42">
        <v>0.68858096976025895</v>
      </c>
      <c r="S95" s="34">
        <f t="shared" si="9"/>
        <v>1.5301799328005755E-3</v>
      </c>
    </row>
    <row r="96" spans="1:19" x14ac:dyDescent="0.25">
      <c r="A96" s="42">
        <v>3.4642017755116599</v>
      </c>
      <c r="B96" s="42">
        <v>0.11655049789988201</v>
      </c>
      <c r="C96" s="34">
        <f t="shared" si="5"/>
        <v>1.4568812237485251E-3</v>
      </c>
      <c r="E96" s="42">
        <v>2.5660228842267201</v>
      </c>
      <c r="F96" s="42">
        <v>0.221969678942779</v>
      </c>
      <c r="G96" s="34">
        <f t="shared" si="6"/>
        <v>1.4797978596185267E-3</v>
      </c>
      <c r="I96" s="42">
        <v>2.8314625441593102</v>
      </c>
      <c r="J96" s="42">
        <v>0.34786155725203199</v>
      </c>
      <c r="K96" s="34">
        <f t="shared" si="7"/>
        <v>1.391446229008128E-3</v>
      </c>
      <c r="M96" s="42">
        <v>3.1883242849163498</v>
      </c>
      <c r="N96" s="42">
        <v>0.46647999665577899</v>
      </c>
      <c r="O96" s="34">
        <f t="shared" si="8"/>
        <v>1.5549333221859299E-3</v>
      </c>
      <c r="Q96" s="42">
        <v>3.3315240976156901</v>
      </c>
      <c r="R96" s="42">
        <v>0.673562152196442</v>
      </c>
      <c r="S96" s="34">
        <f t="shared" si="9"/>
        <v>1.4968047826587601E-3</v>
      </c>
    </row>
    <row r="97" spans="1:19" x14ac:dyDescent="0.25">
      <c r="A97" s="42">
        <v>3.50448319150598</v>
      </c>
      <c r="B97" s="42">
        <v>0.11638622947862</v>
      </c>
      <c r="C97" s="34">
        <f t="shared" si="5"/>
        <v>1.45482786848275E-3</v>
      </c>
      <c r="E97" s="42">
        <v>2.5958603596247101</v>
      </c>
      <c r="F97" s="42">
        <v>0.220044090049278</v>
      </c>
      <c r="G97" s="34">
        <f t="shared" si="6"/>
        <v>1.46696060032852E-3</v>
      </c>
      <c r="I97" s="42">
        <v>2.8643865272309301</v>
      </c>
      <c r="J97" s="42">
        <v>0.340557484894704</v>
      </c>
      <c r="K97" s="34">
        <f t="shared" si="7"/>
        <v>1.362229939578816E-3</v>
      </c>
      <c r="M97" s="42">
        <v>3.22539782311306</v>
      </c>
      <c r="N97" s="42">
        <v>0.46077872233693401</v>
      </c>
      <c r="O97" s="34">
        <f t="shared" si="8"/>
        <v>1.5359290744564468E-3</v>
      </c>
      <c r="Q97" s="42">
        <v>3.3702627499135498</v>
      </c>
      <c r="R97" s="42">
        <v>0.65931294138601804</v>
      </c>
      <c r="S97" s="34">
        <f t="shared" si="9"/>
        <v>1.4651398697467068E-3</v>
      </c>
    </row>
    <row r="98" spans="1:19" x14ac:dyDescent="0.25">
      <c r="A98" s="42">
        <v>3.5447646075003099</v>
      </c>
      <c r="B98" s="42">
        <v>0.11602094723508399</v>
      </c>
      <c r="C98" s="34">
        <f t="shared" si="5"/>
        <v>1.4502618404385499E-3</v>
      </c>
      <c r="E98" s="42">
        <v>2.6256978350226898</v>
      </c>
      <c r="F98" s="42">
        <v>0.21604922932994899</v>
      </c>
      <c r="G98" s="34">
        <f t="shared" si="6"/>
        <v>1.4403281955329933E-3</v>
      </c>
      <c r="I98" s="42">
        <v>2.89731051030255</v>
      </c>
      <c r="J98" s="42">
        <v>0.33572900663211203</v>
      </c>
      <c r="K98" s="34">
        <f t="shared" si="7"/>
        <v>1.342916026528448E-3</v>
      </c>
      <c r="M98" s="42">
        <v>3.26247136130976</v>
      </c>
      <c r="N98" s="42">
        <v>0.45546207571761499</v>
      </c>
      <c r="O98" s="34">
        <f t="shared" si="8"/>
        <v>1.5182069190587165E-3</v>
      </c>
      <c r="Q98" s="42">
        <v>3.4090014022114001</v>
      </c>
      <c r="R98" s="42">
        <v>0.64664171613212096</v>
      </c>
      <c r="S98" s="34">
        <f t="shared" si="9"/>
        <v>1.4369815914047133E-3</v>
      </c>
    </row>
    <row r="99" spans="1:19" x14ac:dyDescent="0.25">
      <c r="A99" s="42">
        <v>3.58504602349463</v>
      </c>
      <c r="B99" s="42">
        <v>0.114502383960218</v>
      </c>
      <c r="C99" s="34">
        <f t="shared" si="5"/>
        <v>1.431279799502725E-3</v>
      </c>
      <c r="E99" s="42">
        <v>2.6555353104206798</v>
      </c>
      <c r="F99" s="42">
        <v>0.212742281385675</v>
      </c>
      <c r="G99" s="34">
        <f t="shared" si="6"/>
        <v>1.4182818759044999E-3</v>
      </c>
      <c r="I99" s="42">
        <v>2.93023449337417</v>
      </c>
      <c r="J99" s="42">
        <v>0.33322496223575998</v>
      </c>
      <c r="K99" s="34">
        <f t="shared" si="7"/>
        <v>1.33289984894304E-3</v>
      </c>
      <c r="M99" s="42">
        <v>3.29954489950646</v>
      </c>
      <c r="N99" s="42">
        <v>0.45152834617460202</v>
      </c>
      <c r="O99" s="34">
        <f t="shared" si="8"/>
        <v>1.5050944872486735E-3</v>
      </c>
      <c r="Q99" s="42">
        <v>3.4477400545092598</v>
      </c>
      <c r="R99" s="42">
        <v>0.63337524445610904</v>
      </c>
      <c r="S99" s="34">
        <f t="shared" si="9"/>
        <v>1.4075005432357978E-3</v>
      </c>
    </row>
    <row r="100" spans="1:19" x14ac:dyDescent="0.25">
      <c r="A100" s="42">
        <v>3.6253274394889501</v>
      </c>
      <c r="B100" s="42">
        <v>0.11301185945857101</v>
      </c>
      <c r="C100" s="34">
        <f t="shared" si="5"/>
        <v>1.4126482432321376E-3</v>
      </c>
      <c r="E100" s="42">
        <v>2.68537278581866</v>
      </c>
      <c r="F100" s="42">
        <v>0.210106743488676</v>
      </c>
      <c r="G100" s="34">
        <f t="shared" si="6"/>
        <v>1.4007116232578401E-3</v>
      </c>
      <c r="I100" s="42">
        <v>2.9631584764457899</v>
      </c>
      <c r="J100" s="42">
        <v>0.33308246941150399</v>
      </c>
      <c r="K100" s="34">
        <f t="shared" si="7"/>
        <v>1.3323298776460159E-3</v>
      </c>
      <c r="M100" s="42">
        <v>3.33661843770316</v>
      </c>
      <c r="N100" s="42">
        <v>0.449059330502391</v>
      </c>
      <c r="O100" s="34">
        <f t="shared" si="8"/>
        <v>1.4968644350079701E-3</v>
      </c>
      <c r="Q100" s="42">
        <v>3.4864787068071199</v>
      </c>
      <c r="R100" s="42">
        <v>0.61954729637924699</v>
      </c>
      <c r="S100" s="34">
        <f t="shared" si="9"/>
        <v>1.3767717697316601E-3</v>
      </c>
    </row>
    <row r="101" spans="1:19" x14ac:dyDescent="0.25">
      <c r="A101" s="42">
        <v>3.6656088554832702</v>
      </c>
      <c r="B101" s="42">
        <v>0.11179136032897399</v>
      </c>
      <c r="C101" s="34">
        <f t="shared" si="5"/>
        <v>1.3973920041121749E-3</v>
      </c>
      <c r="E101" s="42">
        <v>2.71521026121665</v>
      </c>
      <c r="F101" s="42">
        <v>0.20819362337747699</v>
      </c>
      <c r="G101" s="34">
        <f t="shared" si="6"/>
        <v>1.3879574891831799E-3</v>
      </c>
      <c r="I101" s="42">
        <v>2.9960824595174098</v>
      </c>
      <c r="J101" s="42">
        <v>0.33181832728911598</v>
      </c>
      <c r="K101" s="34">
        <f t="shared" si="7"/>
        <v>1.327273309156464E-3</v>
      </c>
      <c r="M101" s="42">
        <v>3.37369197589986</v>
      </c>
      <c r="N101" s="42">
        <v>0.44707416469073602</v>
      </c>
      <c r="O101" s="34">
        <f t="shared" si="8"/>
        <v>1.4902472156357867E-3</v>
      </c>
      <c r="Q101" s="42">
        <v>3.5252173591049698</v>
      </c>
      <c r="R101" s="42">
        <v>0.60724440390352696</v>
      </c>
      <c r="S101" s="34">
        <f t="shared" si="9"/>
        <v>1.3494320086745043E-3</v>
      </c>
    </row>
    <row r="102" spans="1:19" x14ac:dyDescent="0.25">
      <c r="A102" s="42">
        <v>3.7058902714775899</v>
      </c>
      <c r="B102" s="42">
        <v>0.110884208366072</v>
      </c>
      <c r="C102" s="34">
        <f t="shared" si="5"/>
        <v>1.3860526045759E-3</v>
      </c>
      <c r="E102" s="42">
        <v>2.7450477366146302</v>
      </c>
      <c r="F102" s="42">
        <v>0.20701636750836999</v>
      </c>
      <c r="G102" s="34">
        <f t="shared" si="6"/>
        <v>1.3801091167224666E-3</v>
      </c>
      <c r="I102" s="42">
        <v>3.0290064425890302</v>
      </c>
      <c r="J102" s="42">
        <v>0.330102573172535</v>
      </c>
      <c r="K102" s="34">
        <f t="shared" si="7"/>
        <v>1.3204102926901401E-3</v>
      </c>
      <c r="M102" s="42">
        <v>3.4107655140965698</v>
      </c>
      <c r="N102" s="42">
        <v>0.44318268967382901</v>
      </c>
      <c r="O102" s="34">
        <f t="shared" si="8"/>
        <v>1.4772756322460967E-3</v>
      </c>
      <c r="Q102" s="42">
        <v>3.5639560114028299</v>
      </c>
      <c r="R102" s="42">
        <v>0.59685878351847199</v>
      </c>
      <c r="S102" s="34">
        <f t="shared" si="9"/>
        <v>1.3263528522632711E-3</v>
      </c>
    </row>
    <row r="103" spans="1:19" x14ac:dyDescent="0.25">
      <c r="A103" s="42">
        <v>3.74617168747191</v>
      </c>
      <c r="B103" s="42">
        <v>0.10976804782985</v>
      </c>
      <c r="C103" s="34">
        <f t="shared" si="5"/>
        <v>1.3721005978731249E-3</v>
      </c>
      <c r="E103" s="42">
        <v>2.7748852120126202</v>
      </c>
      <c r="F103" s="42">
        <v>0.20648785238803399</v>
      </c>
      <c r="G103" s="34">
        <f t="shared" si="6"/>
        <v>1.3765856825868933E-3</v>
      </c>
      <c r="I103" s="42">
        <v>3.0619304256606501</v>
      </c>
      <c r="J103" s="42">
        <v>0.32286212213669302</v>
      </c>
      <c r="K103" s="34">
        <f t="shared" si="7"/>
        <v>1.291448488546772E-3</v>
      </c>
      <c r="M103" s="42">
        <v>3.4478390522932698</v>
      </c>
      <c r="N103" s="42">
        <v>0.43346957358288402</v>
      </c>
      <c r="O103" s="34">
        <f t="shared" si="8"/>
        <v>1.4448985786096134E-3</v>
      </c>
      <c r="Q103" s="42">
        <v>3.60269466370069</v>
      </c>
      <c r="R103" s="42">
        <v>0.58405167572116501</v>
      </c>
      <c r="S103" s="34">
        <f t="shared" si="9"/>
        <v>1.2978926127137E-3</v>
      </c>
    </row>
    <row r="104" spans="1:19" x14ac:dyDescent="0.25">
      <c r="A104" s="42">
        <v>3.7864531034662399</v>
      </c>
      <c r="B104" s="42">
        <v>0.10859713010149</v>
      </c>
      <c r="C104" s="34">
        <f t="shared" si="5"/>
        <v>1.357464126268625E-3</v>
      </c>
      <c r="E104" s="42">
        <v>2.8047226874105999</v>
      </c>
      <c r="F104" s="42">
        <v>0.20455932773881599</v>
      </c>
      <c r="G104" s="34">
        <f t="shared" si="6"/>
        <v>1.3637288515921065E-3</v>
      </c>
      <c r="I104" s="42">
        <v>3.09485440873227</v>
      </c>
      <c r="J104" s="42">
        <v>0.31782688669550502</v>
      </c>
      <c r="K104" s="34">
        <f t="shared" si="7"/>
        <v>1.27130754678202E-3</v>
      </c>
      <c r="M104" s="42">
        <v>3.4849125904899698</v>
      </c>
      <c r="N104" s="42">
        <v>0.42582741032295401</v>
      </c>
      <c r="O104" s="34">
        <f t="shared" si="8"/>
        <v>1.4194247010765133E-3</v>
      </c>
      <c r="Q104" s="42">
        <v>3.6414333159985399</v>
      </c>
      <c r="R104" s="42">
        <v>0.56750405506989299</v>
      </c>
      <c r="S104" s="34">
        <f t="shared" si="9"/>
        <v>1.2611201223775399E-3</v>
      </c>
    </row>
    <row r="105" spans="1:19" x14ac:dyDescent="0.25">
      <c r="A105" s="42">
        <v>3.82673451946056</v>
      </c>
      <c r="B105" s="42">
        <v>0.107881906737034</v>
      </c>
      <c r="C105" s="34">
        <f t="shared" si="5"/>
        <v>1.348523834212925E-3</v>
      </c>
      <c r="E105" s="42">
        <v>2.8345601628085899</v>
      </c>
      <c r="F105" s="42">
        <v>0.199906076981089</v>
      </c>
      <c r="G105" s="34">
        <f t="shared" si="6"/>
        <v>1.3327071798739268E-3</v>
      </c>
      <c r="I105" s="42">
        <v>3.1277783918038899</v>
      </c>
      <c r="J105" s="42">
        <v>0.31503499119911599</v>
      </c>
      <c r="K105" s="34">
        <f t="shared" si="7"/>
        <v>1.260139964796464E-3</v>
      </c>
      <c r="M105" s="42">
        <v>3.5219861286866698</v>
      </c>
      <c r="N105" s="42">
        <v>0.420161307977856</v>
      </c>
      <c r="O105" s="34">
        <f t="shared" si="8"/>
        <v>1.40053769325952E-3</v>
      </c>
      <c r="Q105" s="42">
        <v>3.6801719682964</v>
      </c>
      <c r="R105" s="42">
        <v>0.55170070981772601</v>
      </c>
      <c r="S105" s="34">
        <f t="shared" si="9"/>
        <v>1.2260015773727245E-3</v>
      </c>
    </row>
    <row r="106" spans="1:19" x14ac:dyDescent="0.25">
      <c r="A106" s="42">
        <v>3.8670159354548801</v>
      </c>
      <c r="B106" s="42">
        <v>0.107645242735097</v>
      </c>
      <c r="C106" s="34">
        <f t="shared" si="5"/>
        <v>1.3455655341887125E-3</v>
      </c>
      <c r="E106" s="42">
        <v>2.8643976382065701</v>
      </c>
      <c r="F106" s="42">
        <v>0.196030796755119</v>
      </c>
      <c r="G106" s="34">
        <f t="shared" si="6"/>
        <v>1.30687197836746E-3</v>
      </c>
      <c r="I106" s="42">
        <v>3.1607023748755099</v>
      </c>
      <c r="J106" s="42">
        <v>0.31470657753407499</v>
      </c>
      <c r="K106" s="34">
        <f t="shared" si="7"/>
        <v>1.2588263101362999E-3</v>
      </c>
      <c r="M106" s="42">
        <v>3.5590596668833698</v>
      </c>
      <c r="N106" s="42">
        <v>0.413767397694073</v>
      </c>
      <c r="O106" s="34">
        <f t="shared" si="8"/>
        <v>1.3792246589802433E-3</v>
      </c>
      <c r="Q106" s="42">
        <v>3.7189106205942601</v>
      </c>
      <c r="R106" s="42">
        <v>0.53827680026103297</v>
      </c>
      <c r="S106" s="34">
        <f t="shared" si="9"/>
        <v>1.1961706672467399E-3</v>
      </c>
    </row>
    <row r="107" spans="1:19" x14ac:dyDescent="0.25">
      <c r="A107" s="42">
        <v>3.9072973514492002</v>
      </c>
      <c r="B107" s="42">
        <v>0.10723050631504701</v>
      </c>
      <c r="C107" s="34">
        <f t="shared" si="5"/>
        <v>1.3403813289380876E-3</v>
      </c>
      <c r="E107" s="42">
        <v>2.8942351136045601</v>
      </c>
      <c r="F107" s="42">
        <v>0.19303438515683899</v>
      </c>
      <c r="G107" s="34">
        <f t="shared" si="6"/>
        <v>1.2868959010455933E-3</v>
      </c>
      <c r="I107" s="42">
        <v>3.1936263579471298</v>
      </c>
      <c r="J107" s="42">
        <v>0.31507067406554201</v>
      </c>
      <c r="K107" s="34">
        <f t="shared" si="7"/>
        <v>1.2602826962621681E-3</v>
      </c>
      <c r="M107" s="42">
        <v>3.5961332050800698</v>
      </c>
      <c r="N107" s="42">
        <v>0.408462007573971</v>
      </c>
      <c r="O107" s="34">
        <f t="shared" si="8"/>
        <v>1.3615400252465701E-3</v>
      </c>
      <c r="Q107" s="42">
        <v>3.75764927289211</v>
      </c>
      <c r="R107" s="42">
        <v>0.52713835396221398</v>
      </c>
      <c r="S107" s="34">
        <f t="shared" si="9"/>
        <v>1.1714185643604755E-3</v>
      </c>
    </row>
    <row r="108" spans="1:19" x14ac:dyDescent="0.25">
      <c r="A108" s="42">
        <v>3.9475787674435199</v>
      </c>
      <c r="B108" s="42">
        <v>0.10633965856049001</v>
      </c>
      <c r="C108" s="34">
        <f t="shared" si="5"/>
        <v>1.3292457320061252E-3</v>
      </c>
      <c r="E108" s="42">
        <v>2.9240725890025399</v>
      </c>
      <c r="F108" s="42">
        <v>0.19079805614863399</v>
      </c>
      <c r="G108" s="34">
        <f t="shared" si="6"/>
        <v>1.2719870409908932E-3</v>
      </c>
      <c r="I108" s="42">
        <v>3.2265503410187502</v>
      </c>
      <c r="J108" s="42">
        <v>0.31232550413249999</v>
      </c>
      <c r="K108" s="34">
        <f t="shared" si="7"/>
        <v>1.2493020165299999E-3</v>
      </c>
      <c r="M108" s="42">
        <v>3.6332067432767801</v>
      </c>
      <c r="N108" s="42">
        <v>0.40532680483752798</v>
      </c>
      <c r="O108" s="34">
        <f t="shared" si="8"/>
        <v>1.3510893494584266E-3</v>
      </c>
      <c r="Q108" s="42">
        <v>3.7963879251899701</v>
      </c>
      <c r="R108" s="42">
        <v>0.51690637932343497</v>
      </c>
      <c r="S108" s="34">
        <f t="shared" si="9"/>
        <v>1.1486808429409666E-3</v>
      </c>
    </row>
    <row r="109" spans="1:19" x14ac:dyDescent="0.25">
      <c r="A109" s="42">
        <v>3.98786018343784</v>
      </c>
      <c r="B109" s="42">
        <v>0.104005404266431</v>
      </c>
      <c r="C109" s="34">
        <f t="shared" si="5"/>
        <v>1.3000675533303874E-3</v>
      </c>
      <c r="E109" s="42">
        <v>2.9539100644005298</v>
      </c>
      <c r="F109" s="42">
        <v>0.189399489396195</v>
      </c>
      <c r="G109" s="34">
        <f t="shared" si="6"/>
        <v>1.2626632626413E-3</v>
      </c>
      <c r="I109" s="42">
        <v>3.2594743240903701</v>
      </c>
      <c r="J109" s="42">
        <v>0.30861710914886997</v>
      </c>
      <c r="K109" s="34">
        <f t="shared" si="7"/>
        <v>1.2344684365954799E-3</v>
      </c>
      <c r="M109" s="42">
        <v>3.6702802814734801</v>
      </c>
      <c r="N109" s="42">
        <v>0.40442073392009198</v>
      </c>
      <c r="O109" s="34">
        <f t="shared" si="8"/>
        <v>1.3480691130669732E-3</v>
      </c>
      <c r="Q109" s="42">
        <v>3.8351265774878298</v>
      </c>
      <c r="R109" s="42">
        <v>0.50464450339281097</v>
      </c>
      <c r="S109" s="34">
        <f t="shared" si="9"/>
        <v>1.1214322297618021E-3</v>
      </c>
    </row>
    <row r="110" spans="1:19" x14ac:dyDescent="0.25">
      <c r="A110" s="42">
        <v>4.0281415994321597</v>
      </c>
      <c r="B110" s="42">
        <v>0.102318071054742</v>
      </c>
      <c r="C110" s="34">
        <f t="shared" si="5"/>
        <v>1.2789758881842749E-3</v>
      </c>
      <c r="E110" s="42">
        <v>2.98374753979851</v>
      </c>
      <c r="F110" s="42">
        <v>0.18880709572745799</v>
      </c>
      <c r="G110" s="34">
        <f t="shared" si="6"/>
        <v>1.2587139715163865E-3</v>
      </c>
      <c r="I110" s="42">
        <v>3.29239830716199</v>
      </c>
      <c r="J110" s="42">
        <v>0.303888707056652</v>
      </c>
      <c r="K110" s="34">
        <f t="shared" si="7"/>
        <v>1.2155548282266079E-3</v>
      </c>
      <c r="M110" s="42">
        <v>3.7073538196701801</v>
      </c>
      <c r="N110" s="42">
        <v>0.40569256942040799</v>
      </c>
      <c r="O110" s="34">
        <f t="shared" si="8"/>
        <v>1.3523085647346932E-3</v>
      </c>
      <c r="Q110" s="42">
        <v>3.8738652297856899</v>
      </c>
      <c r="R110" s="42">
        <v>0.49163168913495198</v>
      </c>
      <c r="S110" s="34">
        <f t="shared" si="9"/>
        <v>1.0925148647443377E-3</v>
      </c>
    </row>
    <row r="111" spans="1:19" x14ac:dyDescent="0.25">
      <c r="A111" s="42">
        <v>4.0684230154264904</v>
      </c>
      <c r="B111" s="42">
        <v>0.100938145582401</v>
      </c>
      <c r="C111" s="34">
        <f t="shared" si="5"/>
        <v>1.2617268197800124E-3</v>
      </c>
      <c r="E111" s="42">
        <v>3.0135850151965</v>
      </c>
      <c r="F111" s="42">
        <v>0.18793988681916901</v>
      </c>
      <c r="G111" s="34">
        <f t="shared" si="6"/>
        <v>1.2529325787944601E-3</v>
      </c>
      <c r="I111" s="42">
        <v>3.3253222902336099</v>
      </c>
      <c r="J111" s="42">
        <v>0.30121227552540403</v>
      </c>
      <c r="K111" s="34">
        <f t="shared" si="7"/>
        <v>1.204849102101616E-3</v>
      </c>
      <c r="M111" s="42">
        <v>3.7444273578668801</v>
      </c>
      <c r="N111" s="42">
        <v>0.39955310811403699</v>
      </c>
      <c r="O111" s="34">
        <f t="shared" si="8"/>
        <v>1.3318436937134566E-3</v>
      </c>
      <c r="Q111" s="42">
        <v>3.9126038820835398</v>
      </c>
      <c r="R111" s="42">
        <v>0.47928887574845502</v>
      </c>
      <c r="S111" s="34">
        <f t="shared" si="9"/>
        <v>1.0650863905521224E-3</v>
      </c>
    </row>
    <row r="112" spans="1:19" x14ac:dyDescent="0.25">
      <c r="A112" s="42">
        <v>4.1087044314208097</v>
      </c>
      <c r="B112" s="42">
        <v>9.8774683048883705E-2</v>
      </c>
      <c r="C112" s="34">
        <f t="shared" si="5"/>
        <v>1.2346835381110463E-3</v>
      </c>
      <c r="E112" s="42">
        <v>3.0434224905944798</v>
      </c>
      <c r="F112" s="42">
        <v>0.18304202760358901</v>
      </c>
      <c r="G112" s="34">
        <f t="shared" si="6"/>
        <v>1.2202801840239268E-3</v>
      </c>
      <c r="I112" s="42">
        <v>3.3582462733052298</v>
      </c>
      <c r="J112" s="42">
        <v>0.30053268798888899</v>
      </c>
      <c r="K112" s="34">
        <f t="shared" si="7"/>
        <v>1.202130751955556E-3</v>
      </c>
      <c r="M112" s="42">
        <v>3.7815008960635801</v>
      </c>
      <c r="N112" s="42">
        <v>0.39052879723842698</v>
      </c>
      <c r="O112" s="34">
        <f t="shared" si="8"/>
        <v>1.3017626574614233E-3</v>
      </c>
      <c r="Q112" s="42">
        <v>3.9513425343813999</v>
      </c>
      <c r="R112" s="42">
        <v>0.46853999192894502</v>
      </c>
      <c r="S112" s="34">
        <f t="shared" si="9"/>
        <v>1.0411999820643223E-3</v>
      </c>
    </row>
    <row r="113" spans="1:19" x14ac:dyDescent="0.25">
      <c r="A113" s="42">
        <v>4.1489858474151298</v>
      </c>
      <c r="B113" s="42">
        <v>9.7289092837728103E-2</v>
      </c>
      <c r="C113" s="34">
        <f t="shared" si="5"/>
        <v>1.2161136604716012E-3</v>
      </c>
      <c r="E113" s="42">
        <v>3.0732599659924702</v>
      </c>
      <c r="F113" s="42">
        <v>0.17892736694287001</v>
      </c>
      <c r="G113" s="34">
        <f t="shared" si="6"/>
        <v>1.1928491129524668E-3</v>
      </c>
      <c r="I113" s="42">
        <v>3.3911702563768502</v>
      </c>
      <c r="J113" s="42">
        <v>0.30190273704592002</v>
      </c>
      <c r="K113" s="34">
        <f t="shared" si="7"/>
        <v>1.20761094818368E-3</v>
      </c>
      <c r="M113" s="42">
        <v>3.8185744342602899</v>
      </c>
      <c r="N113" s="42">
        <v>0.38411853759258402</v>
      </c>
      <c r="O113" s="34">
        <f t="shared" si="8"/>
        <v>1.2803951253086135E-3</v>
      </c>
      <c r="Q113" s="42">
        <v>3.99008118667926</v>
      </c>
      <c r="R113" s="42">
        <v>0.45659775936524299</v>
      </c>
      <c r="S113" s="34">
        <f t="shared" si="9"/>
        <v>1.0146616874783178E-3</v>
      </c>
    </row>
    <row r="114" spans="1:19" x14ac:dyDescent="0.25">
      <c r="A114" s="42">
        <v>4.1892672634094499</v>
      </c>
      <c r="B114" s="42">
        <v>9.6566327687689496E-2</v>
      </c>
      <c r="C114" s="34">
        <f t="shared" si="5"/>
        <v>1.2070790960961187E-3</v>
      </c>
      <c r="E114" s="42">
        <v>3.10309744139045</v>
      </c>
      <c r="F114" s="42">
        <v>0.175564061211303</v>
      </c>
      <c r="G114" s="34">
        <f t="shared" si="6"/>
        <v>1.17042707474202E-3</v>
      </c>
      <c r="I114" s="42">
        <v>3.4240942394484701</v>
      </c>
      <c r="J114" s="42">
        <v>0.29769606222432698</v>
      </c>
      <c r="K114" s="34">
        <f t="shared" si="7"/>
        <v>1.190784248897308E-3</v>
      </c>
      <c r="M114" s="42">
        <v>3.8556479724569899</v>
      </c>
      <c r="N114" s="42">
        <v>0.38082286691186301</v>
      </c>
      <c r="O114" s="34">
        <f t="shared" si="8"/>
        <v>1.2694095563728768E-3</v>
      </c>
      <c r="Q114" s="42">
        <v>4.0288198389771104</v>
      </c>
      <c r="R114" s="42">
        <v>0.44565122192294798</v>
      </c>
      <c r="S114" s="34">
        <f t="shared" si="9"/>
        <v>9.9033604871766215E-4</v>
      </c>
    </row>
    <row r="115" spans="1:19" x14ac:dyDescent="0.25">
      <c r="A115" s="42">
        <v>4.22954867940377</v>
      </c>
      <c r="B115" s="42">
        <v>9.6265409025126897E-2</v>
      </c>
      <c r="C115" s="34">
        <f t="shared" si="5"/>
        <v>1.2033176128140861E-3</v>
      </c>
      <c r="E115" s="42">
        <v>3.1329349167884399</v>
      </c>
      <c r="F115" s="42">
        <v>0.17323745163434801</v>
      </c>
      <c r="G115" s="34">
        <f t="shared" si="6"/>
        <v>1.1549163442289867E-3</v>
      </c>
      <c r="I115" s="42">
        <v>3.4570182225200901</v>
      </c>
      <c r="J115" s="42">
        <v>0.29517963543210901</v>
      </c>
      <c r="K115" s="34">
        <f t="shared" si="7"/>
        <v>1.1807185417284361E-3</v>
      </c>
      <c r="M115" s="42">
        <v>3.8927215106536899</v>
      </c>
      <c r="N115" s="42">
        <v>0.37931909662971902</v>
      </c>
      <c r="O115" s="34">
        <f t="shared" si="8"/>
        <v>1.26439698876573E-3</v>
      </c>
      <c r="Q115" s="42">
        <v>4.06755849127497</v>
      </c>
      <c r="R115" s="42">
        <v>0.43658623380470801</v>
      </c>
      <c r="S115" s="34">
        <f t="shared" si="9"/>
        <v>9.7019163067712892E-4</v>
      </c>
    </row>
    <row r="116" spans="1:19" x14ac:dyDescent="0.25">
      <c r="A116" s="42">
        <v>4.2698300953980901</v>
      </c>
      <c r="B116" s="42">
        <v>9.3659472474816097E-2</v>
      </c>
      <c r="C116" s="34">
        <f t="shared" si="5"/>
        <v>1.1707434059352012E-3</v>
      </c>
      <c r="E116" s="42">
        <v>3.1627723921864201</v>
      </c>
      <c r="F116" s="42">
        <v>0.171627183175036</v>
      </c>
      <c r="G116" s="34">
        <f t="shared" si="6"/>
        <v>1.1441812211669066E-3</v>
      </c>
      <c r="I116" s="42">
        <v>3.48994220559171</v>
      </c>
      <c r="J116" s="42">
        <v>0.29054835692324499</v>
      </c>
      <c r="K116" s="34">
        <f t="shared" si="7"/>
        <v>1.1621934276929799E-3</v>
      </c>
      <c r="M116" s="42">
        <v>3.9297950488503899</v>
      </c>
      <c r="N116" s="42">
        <v>0.37461531802752002</v>
      </c>
      <c r="O116" s="34">
        <f t="shared" si="8"/>
        <v>1.2487177267584001E-3</v>
      </c>
      <c r="Q116" s="42">
        <v>4.1062971435728297</v>
      </c>
      <c r="R116" s="42">
        <v>0.42929263837731702</v>
      </c>
      <c r="S116" s="34">
        <f t="shared" si="9"/>
        <v>9.5398364083848226E-4</v>
      </c>
    </row>
    <row r="117" spans="1:19" x14ac:dyDescent="0.25">
      <c r="A117" s="42">
        <v>4.31011151139242</v>
      </c>
      <c r="B117" s="42">
        <v>9.0954271181232504E-2</v>
      </c>
      <c r="C117" s="34">
        <f t="shared" si="5"/>
        <v>1.1369283897654063E-3</v>
      </c>
      <c r="E117" s="42">
        <v>3.1926098675844101</v>
      </c>
      <c r="F117" s="42">
        <v>0.170494744675149</v>
      </c>
      <c r="G117" s="34">
        <f t="shared" si="6"/>
        <v>1.1366316311676599E-3</v>
      </c>
      <c r="I117" s="42">
        <v>3.5228661886633299</v>
      </c>
      <c r="J117" s="42">
        <v>0.28669397709723599</v>
      </c>
      <c r="K117" s="34">
        <f t="shared" si="7"/>
        <v>1.146775908388944E-3</v>
      </c>
      <c r="M117" s="42">
        <v>3.9668685870470899</v>
      </c>
      <c r="N117" s="42">
        <v>0.37232795103023902</v>
      </c>
      <c r="O117" s="34">
        <f t="shared" si="8"/>
        <v>1.2410931701007967E-3</v>
      </c>
      <c r="Q117" s="42">
        <v>4.1450357958706796</v>
      </c>
      <c r="R117" s="42">
        <v>0.422499273243514</v>
      </c>
      <c r="S117" s="34">
        <f t="shared" si="9"/>
        <v>9.3888727387447552E-4</v>
      </c>
    </row>
    <row r="118" spans="1:19" x14ac:dyDescent="0.25">
      <c r="A118" s="42">
        <v>4.3503929273867401</v>
      </c>
      <c r="B118" s="42">
        <v>8.8987356685058694E-2</v>
      </c>
      <c r="C118" s="34">
        <f t="shared" si="5"/>
        <v>1.1123419585632338E-3</v>
      </c>
      <c r="E118" s="42">
        <v>3.2224473429823899</v>
      </c>
      <c r="F118" s="42">
        <v>0.16870427557072901</v>
      </c>
      <c r="G118" s="34">
        <f t="shared" si="6"/>
        <v>1.1246951704715266E-3</v>
      </c>
      <c r="I118" s="42">
        <v>3.5557901717349498</v>
      </c>
      <c r="J118" s="42">
        <v>0.28462607036017601</v>
      </c>
      <c r="K118" s="34">
        <f t="shared" si="7"/>
        <v>1.1385042814407041E-3</v>
      </c>
      <c r="M118" s="42">
        <v>4.0039421252437899</v>
      </c>
      <c r="N118" s="42">
        <v>0.36932367153277401</v>
      </c>
      <c r="O118" s="34">
        <f t="shared" si="8"/>
        <v>1.2310789051092467E-3</v>
      </c>
      <c r="Q118" s="42">
        <v>4.1837744481685402</v>
      </c>
      <c r="R118" s="42">
        <v>0.41664583244996301</v>
      </c>
      <c r="S118" s="34">
        <f t="shared" si="9"/>
        <v>9.2587962766658451E-4</v>
      </c>
    </row>
    <row r="119" spans="1:19" x14ac:dyDescent="0.25">
      <c r="A119" s="42">
        <v>4.3906743433810602</v>
      </c>
      <c r="B119" s="42">
        <v>8.7775899652046199E-2</v>
      </c>
      <c r="C119" s="34">
        <f t="shared" si="5"/>
        <v>1.0971987456505775E-3</v>
      </c>
      <c r="E119" s="42">
        <v>3.2522848183803799</v>
      </c>
      <c r="F119" s="42">
        <v>0.16752650416235901</v>
      </c>
      <c r="G119" s="34">
        <f t="shared" si="6"/>
        <v>1.1168433610823933E-3</v>
      </c>
      <c r="I119" s="42">
        <v>3.5887141548065702</v>
      </c>
      <c r="J119" s="42">
        <v>0.28406898278054699</v>
      </c>
      <c r="K119" s="34">
        <f t="shared" si="7"/>
        <v>1.136275931122188E-3</v>
      </c>
      <c r="M119" s="42">
        <v>4.0410156634404997</v>
      </c>
      <c r="N119" s="42">
        <v>0.36364980111438699</v>
      </c>
      <c r="O119" s="34">
        <f t="shared" si="8"/>
        <v>1.2121660037146232E-3</v>
      </c>
      <c r="Q119" s="42">
        <v>4.2225131004663998</v>
      </c>
      <c r="R119" s="42">
        <v>0.41181086720043603</v>
      </c>
      <c r="S119" s="34">
        <f t="shared" si="9"/>
        <v>9.1513526044541336E-4</v>
      </c>
    </row>
    <row r="120" spans="1:19" x14ac:dyDescent="0.25">
      <c r="A120" s="42">
        <v>4.4309557593753803</v>
      </c>
      <c r="B120" s="42">
        <v>8.7327174748697195E-2</v>
      </c>
      <c r="C120" s="34">
        <f t="shared" si="5"/>
        <v>1.0915896843587149E-3</v>
      </c>
      <c r="E120" s="42">
        <v>3.2821222937783601</v>
      </c>
      <c r="F120" s="42">
        <v>0.16597338385400201</v>
      </c>
      <c r="G120" s="34">
        <f t="shared" si="6"/>
        <v>1.1064892256933468E-3</v>
      </c>
      <c r="I120" s="42">
        <v>3.6216381378781901</v>
      </c>
      <c r="J120" s="42">
        <v>0.28501375900206399</v>
      </c>
      <c r="K120" s="34">
        <f t="shared" si="7"/>
        <v>1.1400550360082559E-3</v>
      </c>
      <c r="M120" s="42">
        <v>4.0780892016371997</v>
      </c>
      <c r="N120" s="42">
        <v>0.36108184582147701</v>
      </c>
      <c r="O120" s="34">
        <f t="shared" si="8"/>
        <v>1.2036061527382568E-3</v>
      </c>
      <c r="Q120" s="42">
        <v>4.2612517527642497</v>
      </c>
      <c r="R120" s="42">
        <v>0.40474964470414199</v>
      </c>
      <c r="S120" s="34">
        <f t="shared" si="9"/>
        <v>8.9944365489809332E-4</v>
      </c>
    </row>
    <row r="121" spans="1:19" x14ac:dyDescent="0.25">
      <c r="A121" s="42">
        <v>4.4712371753696996</v>
      </c>
      <c r="B121" s="42">
        <v>8.564867039099E-2</v>
      </c>
      <c r="C121" s="34">
        <f t="shared" si="5"/>
        <v>1.070608379887375E-3</v>
      </c>
      <c r="E121" s="42">
        <v>3.31195976917635</v>
      </c>
      <c r="F121" s="42">
        <v>0.16272766301328601</v>
      </c>
      <c r="G121" s="34">
        <f t="shared" si="6"/>
        <v>1.0848510867552401E-3</v>
      </c>
      <c r="I121" s="42">
        <v>3.65456212094981</v>
      </c>
      <c r="J121" s="42">
        <v>0.28352647115950003</v>
      </c>
      <c r="K121" s="34">
        <f t="shared" si="7"/>
        <v>1.1341058846380001E-3</v>
      </c>
      <c r="M121" s="42">
        <v>4.1151627398338997</v>
      </c>
      <c r="N121" s="42">
        <v>0.35383858849937</v>
      </c>
      <c r="O121" s="34">
        <f t="shared" si="8"/>
        <v>1.1794619616645667E-3</v>
      </c>
      <c r="Q121" s="42">
        <v>4.2999904050621103</v>
      </c>
      <c r="R121" s="42">
        <v>0.39829977866766703</v>
      </c>
      <c r="S121" s="34">
        <f t="shared" si="9"/>
        <v>8.851106192614823E-4</v>
      </c>
    </row>
    <row r="122" spans="1:19" x14ac:dyDescent="0.25">
      <c r="A122" s="42">
        <v>4.5115185913640197</v>
      </c>
      <c r="B122" s="42">
        <v>8.2887441154468E-2</v>
      </c>
      <c r="C122" s="34">
        <f t="shared" si="5"/>
        <v>1.03609301443085E-3</v>
      </c>
      <c r="E122" s="42">
        <v>3.3417972445743298</v>
      </c>
      <c r="F122" s="42">
        <v>0.16017261031660801</v>
      </c>
      <c r="G122" s="34">
        <f t="shared" si="6"/>
        <v>1.0678174021107201E-3</v>
      </c>
      <c r="I122" s="42">
        <v>3.68748610402143</v>
      </c>
      <c r="J122" s="42">
        <v>0.27735073396382698</v>
      </c>
      <c r="K122" s="34">
        <f t="shared" si="7"/>
        <v>1.109402935855308E-3</v>
      </c>
      <c r="M122" s="42">
        <v>4.1522362780305997</v>
      </c>
      <c r="N122" s="42">
        <v>0.34828207030813602</v>
      </c>
      <c r="O122" s="34">
        <f t="shared" si="8"/>
        <v>1.1609402343604534E-3</v>
      </c>
      <c r="Q122" s="42">
        <v>4.3387290573599699</v>
      </c>
      <c r="R122" s="42">
        <v>0.39244204756557699</v>
      </c>
      <c r="S122" s="34">
        <f t="shared" si="9"/>
        <v>8.7209343903461552E-4</v>
      </c>
    </row>
    <row r="123" spans="1:19" x14ac:dyDescent="0.25">
      <c r="A123" s="42">
        <v>4.5518000073583504</v>
      </c>
      <c r="B123" s="42">
        <v>8.0791575458336498E-2</v>
      </c>
      <c r="C123" s="34">
        <f t="shared" si="5"/>
        <v>1.0098946932292061E-3</v>
      </c>
      <c r="E123" s="42">
        <v>3.3716347199723198</v>
      </c>
      <c r="F123" s="42">
        <v>0.157831704160484</v>
      </c>
      <c r="G123" s="34">
        <f t="shared" si="6"/>
        <v>1.0522113610698933E-3</v>
      </c>
      <c r="I123" s="42">
        <v>3.7204100870930499</v>
      </c>
      <c r="J123" s="42">
        <v>0.27233068229435398</v>
      </c>
      <c r="K123" s="34">
        <f t="shared" si="7"/>
        <v>1.0893227291774159E-3</v>
      </c>
      <c r="M123" s="42">
        <v>4.1893098162272997</v>
      </c>
      <c r="N123" s="42">
        <v>0.34538112848237901</v>
      </c>
      <c r="O123" s="34">
        <f t="shared" si="8"/>
        <v>1.1512704282745966E-3</v>
      </c>
      <c r="Q123" s="42">
        <v>4.3774677096578198</v>
      </c>
      <c r="R123" s="42">
        <v>0.38774976474693001</v>
      </c>
      <c r="S123" s="34">
        <f t="shared" si="9"/>
        <v>8.6166614388206672E-4</v>
      </c>
    </row>
    <row r="124" spans="1:19" x14ac:dyDescent="0.25">
      <c r="A124" s="42">
        <v>4.5920814233526697</v>
      </c>
      <c r="B124" s="42">
        <v>7.9350384120197695E-2</v>
      </c>
      <c r="C124" s="34">
        <f t="shared" si="5"/>
        <v>9.9187980150247114E-4</v>
      </c>
      <c r="E124" s="42">
        <v>3.4014721953703</v>
      </c>
      <c r="F124" s="42">
        <v>0.15497578339120899</v>
      </c>
      <c r="G124" s="34">
        <f t="shared" si="6"/>
        <v>1.0331718892747266E-3</v>
      </c>
      <c r="I124" s="42">
        <v>3.7533340701646698</v>
      </c>
      <c r="J124" s="42">
        <v>0.26844576935090098</v>
      </c>
      <c r="K124" s="34">
        <f t="shared" si="7"/>
        <v>1.073783077403604E-3</v>
      </c>
      <c r="M124" s="42">
        <v>4.2263833544240104</v>
      </c>
      <c r="N124" s="42">
        <v>0.34273465295175798</v>
      </c>
      <c r="O124" s="34">
        <f t="shared" si="8"/>
        <v>1.1424488431725265E-3</v>
      </c>
      <c r="Q124" s="42">
        <v>4.4162063619556804</v>
      </c>
      <c r="R124" s="42">
        <v>0.38411344281218301</v>
      </c>
      <c r="S124" s="34">
        <f t="shared" si="9"/>
        <v>8.5358542847151784E-4</v>
      </c>
    </row>
    <row r="125" spans="1:19" x14ac:dyDescent="0.25">
      <c r="A125" s="42">
        <v>4.6323628393469898</v>
      </c>
      <c r="B125" s="42">
        <v>7.8571558094621893E-2</v>
      </c>
      <c r="C125" s="34">
        <f t="shared" si="5"/>
        <v>9.8214447618277367E-4</v>
      </c>
      <c r="E125" s="42">
        <v>3.43130967076829</v>
      </c>
      <c r="F125" s="42">
        <v>0.152729967485667</v>
      </c>
      <c r="G125" s="34">
        <f t="shared" si="6"/>
        <v>1.01819978323778E-3</v>
      </c>
      <c r="I125" s="42">
        <v>3.7862580532362902</v>
      </c>
      <c r="J125" s="42">
        <v>0.26557130985739702</v>
      </c>
      <c r="K125" s="34">
        <f t="shared" si="7"/>
        <v>1.0622852394295882E-3</v>
      </c>
      <c r="M125" s="42">
        <v>4.2634568926207104</v>
      </c>
      <c r="N125" s="42">
        <v>0.33805863878583498</v>
      </c>
      <c r="O125" s="34">
        <f t="shared" si="8"/>
        <v>1.1268621292861165E-3</v>
      </c>
      <c r="Q125" s="42">
        <v>4.4549450142535401</v>
      </c>
      <c r="R125" s="42">
        <v>0.38102568971574802</v>
      </c>
      <c r="S125" s="34">
        <f t="shared" si="9"/>
        <v>8.4672375492388444E-4</v>
      </c>
    </row>
    <row r="126" spans="1:19" x14ac:dyDescent="0.25">
      <c r="A126" s="42">
        <v>4.6726442553413099</v>
      </c>
      <c r="B126" s="42">
        <v>7.7708791166645197E-2</v>
      </c>
      <c r="C126" s="34">
        <f t="shared" si="5"/>
        <v>9.7135988958306496E-4</v>
      </c>
      <c r="E126" s="42">
        <v>3.4611471461662702</v>
      </c>
      <c r="F126" s="42">
        <v>0.15117525586658201</v>
      </c>
      <c r="G126" s="34">
        <f t="shared" si="6"/>
        <v>1.0078350391105467E-3</v>
      </c>
      <c r="I126" s="42">
        <v>3.8191820363079101</v>
      </c>
      <c r="J126" s="42">
        <v>0.26277077119235098</v>
      </c>
      <c r="K126" s="34">
        <f t="shared" si="7"/>
        <v>1.0510830847694039E-3</v>
      </c>
      <c r="M126" s="42">
        <v>4.3005304308174104</v>
      </c>
      <c r="N126" s="42">
        <v>0.33446805173390898</v>
      </c>
      <c r="O126" s="34">
        <f t="shared" si="8"/>
        <v>1.1148935057796966E-3</v>
      </c>
      <c r="Q126" s="42">
        <v>4.4936836665513997</v>
      </c>
      <c r="R126" s="42">
        <v>0.37839728631660702</v>
      </c>
      <c r="S126" s="34">
        <f t="shared" si="9"/>
        <v>8.4088285848134888E-4</v>
      </c>
    </row>
    <row r="127" spans="1:19" x14ac:dyDescent="0.25">
      <c r="A127" s="42">
        <v>4.71292567133563</v>
      </c>
      <c r="B127" s="42">
        <v>7.5188410559655902E-2</v>
      </c>
      <c r="C127" s="34">
        <f t="shared" si="5"/>
        <v>9.3985513199569873E-4</v>
      </c>
      <c r="E127" s="42">
        <v>3.4909846215642601</v>
      </c>
      <c r="F127" s="42">
        <v>0.150211113691683</v>
      </c>
      <c r="G127" s="34">
        <f t="shared" si="6"/>
        <v>1.00140742461122E-3</v>
      </c>
      <c r="I127" s="42">
        <v>3.85210601937953</v>
      </c>
      <c r="J127" s="42">
        <v>0.25886280323022998</v>
      </c>
      <c r="K127" s="34">
        <f t="shared" si="7"/>
        <v>1.03545121292092E-3</v>
      </c>
      <c r="M127" s="42">
        <v>4.3376039690141104</v>
      </c>
      <c r="N127" s="42">
        <v>0.32622846444648101</v>
      </c>
      <c r="O127" s="34">
        <f t="shared" si="8"/>
        <v>1.0874282148216033E-3</v>
      </c>
      <c r="Q127" s="42">
        <v>4.5324223188492496</v>
      </c>
      <c r="R127" s="42">
        <v>0.37675962650653</v>
      </c>
      <c r="S127" s="34">
        <f t="shared" si="9"/>
        <v>8.3724361445895561E-4</v>
      </c>
    </row>
    <row r="128" spans="1:19" x14ac:dyDescent="0.25">
      <c r="A128" s="42">
        <v>4.7532070873299599</v>
      </c>
      <c r="B128" s="42">
        <v>7.3096348398925204E-2</v>
      </c>
      <c r="C128" s="34">
        <f t="shared" si="5"/>
        <v>9.1370435498656509E-4</v>
      </c>
      <c r="E128" s="42">
        <v>3.5208220969622399</v>
      </c>
      <c r="F128" s="42">
        <v>0.149881984923767</v>
      </c>
      <c r="G128" s="34">
        <f t="shared" si="6"/>
        <v>9.9921323282511345E-4</v>
      </c>
      <c r="I128" s="42">
        <v>3.8850300024511499</v>
      </c>
      <c r="J128" s="42">
        <v>0.25584693930938202</v>
      </c>
      <c r="K128" s="34">
        <f t="shared" si="7"/>
        <v>1.0233877572375281E-3</v>
      </c>
      <c r="M128" s="42">
        <v>4.3746775072108104</v>
      </c>
      <c r="N128" s="42">
        <v>0.32028691406599502</v>
      </c>
      <c r="O128" s="34">
        <f t="shared" si="8"/>
        <v>1.0676230468866501E-3</v>
      </c>
      <c r="Q128" s="42">
        <v>4.5711609711471102</v>
      </c>
      <c r="R128" s="42">
        <v>0.37604564225797399</v>
      </c>
      <c r="S128" s="34">
        <f t="shared" si="9"/>
        <v>8.356569827954977E-4</v>
      </c>
    </row>
    <row r="129" spans="1:19" x14ac:dyDescent="0.25">
      <c r="A129" s="42">
        <v>4.79348850332428</v>
      </c>
      <c r="B129" s="42">
        <v>7.1545870447823706E-2</v>
      </c>
      <c r="C129" s="34">
        <f t="shared" si="5"/>
        <v>8.9432338059779637E-4</v>
      </c>
      <c r="E129" s="42">
        <v>3.5506595723602299</v>
      </c>
      <c r="F129" s="42">
        <v>0.149377818219493</v>
      </c>
      <c r="G129" s="34">
        <f t="shared" si="6"/>
        <v>9.9585212146328667E-4</v>
      </c>
      <c r="I129" s="42">
        <v>3.9179539855227699</v>
      </c>
      <c r="J129" s="42">
        <v>0.253759056925559</v>
      </c>
      <c r="K129" s="34">
        <f t="shared" si="7"/>
        <v>1.0150362277022359E-3</v>
      </c>
      <c r="M129" s="42">
        <v>4.4117510454075104</v>
      </c>
      <c r="N129" s="42">
        <v>0.316426029208279</v>
      </c>
      <c r="O129" s="34">
        <f t="shared" si="8"/>
        <v>1.0547534306942633E-3</v>
      </c>
      <c r="Q129" s="42">
        <v>4.6098996234449698</v>
      </c>
      <c r="R129" s="42">
        <v>0.37548844488595501</v>
      </c>
      <c r="S129" s="34">
        <f t="shared" si="9"/>
        <v>8.344187664132333E-4</v>
      </c>
    </row>
    <row r="130" spans="1:19" x14ac:dyDescent="0.25">
      <c r="A130" s="42">
        <v>4.8337699193186001</v>
      </c>
      <c r="B130" s="42">
        <v>7.0537086642921104E-2</v>
      </c>
      <c r="C130" s="34">
        <f t="shared" si="5"/>
        <v>8.8171358303651382E-4</v>
      </c>
      <c r="E130" s="42">
        <v>3.5804970477582101</v>
      </c>
      <c r="F130" s="42">
        <v>0.14703617819001699</v>
      </c>
      <c r="G130" s="34">
        <f t="shared" si="6"/>
        <v>9.8024118793344655E-4</v>
      </c>
      <c r="I130" s="42">
        <v>3.9508779685943902</v>
      </c>
      <c r="J130" s="42">
        <v>0.25252825731185802</v>
      </c>
      <c r="K130" s="34">
        <f t="shared" si="7"/>
        <v>1.0101130292474322E-3</v>
      </c>
      <c r="M130" s="42">
        <v>4.4488245836042202</v>
      </c>
      <c r="N130" s="42">
        <v>0.30980262333220399</v>
      </c>
      <c r="O130" s="34">
        <f t="shared" si="8"/>
        <v>1.0326754111073466E-3</v>
      </c>
      <c r="Q130" s="42">
        <v>4.6486382757428197</v>
      </c>
      <c r="R130" s="42">
        <v>0.37498872921614101</v>
      </c>
      <c r="S130" s="34">
        <f t="shared" si="9"/>
        <v>8.3330828714698007E-4</v>
      </c>
    </row>
    <row r="131" spans="1:19" x14ac:dyDescent="0.25">
      <c r="A131" s="42">
        <v>4.8740513353129202</v>
      </c>
      <c r="B131" s="42">
        <v>6.9518940355382794E-2</v>
      </c>
      <c r="C131" s="34">
        <f t="shared" si="5"/>
        <v>8.6898675444228488E-4</v>
      </c>
      <c r="E131" s="42">
        <v>3.6103345231562001</v>
      </c>
      <c r="F131" s="42">
        <v>0.14367351254202701</v>
      </c>
      <c r="G131" s="34">
        <f t="shared" si="6"/>
        <v>9.5782341694684674E-4</v>
      </c>
      <c r="I131" s="42">
        <v>3.9838019516660101</v>
      </c>
      <c r="J131" s="42">
        <v>0.25127142622628401</v>
      </c>
      <c r="K131" s="34">
        <f t="shared" si="7"/>
        <v>1.005085704905136E-3</v>
      </c>
      <c r="M131" s="42">
        <v>4.4858981218009202</v>
      </c>
      <c r="N131" s="42">
        <v>0.30469614890095897</v>
      </c>
      <c r="O131" s="34">
        <f t="shared" si="8"/>
        <v>1.0156538296698632E-3</v>
      </c>
      <c r="Q131" s="42">
        <v>4.6873769280406803</v>
      </c>
      <c r="R131" s="42">
        <v>0.375197799834319</v>
      </c>
      <c r="S131" s="34">
        <f t="shared" si="9"/>
        <v>8.3377288852070892E-4</v>
      </c>
    </row>
    <row r="132" spans="1:19" x14ac:dyDescent="0.25">
      <c r="A132" s="42">
        <v>4.9143327513072403</v>
      </c>
      <c r="B132" s="42">
        <v>6.7778766720303404E-2</v>
      </c>
      <c r="C132" s="34">
        <f t="shared" si="5"/>
        <v>8.4723458400379258E-4</v>
      </c>
      <c r="E132" s="42">
        <v>3.64017199855419</v>
      </c>
      <c r="F132" s="42">
        <v>0.14089088446026399</v>
      </c>
      <c r="G132" s="34">
        <f t="shared" si="6"/>
        <v>9.3927256306842663E-4</v>
      </c>
      <c r="I132" s="42">
        <v>4.0167259347376296</v>
      </c>
      <c r="J132" s="42">
        <v>0.24943530218902599</v>
      </c>
      <c r="K132" s="34">
        <f t="shared" si="7"/>
        <v>9.9774120875610389E-4</v>
      </c>
      <c r="M132" s="42">
        <v>4.5229716599976202</v>
      </c>
      <c r="N132" s="42">
        <v>0.30157674499669301</v>
      </c>
      <c r="O132" s="34">
        <f t="shared" si="8"/>
        <v>1.0052558166556433E-3</v>
      </c>
      <c r="Q132" s="42">
        <v>4.72611558033854</v>
      </c>
      <c r="R132" s="42">
        <v>0.37616467571131401</v>
      </c>
      <c r="S132" s="34">
        <f t="shared" si="9"/>
        <v>8.3592150158069776E-4</v>
      </c>
    </row>
    <row r="133" spans="1:19" x14ac:dyDescent="0.25">
      <c r="A133" s="42">
        <v>4.9546141673015596</v>
      </c>
      <c r="B133" s="42">
        <v>6.5648937284268405E-2</v>
      </c>
      <c r="C133" s="34">
        <f t="shared" si="5"/>
        <v>8.2061171605335502E-4</v>
      </c>
      <c r="E133" s="42">
        <v>3.6700094739521698</v>
      </c>
      <c r="F133" s="42">
        <v>0.13874218673798899</v>
      </c>
      <c r="G133" s="34">
        <f t="shared" si="6"/>
        <v>9.2494791158659329E-4</v>
      </c>
      <c r="I133" s="42">
        <v>4.0496499178092504</v>
      </c>
      <c r="J133" s="42">
        <v>0.24383751862924999</v>
      </c>
      <c r="K133" s="34">
        <f t="shared" si="7"/>
        <v>9.7535007451699993E-4</v>
      </c>
      <c r="M133" s="42">
        <v>4.5600451981943202</v>
      </c>
      <c r="N133" s="42">
        <v>0.2957348213073</v>
      </c>
      <c r="O133" s="34">
        <f t="shared" si="8"/>
        <v>9.8578273769100002E-4</v>
      </c>
      <c r="Q133" s="42">
        <v>4.7648542326363899</v>
      </c>
      <c r="R133" s="42">
        <v>0.37519203543246499</v>
      </c>
      <c r="S133" s="34">
        <f t="shared" si="9"/>
        <v>8.3376007873881106E-4</v>
      </c>
    </row>
    <row r="134" spans="1:19" x14ac:dyDescent="0.25">
      <c r="A134" s="42">
        <v>4.9948955832958903</v>
      </c>
      <c r="B134" s="42">
        <v>6.3967099936860797E-2</v>
      </c>
      <c r="C134" s="34">
        <f t="shared" si="5"/>
        <v>7.9958874921076E-4</v>
      </c>
      <c r="E134" s="42">
        <v>3.6998469493501598</v>
      </c>
      <c r="F134" s="42">
        <v>0.13708119616710601</v>
      </c>
      <c r="G134" s="34">
        <f t="shared" si="6"/>
        <v>9.1387464111404007E-4</v>
      </c>
      <c r="I134" s="42">
        <v>4.0825739008808704</v>
      </c>
      <c r="J134" s="42">
        <v>0.23889491174726701</v>
      </c>
      <c r="K134" s="34">
        <f t="shared" si="7"/>
        <v>9.5557964698906803E-4</v>
      </c>
      <c r="M134" s="42">
        <v>4.5971187363910202</v>
      </c>
      <c r="N134" s="42">
        <v>0.28943024800332101</v>
      </c>
      <c r="O134" s="34">
        <f t="shared" si="8"/>
        <v>9.6476749334440336E-4</v>
      </c>
      <c r="Q134" s="42">
        <v>4.8035928849342504</v>
      </c>
      <c r="R134" s="42">
        <v>0.37115042892132899</v>
      </c>
      <c r="S134" s="34">
        <f t="shared" si="9"/>
        <v>8.2477873093628662E-4</v>
      </c>
    </row>
    <row r="135" spans="1:19" x14ac:dyDescent="0.25">
      <c r="A135" s="42">
        <v>5.0351769992902096</v>
      </c>
      <c r="B135" s="42">
        <v>6.2719810582453697E-2</v>
      </c>
      <c r="C135" s="34">
        <f t="shared" si="5"/>
        <v>7.8399763228067122E-4</v>
      </c>
      <c r="E135" s="42">
        <v>3.72968442474814</v>
      </c>
      <c r="F135" s="42">
        <v>0.13511327281591101</v>
      </c>
      <c r="G135" s="34">
        <f t="shared" si="6"/>
        <v>9.0075515210607344E-4</v>
      </c>
      <c r="I135" s="42">
        <v>4.1154978839524903</v>
      </c>
      <c r="J135" s="42">
        <v>0.234579504871126</v>
      </c>
      <c r="K135" s="34">
        <f t="shared" si="7"/>
        <v>9.3831801948450401E-4</v>
      </c>
      <c r="M135" s="42">
        <v>4.63419227458773</v>
      </c>
      <c r="N135" s="42">
        <v>0.28089055688796499</v>
      </c>
      <c r="O135" s="34">
        <f t="shared" si="8"/>
        <v>9.3630185629321662E-4</v>
      </c>
      <c r="Q135" s="42">
        <v>4.8423315372321101</v>
      </c>
      <c r="R135" s="42">
        <v>0.36776827743290702</v>
      </c>
      <c r="S135" s="34">
        <f t="shared" si="9"/>
        <v>8.1726283873979335E-4</v>
      </c>
    </row>
    <row r="136" spans="1:19" x14ac:dyDescent="0.25">
      <c r="A136" s="42">
        <v>5.0754584152845297</v>
      </c>
      <c r="B136" s="42">
        <v>6.1588011944914998E-2</v>
      </c>
      <c r="C136" s="34">
        <f t="shared" si="5"/>
        <v>7.6985014931143744E-4</v>
      </c>
      <c r="E136" s="42">
        <v>3.75952190014613</v>
      </c>
      <c r="F136" s="42">
        <v>0.13288924353835399</v>
      </c>
      <c r="G136" s="34">
        <f t="shared" si="6"/>
        <v>8.8592829025569331E-4</v>
      </c>
      <c r="I136" s="42">
        <v>4.1484218670241102</v>
      </c>
      <c r="J136" s="42">
        <v>0.22991420047351399</v>
      </c>
      <c r="K136" s="34">
        <f t="shared" si="7"/>
        <v>9.1965680189405596E-4</v>
      </c>
      <c r="M136" s="42">
        <v>4.67126581278443</v>
      </c>
      <c r="N136" s="42">
        <v>0.27365688612858702</v>
      </c>
      <c r="O136" s="34">
        <f t="shared" si="8"/>
        <v>9.121896204286234E-4</v>
      </c>
      <c r="Q136" s="42">
        <v>4.88107018952996</v>
      </c>
      <c r="R136" s="42">
        <v>0.36488449575207199</v>
      </c>
      <c r="S136" s="34">
        <f t="shared" si="9"/>
        <v>8.1085443500460445E-4</v>
      </c>
    </row>
    <row r="137" spans="1:19" x14ac:dyDescent="0.25">
      <c r="A137" s="42">
        <v>5.1157398312788498</v>
      </c>
      <c r="B137" s="42">
        <v>6.0116762314390899E-2</v>
      </c>
      <c r="C137" s="34">
        <f t="shared" si="5"/>
        <v>7.5145952892988622E-4</v>
      </c>
      <c r="E137" s="42">
        <v>3.7893593755441102</v>
      </c>
      <c r="F137" s="42">
        <v>0.131284035866715</v>
      </c>
      <c r="G137" s="34">
        <f t="shared" si="6"/>
        <v>8.7522690577809998E-4</v>
      </c>
      <c r="I137" s="42">
        <v>4.1813458500957301</v>
      </c>
      <c r="J137" s="42">
        <v>0.22486644741747699</v>
      </c>
      <c r="K137" s="34">
        <f t="shared" si="7"/>
        <v>8.9946578966990803E-4</v>
      </c>
      <c r="M137" s="42">
        <v>4.70833935098113</v>
      </c>
      <c r="N137" s="42">
        <v>0.26780078153859299</v>
      </c>
      <c r="O137" s="34">
        <f t="shared" si="8"/>
        <v>8.9266927179531001E-4</v>
      </c>
      <c r="Q137" s="42">
        <v>4.9198088418278196</v>
      </c>
      <c r="R137" s="42">
        <v>0.360542488084033</v>
      </c>
      <c r="S137" s="34">
        <f t="shared" si="9"/>
        <v>8.0120552907562883E-4</v>
      </c>
    </row>
    <row r="138" spans="1:19" x14ac:dyDescent="0.25">
      <c r="A138" s="42">
        <v>5.1560212472731699</v>
      </c>
      <c r="B138" s="42">
        <v>5.7909372732611902E-2</v>
      </c>
      <c r="C138" s="34">
        <f t="shared" ref="C138:C201" si="10">IF(OR(B138="",B$4=""),"",B138/B$4)</f>
        <v>7.2386715915764876E-4</v>
      </c>
      <c r="E138" s="42">
        <v>3.8191968509421002</v>
      </c>
      <c r="F138" s="42">
        <v>0.130254076472198</v>
      </c>
      <c r="G138" s="34">
        <f t="shared" ref="G138:G201" si="11">IF(OR(F138="",F$4=""),"",F138/F$4)</f>
        <v>8.6836050981465337E-4</v>
      </c>
      <c r="I138" s="42">
        <v>4.21426983316735</v>
      </c>
      <c r="J138" s="42">
        <v>0.22031510807702201</v>
      </c>
      <c r="K138" s="34">
        <f t="shared" ref="K138:K201" si="12">IF(OR(J138="",J$4=""),"",J138/J$4)</f>
        <v>8.8126043230808801E-4</v>
      </c>
      <c r="M138" s="42">
        <v>4.74541288917783</v>
      </c>
      <c r="N138" s="42">
        <v>0.26343800006120499</v>
      </c>
      <c r="O138" s="34">
        <f t="shared" ref="O138:O201" si="13">IF(OR(N138="",N$4=""),"",N138/N$4)</f>
        <v>8.7812666687068326E-4</v>
      </c>
      <c r="Q138" s="42">
        <v>4.9585474941256802</v>
      </c>
      <c r="R138" s="42">
        <v>0.35528691853296301</v>
      </c>
      <c r="S138" s="34">
        <f t="shared" ref="S138:S201" si="14">IF(OR(R138="",R$4=""),"",R138/R$4)</f>
        <v>7.8952648562880673E-4</v>
      </c>
    </row>
    <row r="139" spans="1:19" x14ac:dyDescent="0.25">
      <c r="A139" s="42">
        <v>5.19630266326749</v>
      </c>
      <c r="B139" s="42">
        <v>5.6076116298621297E-2</v>
      </c>
      <c r="C139" s="34">
        <f t="shared" si="10"/>
        <v>7.0095145373276621E-4</v>
      </c>
      <c r="E139" s="42">
        <v>3.8490343263400799</v>
      </c>
      <c r="F139" s="42">
        <v>0.12833884181209601</v>
      </c>
      <c r="G139" s="34">
        <f t="shared" si="11"/>
        <v>8.5559227874730677E-4</v>
      </c>
      <c r="I139" s="42">
        <v>4.24719381623897</v>
      </c>
      <c r="J139" s="42">
        <v>0.21625773975428</v>
      </c>
      <c r="K139" s="34">
        <f t="shared" si="12"/>
        <v>8.6503095901711998E-4</v>
      </c>
      <c r="M139" s="42">
        <v>4.78248642737453</v>
      </c>
      <c r="N139" s="42">
        <v>0.25935342800922001</v>
      </c>
      <c r="O139" s="34">
        <f t="shared" si="13"/>
        <v>8.6451142669740006E-4</v>
      </c>
      <c r="Q139" s="42">
        <v>4.9972861464235301</v>
      </c>
      <c r="R139" s="42">
        <v>0.350478995157333</v>
      </c>
      <c r="S139" s="34">
        <f t="shared" si="14"/>
        <v>7.7884221146073994E-4</v>
      </c>
    </row>
    <row r="140" spans="1:19" x14ac:dyDescent="0.25">
      <c r="A140" s="42">
        <v>5.2365840792618101</v>
      </c>
      <c r="B140" s="42">
        <v>5.4611317723407E-2</v>
      </c>
      <c r="C140" s="34">
        <f t="shared" si="10"/>
        <v>6.8264147154258753E-4</v>
      </c>
      <c r="E140" s="42">
        <v>3.8788718017380699</v>
      </c>
      <c r="F140" s="42">
        <v>0.125798482102709</v>
      </c>
      <c r="G140" s="34">
        <f t="shared" si="11"/>
        <v>8.3865654735139328E-4</v>
      </c>
      <c r="I140" s="42">
        <v>4.2801177993105899</v>
      </c>
      <c r="J140" s="42">
        <v>0.212683182906656</v>
      </c>
      <c r="K140" s="34">
        <f t="shared" si="12"/>
        <v>8.5073273162662396E-4</v>
      </c>
      <c r="M140" s="42">
        <v>4.81955996557123</v>
      </c>
      <c r="N140" s="42">
        <v>0.25369065675507702</v>
      </c>
      <c r="O140" s="34">
        <f t="shared" si="13"/>
        <v>8.4563552251692336E-4</v>
      </c>
      <c r="Q140" s="42">
        <v>5.0360247987213898</v>
      </c>
      <c r="R140" s="42">
        <v>0.34607203643364598</v>
      </c>
      <c r="S140" s="34">
        <f t="shared" si="14"/>
        <v>7.6904896985254662E-4</v>
      </c>
    </row>
    <row r="141" spans="1:19" x14ac:dyDescent="0.25">
      <c r="A141" s="42">
        <v>5.27686549525614</v>
      </c>
      <c r="B141" s="42">
        <v>5.3525213665305202E-2</v>
      </c>
      <c r="C141" s="34">
        <f t="shared" si="10"/>
        <v>6.6906517081631502E-4</v>
      </c>
      <c r="E141" s="42">
        <v>3.9087092771360501</v>
      </c>
      <c r="F141" s="42">
        <v>0.123313266240295</v>
      </c>
      <c r="G141" s="34">
        <f t="shared" si="11"/>
        <v>8.220884416019667E-4</v>
      </c>
      <c r="I141" s="42">
        <v>4.3130417823822098</v>
      </c>
      <c r="J141" s="42">
        <v>0.208364989034799</v>
      </c>
      <c r="K141" s="34">
        <f t="shared" si="12"/>
        <v>8.3345995613919597E-4</v>
      </c>
      <c r="M141" s="42">
        <v>4.8566335037679398</v>
      </c>
      <c r="N141" s="42">
        <v>0.247277363845917</v>
      </c>
      <c r="O141" s="34">
        <f t="shared" si="13"/>
        <v>8.2425787948638997E-4</v>
      </c>
      <c r="Q141" s="42">
        <v>5.0747634510192503</v>
      </c>
      <c r="R141" s="42">
        <v>0.33962716085405298</v>
      </c>
      <c r="S141" s="34">
        <f t="shared" si="14"/>
        <v>7.5472702412011775E-4</v>
      </c>
    </row>
    <row r="142" spans="1:19" x14ac:dyDescent="0.25">
      <c r="A142" s="42">
        <v>5.3171469112504601</v>
      </c>
      <c r="B142" s="42">
        <v>5.1965653348864903E-2</v>
      </c>
      <c r="C142" s="34">
        <f t="shared" si="10"/>
        <v>6.4957066686081128E-4</v>
      </c>
      <c r="E142" s="42">
        <v>3.9385467525340401</v>
      </c>
      <c r="F142" s="42">
        <v>0.119912953293817</v>
      </c>
      <c r="G142" s="34">
        <f t="shared" si="11"/>
        <v>7.994196886254467E-4</v>
      </c>
      <c r="I142" s="42">
        <v>4.3459657654538297</v>
      </c>
      <c r="J142" s="42">
        <v>0.203628176391766</v>
      </c>
      <c r="K142" s="34">
        <f t="shared" si="12"/>
        <v>8.1451270556706396E-4</v>
      </c>
      <c r="M142" s="42">
        <v>4.8937070419646398</v>
      </c>
      <c r="N142" s="42">
        <v>0.23967173629944899</v>
      </c>
      <c r="O142" s="34">
        <f t="shared" si="13"/>
        <v>7.9890578766482999E-4</v>
      </c>
      <c r="Q142" s="42">
        <v>5.1135021033171002</v>
      </c>
      <c r="R142" s="42">
        <v>0.33237478950264998</v>
      </c>
      <c r="S142" s="34">
        <f t="shared" si="14"/>
        <v>7.3861064333922218E-4</v>
      </c>
    </row>
    <row r="143" spans="1:19" x14ac:dyDescent="0.25">
      <c r="A143" s="42">
        <v>5.3574283272447802</v>
      </c>
      <c r="B143" s="42">
        <v>4.9968266746444501E-2</v>
      </c>
      <c r="C143" s="34">
        <f t="shared" si="10"/>
        <v>6.2460333433055624E-4</v>
      </c>
      <c r="E143" s="42">
        <v>3.9683842279320198</v>
      </c>
      <c r="F143" s="42">
        <v>0.11715571769289999</v>
      </c>
      <c r="G143" s="34">
        <f t="shared" si="11"/>
        <v>7.8103811795266658E-4</v>
      </c>
      <c r="I143" s="42">
        <v>4.3788897485254497</v>
      </c>
      <c r="J143" s="42">
        <v>0.19917053675073701</v>
      </c>
      <c r="K143" s="34">
        <f t="shared" si="12"/>
        <v>7.9668214700294806E-4</v>
      </c>
      <c r="M143" s="42">
        <v>4.9307805801613398</v>
      </c>
      <c r="N143" s="42">
        <v>0.233135199449649</v>
      </c>
      <c r="O143" s="34">
        <f t="shared" si="13"/>
        <v>7.7711733149883003E-4</v>
      </c>
      <c r="Q143" s="42">
        <v>5.1522407556149599</v>
      </c>
      <c r="R143" s="42">
        <v>0.32545299020517898</v>
      </c>
      <c r="S143" s="34">
        <f t="shared" si="14"/>
        <v>7.2322886712261993E-4</v>
      </c>
    </row>
    <row r="144" spans="1:19" x14ac:dyDescent="0.25">
      <c r="A144" s="42">
        <v>5.3977097432391004</v>
      </c>
      <c r="B144" s="42">
        <v>4.8197459272523099E-2</v>
      </c>
      <c r="C144" s="34">
        <f t="shared" si="10"/>
        <v>6.0246824090653874E-4</v>
      </c>
      <c r="E144" s="42">
        <v>3.9982217033300098</v>
      </c>
      <c r="F144" s="42">
        <v>0.11508134454104001</v>
      </c>
      <c r="G144" s="34">
        <f t="shared" si="11"/>
        <v>7.6720896360693341E-4</v>
      </c>
      <c r="I144" s="42">
        <v>4.4118137315970696</v>
      </c>
      <c r="J144" s="42">
        <v>0.194969881198502</v>
      </c>
      <c r="K144" s="34">
        <f t="shared" si="12"/>
        <v>7.7987952479400798E-4</v>
      </c>
      <c r="M144" s="42">
        <v>4.9678541183580398</v>
      </c>
      <c r="N144" s="42">
        <v>0.22466812688358001</v>
      </c>
      <c r="O144" s="34">
        <f t="shared" si="13"/>
        <v>7.4889375627860001E-4</v>
      </c>
      <c r="Q144" s="42">
        <v>5.1909794079128204</v>
      </c>
      <c r="R144" s="42">
        <v>0.318834007198606</v>
      </c>
      <c r="S144" s="34">
        <f t="shared" si="14"/>
        <v>7.0852001599690218E-4</v>
      </c>
    </row>
    <row r="145" spans="1:19" x14ac:dyDescent="0.25">
      <c r="A145" s="42">
        <v>5.4379911592334196</v>
      </c>
      <c r="B145" s="42">
        <v>4.6795620781264098E-2</v>
      </c>
      <c r="C145" s="34">
        <f t="shared" si="10"/>
        <v>5.8494525976580123E-4</v>
      </c>
      <c r="E145" s="42">
        <v>4.0280591787279896</v>
      </c>
      <c r="F145" s="42">
        <v>0.113663402111139</v>
      </c>
      <c r="G145" s="34">
        <f t="shared" si="11"/>
        <v>7.5775601407425993E-4</v>
      </c>
      <c r="I145" s="42">
        <v>4.4447377146686904</v>
      </c>
      <c r="J145" s="42">
        <v>0.19021615073418199</v>
      </c>
      <c r="K145" s="34">
        <f t="shared" si="12"/>
        <v>7.6086460293672798E-4</v>
      </c>
      <c r="M145" s="42">
        <v>5.0049276565547398</v>
      </c>
      <c r="N145" s="42">
        <v>0.216564559788787</v>
      </c>
      <c r="O145" s="34">
        <f t="shared" si="13"/>
        <v>7.2188186596262329E-4</v>
      </c>
      <c r="Q145" s="42">
        <v>5.2297180602106703</v>
      </c>
      <c r="R145" s="42">
        <v>0.30971089545849201</v>
      </c>
      <c r="S145" s="34">
        <f t="shared" si="14"/>
        <v>6.8824643435220448E-4</v>
      </c>
    </row>
    <row r="146" spans="1:19" x14ac:dyDescent="0.25">
      <c r="A146" s="42">
        <v>5.4782725752277397</v>
      </c>
      <c r="B146" s="42">
        <v>4.5771455837048898E-2</v>
      </c>
      <c r="C146" s="34">
        <f t="shared" si="10"/>
        <v>5.7214319796311118E-4</v>
      </c>
      <c r="E146" s="42">
        <v>4.0578966541259804</v>
      </c>
      <c r="F146" s="42">
        <v>0.112998842411642</v>
      </c>
      <c r="G146" s="34">
        <f t="shared" si="11"/>
        <v>7.533256160776133E-4</v>
      </c>
      <c r="I146" s="42">
        <v>4.4776616977402997</v>
      </c>
      <c r="J146" s="42">
        <v>0.18255291143690699</v>
      </c>
      <c r="K146" s="34">
        <f t="shared" si="12"/>
        <v>7.3021164574762793E-4</v>
      </c>
      <c r="M146" s="42">
        <v>5.0420011947514496</v>
      </c>
      <c r="N146" s="42">
        <v>0.20914490595980301</v>
      </c>
      <c r="O146" s="34">
        <f t="shared" si="13"/>
        <v>6.9714968653267673E-4</v>
      </c>
      <c r="Q146" s="42">
        <v>5.26845671250853</v>
      </c>
      <c r="R146" s="42">
        <v>0.30004855052314899</v>
      </c>
      <c r="S146" s="34">
        <f t="shared" si="14"/>
        <v>6.6677455671810886E-4</v>
      </c>
    </row>
    <row r="147" spans="1:19" x14ac:dyDescent="0.25">
      <c r="A147" s="42">
        <v>5.5185539912220696</v>
      </c>
      <c r="B147" s="42">
        <v>4.4880229892588497E-2</v>
      </c>
      <c r="C147" s="34">
        <f t="shared" si="10"/>
        <v>5.6100287365735621E-4</v>
      </c>
      <c r="E147" s="42">
        <v>4.0877341295239598</v>
      </c>
      <c r="F147" s="42">
        <v>0.111433682951449</v>
      </c>
      <c r="G147" s="34">
        <f t="shared" si="11"/>
        <v>7.4289121967632658E-4</v>
      </c>
      <c r="I147" s="42">
        <v>4.5105856808119196</v>
      </c>
      <c r="J147" s="42">
        <v>0.17486315342599401</v>
      </c>
      <c r="K147" s="34">
        <f t="shared" si="12"/>
        <v>6.9945261370397602E-4</v>
      </c>
      <c r="M147" s="42">
        <v>5.0790747329481496</v>
      </c>
      <c r="N147" s="42">
        <v>0.202503017877426</v>
      </c>
      <c r="O147" s="34">
        <f t="shared" si="13"/>
        <v>6.7501005959141999E-4</v>
      </c>
      <c r="Q147" s="42">
        <v>5.3071953648063896</v>
      </c>
      <c r="R147" s="42">
        <v>0.290644502583635</v>
      </c>
      <c r="S147" s="34">
        <f t="shared" si="14"/>
        <v>6.4587667240807777E-4</v>
      </c>
    </row>
    <row r="148" spans="1:19" x14ac:dyDescent="0.25">
      <c r="A148" s="42">
        <v>5.5588354072163897</v>
      </c>
      <c r="B148" s="42">
        <v>4.3372317325327599E-2</v>
      </c>
      <c r="C148" s="34">
        <f t="shared" si="10"/>
        <v>5.4215396656659496E-4</v>
      </c>
      <c r="E148" s="42">
        <v>4.1175716049219497</v>
      </c>
      <c r="F148" s="42">
        <v>0.108878730251907</v>
      </c>
      <c r="G148" s="34">
        <f t="shared" si="11"/>
        <v>7.2585820167938003E-4</v>
      </c>
      <c r="I148" s="42">
        <v>4.5435096638835404</v>
      </c>
      <c r="J148" s="42">
        <v>0.167457880585383</v>
      </c>
      <c r="K148" s="34">
        <f t="shared" si="12"/>
        <v>6.6983152234153197E-4</v>
      </c>
      <c r="M148" s="42">
        <v>5.1161482711448496</v>
      </c>
      <c r="N148" s="42">
        <v>0.194436740693924</v>
      </c>
      <c r="O148" s="34">
        <f t="shared" si="13"/>
        <v>6.4812246897974664E-4</v>
      </c>
      <c r="Q148" s="42">
        <v>5.3459340171042502</v>
      </c>
      <c r="R148" s="42">
        <v>0.28149244198673001</v>
      </c>
      <c r="S148" s="34">
        <f t="shared" si="14"/>
        <v>6.2553875997051114E-4</v>
      </c>
    </row>
    <row r="149" spans="1:19" x14ac:dyDescent="0.25">
      <c r="A149" s="42">
        <v>5.5991168232107098</v>
      </c>
      <c r="B149" s="42">
        <v>4.2172901080669498E-2</v>
      </c>
      <c r="C149" s="34">
        <f t="shared" si="10"/>
        <v>5.2716126350836872E-4</v>
      </c>
      <c r="E149" s="42">
        <v>4.1474090803199299</v>
      </c>
      <c r="F149" s="42">
        <v>0.105886112742513</v>
      </c>
      <c r="G149" s="34">
        <f t="shared" si="11"/>
        <v>7.0590741828342003E-4</v>
      </c>
      <c r="I149" s="42">
        <v>4.5764336469551603</v>
      </c>
      <c r="J149" s="42">
        <v>0.16035580625565299</v>
      </c>
      <c r="K149" s="34">
        <f t="shared" si="12"/>
        <v>6.41423225022612E-4</v>
      </c>
      <c r="M149" s="42">
        <v>5.1532218093415496</v>
      </c>
      <c r="N149" s="42">
        <v>0.18581234143272601</v>
      </c>
      <c r="O149" s="34">
        <f t="shared" si="13"/>
        <v>6.1937447144242005E-4</v>
      </c>
      <c r="Q149" s="42">
        <v>5.3846726694021001</v>
      </c>
      <c r="R149" s="42">
        <v>0.26946827721366601</v>
      </c>
      <c r="S149" s="34">
        <f t="shared" si="14"/>
        <v>5.9881839380814667E-4</v>
      </c>
    </row>
    <row r="150" spans="1:19" x14ac:dyDescent="0.25">
      <c r="A150" s="42">
        <v>5.6393982392050299</v>
      </c>
      <c r="B150" s="42">
        <v>4.1371366513665797E-2</v>
      </c>
      <c r="C150" s="34">
        <f t="shared" si="10"/>
        <v>5.1714208142082251E-4</v>
      </c>
      <c r="E150" s="42">
        <v>4.1772465557179199</v>
      </c>
      <c r="F150" s="42">
        <v>0.10367453217894</v>
      </c>
      <c r="G150" s="34">
        <f t="shared" si="11"/>
        <v>6.9116354785959998E-4</v>
      </c>
      <c r="I150" s="42">
        <v>4.6093576300267802</v>
      </c>
      <c r="J150" s="42">
        <v>0.153151001684524</v>
      </c>
      <c r="K150" s="34">
        <f t="shared" si="12"/>
        <v>6.1260400673809597E-4</v>
      </c>
      <c r="M150" s="42">
        <v>5.1902953475382496</v>
      </c>
      <c r="N150" s="42">
        <v>0.177650851849004</v>
      </c>
      <c r="O150" s="34">
        <f t="shared" si="13"/>
        <v>5.9216950616334673E-4</v>
      </c>
      <c r="Q150" s="42">
        <v>5.4234113216999598</v>
      </c>
      <c r="R150" s="42">
        <v>0.25725487278262998</v>
      </c>
      <c r="S150" s="34">
        <f t="shared" si="14"/>
        <v>5.7167749507251113E-4</v>
      </c>
    </row>
    <row r="151" spans="1:19" x14ac:dyDescent="0.25">
      <c r="A151" s="42">
        <v>5.67967965519935</v>
      </c>
      <c r="B151" s="42">
        <v>4.0963506748849299E-2</v>
      </c>
      <c r="C151" s="34">
        <f t="shared" si="10"/>
        <v>5.1204383436061619E-4</v>
      </c>
      <c r="E151" s="42">
        <v>4.2070840311159001</v>
      </c>
      <c r="F151" s="42">
        <v>0.102387785977418</v>
      </c>
      <c r="G151" s="34">
        <f t="shared" si="11"/>
        <v>6.8258523984945333E-4</v>
      </c>
      <c r="I151" s="42">
        <v>4.6422816130984002</v>
      </c>
      <c r="J151" s="42">
        <v>0.14419924892334601</v>
      </c>
      <c r="K151" s="34">
        <f t="shared" si="12"/>
        <v>5.7679699569338405E-4</v>
      </c>
      <c r="M151" s="42">
        <v>5.2273688857349496</v>
      </c>
      <c r="N151" s="42">
        <v>0.169914465641092</v>
      </c>
      <c r="O151" s="34">
        <f t="shared" si="13"/>
        <v>5.6638155213697332E-4</v>
      </c>
      <c r="Q151" s="42">
        <v>5.4621499739978203</v>
      </c>
      <c r="R151" s="42">
        <v>0.24521597185841501</v>
      </c>
      <c r="S151" s="34">
        <f t="shared" si="14"/>
        <v>5.449243819075889E-4</v>
      </c>
    </row>
    <row r="152" spans="1:19" x14ac:dyDescent="0.25">
      <c r="A152" s="42">
        <v>5.7199610711936701</v>
      </c>
      <c r="B152" s="42">
        <v>4.0925887066988902E-2</v>
      </c>
      <c r="C152" s="34">
        <f t="shared" si="10"/>
        <v>5.1157358833736123E-4</v>
      </c>
      <c r="E152" s="42">
        <v>4.2369215065138901</v>
      </c>
      <c r="F152" s="42">
        <v>0.101966723514462</v>
      </c>
      <c r="G152" s="34">
        <f t="shared" si="11"/>
        <v>6.7977815676307997E-4</v>
      </c>
      <c r="I152" s="42">
        <v>4.6752055961700201</v>
      </c>
      <c r="J152" s="42">
        <v>0.13551767382674201</v>
      </c>
      <c r="K152" s="34">
        <f t="shared" si="12"/>
        <v>5.42070695306968E-4</v>
      </c>
      <c r="M152" s="42">
        <v>5.2644424239316603</v>
      </c>
      <c r="N152" s="42">
        <v>0.161236608233604</v>
      </c>
      <c r="O152" s="34">
        <f t="shared" si="13"/>
        <v>5.3745536077867999E-4</v>
      </c>
      <c r="Q152" s="42">
        <v>5.5008886262956702</v>
      </c>
      <c r="R152" s="42">
        <v>0.23334375116758599</v>
      </c>
      <c r="S152" s="34">
        <f t="shared" si="14"/>
        <v>5.1854166926130216E-4</v>
      </c>
    </row>
    <row r="153" spans="1:19" x14ac:dyDescent="0.25">
      <c r="A153" s="42">
        <v>5.760242487188</v>
      </c>
      <c r="B153" s="42">
        <v>4.0546769519040099E-2</v>
      </c>
      <c r="C153" s="34">
        <f t="shared" si="10"/>
        <v>5.0683461898800122E-4</v>
      </c>
      <c r="E153" s="42">
        <v>4.2667589819118703</v>
      </c>
      <c r="F153" s="42">
        <v>0.102434168877194</v>
      </c>
      <c r="G153" s="34">
        <f t="shared" si="11"/>
        <v>6.8289445918129333E-4</v>
      </c>
      <c r="I153" s="42">
        <v>4.70812957924164</v>
      </c>
      <c r="J153" s="42">
        <v>0.12711528361241001</v>
      </c>
      <c r="K153" s="34">
        <f t="shared" si="12"/>
        <v>5.0846113444963999E-4</v>
      </c>
      <c r="M153" s="42">
        <v>5.3015159621283603</v>
      </c>
      <c r="N153" s="42">
        <v>0.15131950234966501</v>
      </c>
      <c r="O153" s="34">
        <f t="shared" si="13"/>
        <v>5.0439834116555E-4</v>
      </c>
      <c r="Q153" s="42">
        <v>5.5396272785935299</v>
      </c>
      <c r="R153" s="42">
        <v>0.21871545678850299</v>
      </c>
      <c r="S153" s="34">
        <f t="shared" si="14"/>
        <v>4.860343484188955E-4</v>
      </c>
    </row>
    <row r="154" spans="1:19" x14ac:dyDescent="0.25">
      <c r="A154" s="42">
        <v>5.8005239031823201</v>
      </c>
      <c r="B154" s="42">
        <v>4.0022217277597298E-2</v>
      </c>
      <c r="C154" s="34">
        <f t="shared" si="10"/>
        <v>5.0027771596996618E-4</v>
      </c>
      <c r="E154" s="42">
        <v>4.2965964573098603</v>
      </c>
      <c r="F154" s="42">
        <v>0.103835522525838</v>
      </c>
      <c r="G154" s="34">
        <f t="shared" si="11"/>
        <v>6.9223681683892001E-4</v>
      </c>
      <c r="I154" s="42">
        <v>4.7410535623132599</v>
      </c>
      <c r="J154" s="42">
        <v>0.119020519072726</v>
      </c>
      <c r="K154" s="34">
        <f t="shared" si="12"/>
        <v>4.76082076290904E-4</v>
      </c>
      <c r="M154" s="42">
        <v>5.3385895003250603</v>
      </c>
      <c r="N154" s="42">
        <v>0.140353945687438</v>
      </c>
      <c r="O154" s="34">
        <f t="shared" si="13"/>
        <v>4.6784648562479337E-4</v>
      </c>
      <c r="Q154" s="42">
        <v>5.5783659308913904</v>
      </c>
      <c r="R154" s="42">
        <v>0.20274955818529899</v>
      </c>
      <c r="S154" s="34">
        <f t="shared" si="14"/>
        <v>4.5055457374510886E-4</v>
      </c>
    </row>
    <row r="155" spans="1:19" x14ac:dyDescent="0.25">
      <c r="A155" s="42">
        <v>5.8408053191766403</v>
      </c>
      <c r="B155" s="42">
        <v>3.9798727648594802E-2</v>
      </c>
      <c r="C155" s="34">
        <f t="shared" si="10"/>
        <v>4.9748409560743502E-4</v>
      </c>
      <c r="E155" s="42">
        <v>4.3264339327078396</v>
      </c>
      <c r="F155" s="42">
        <v>0.10150901544095101</v>
      </c>
      <c r="G155" s="34">
        <f t="shared" si="11"/>
        <v>6.7672676960634003E-4</v>
      </c>
      <c r="I155" s="42">
        <v>4.7739775453848798</v>
      </c>
      <c r="J155" s="42">
        <v>0.11013258852373101</v>
      </c>
      <c r="K155" s="34">
        <f t="shared" si="12"/>
        <v>4.4053035409492402E-4</v>
      </c>
      <c r="M155" s="42">
        <v>5.3756630385217603</v>
      </c>
      <c r="N155" s="42">
        <v>0.12997308589891801</v>
      </c>
      <c r="O155" s="34">
        <f t="shared" si="13"/>
        <v>4.3324361966306005E-4</v>
      </c>
      <c r="Q155" s="42">
        <v>5.6171045831892403</v>
      </c>
      <c r="R155" s="42">
        <v>0.187209582576364</v>
      </c>
      <c r="S155" s="34">
        <f t="shared" si="14"/>
        <v>4.160212946141422E-4</v>
      </c>
    </row>
    <row r="156" spans="1:19" x14ac:dyDescent="0.25">
      <c r="A156" s="42">
        <v>5.8810867351709604</v>
      </c>
      <c r="B156" s="42">
        <v>3.9867538648902599E-2</v>
      </c>
      <c r="C156" s="34">
        <f t="shared" si="10"/>
        <v>4.9834423311128251E-4</v>
      </c>
      <c r="E156" s="42">
        <v>4.3562714081058296</v>
      </c>
      <c r="F156" s="42">
        <v>9.9989220004541204E-2</v>
      </c>
      <c r="G156" s="34">
        <f t="shared" si="11"/>
        <v>6.6659480003027473E-4</v>
      </c>
      <c r="I156" s="42">
        <v>4.8069015284564998</v>
      </c>
      <c r="J156" s="42">
        <v>0.100695547576792</v>
      </c>
      <c r="K156" s="34">
        <f t="shared" si="12"/>
        <v>4.0278219030716799E-4</v>
      </c>
      <c r="M156" s="42">
        <v>5.4127365767184603</v>
      </c>
      <c r="N156" s="42">
        <v>0.11984446384336001</v>
      </c>
      <c r="O156" s="34">
        <f t="shared" si="13"/>
        <v>3.9948154614453333E-4</v>
      </c>
      <c r="Q156" s="42">
        <v>5.6558432354871</v>
      </c>
      <c r="R156" s="42">
        <v>0.17216357268348201</v>
      </c>
      <c r="S156" s="34">
        <f t="shared" si="14"/>
        <v>3.8258571707440448E-4</v>
      </c>
    </row>
    <row r="157" spans="1:19" x14ac:dyDescent="0.25">
      <c r="A157" s="42">
        <v>5.9213681511652796</v>
      </c>
      <c r="B157" s="42">
        <v>3.9926611974141601E-2</v>
      </c>
      <c r="C157" s="34">
        <f t="shared" si="10"/>
        <v>4.9908264967677004E-4</v>
      </c>
      <c r="E157" s="42">
        <v>4.3861088835038098</v>
      </c>
      <c r="F157" s="42">
        <v>9.9355539583826993E-2</v>
      </c>
      <c r="G157" s="34">
        <f t="shared" si="11"/>
        <v>6.6237026389217993E-4</v>
      </c>
      <c r="I157" s="42">
        <v>4.8398255115281197</v>
      </c>
      <c r="J157" s="42">
        <v>9.2076394068339895E-2</v>
      </c>
      <c r="K157" s="34">
        <f t="shared" si="12"/>
        <v>3.6830557627335958E-4</v>
      </c>
      <c r="M157" s="42">
        <v>5.4498101149151603</v>
      </c>
      <c r="N157" s="42">
        <v>0.10898391892025699</v>
      </c>
      <c r="O157" s="34">
        <f t="shared" si="13"/>
        <v>3.6327972973419E-4</v>
      </c>
      <c r="Q157" s="42">
        <v>5.6945818877849597</v>
      </c>
      <c r="R157" s="42">
        <v>0.156011736813502</v>
      </c>
      <c r="S157" s="34">
        <f t="shared" si="14"/>
        <v>3.4669274847444888E-4</v>
      </c>
    </row>
    <row r="158" spans="1:19" x14ac:dyDescent="0.25">
      <c r="A158" s="42">
        <v>5.9616495671595997</v>
      </c>
      <c r="B158" s="42">
        <v>3.9727226462029898E-2</v>
      </c>
      <c r="C158" s="34">
        <f t="shared" si="10"/>
        <v>4.9659033077537377E-4</v>
      </c>
      <c r="E158" s="42">
        <v>4.4159463589017998</v>
      </c>
      <c r="F158" s="42">
        <v>9.9607988797818695E-2</v>
      </c>
      <c r="G158" s="34">
        <f t="shared" si="11"/>
        <v>6.6405325865212463E-4</v>
      </c>
      <c r="I158" s="42">
        <v>4.8727494945997396</v>
      </c>
      <c r="J158" s="42">
        <v>8.4565149497916603E-2</v>
      </c>
      <c r="K158" s="34">
        <f t="shared" si="12"/>
        <v>3.3826059799166639E-4</v>
      </c>
      <c r="M158" s="42">
        <v>5.4868836531118701</v>
      </c>
      <c r="N158" s="42">
        <v>9.9615293631419993E-2</v>
      </c>
      <c r="O158" s="34">
        <f t="shared" si="13"/>
        <v>3.320509787714E-4</v>
      </c>
      <c r="Q158" s="42">
        <v>5.7333205400828096</v>
      </c>
      <c r="R158" s="42">
        <v>0.140966567146147</v>
      </c>
      <c r="S158" s="34">
        <f t="shared" si="14"/>
        <v>3.1325903810254887E-4</v>
      </c>
    </row>
    <row r="159" spans="1:19" x14ac:dyDescent="0.25">
      <c r="A159" s="42">
        <v>6.0019309831539296</v>
      </c>
      <c r="B159" s="42">
        <v>3.9610594869083401E-2</v>
      </c>
      <c r="C159" s="34">
        <f t="shared" si="10"/>
        <v>4.9513243586354254E-4</v>
      </c>
      <c r="E159" s="42">
        <v>4.44578383429978</v>
      </c>
      <c r="F159" s="42">
        <v>0.10073566167506</v>
      </c>
      <c r="G159" s="34">
        <f t="shared" si="11"/>
        <v>6.7157107783373331E-4</v>
      </c>
      <c r="I159" s="42">
        <v>4.9056734776713604</v>
      </c>
      <c r="J159" s="42">
        <v>7.8451764996008894E-2</v>
      </c>
      <c r="K159" s="34">
        <f t="shared" si="12"/>
        <v>3.1380705998403557E-4</v>
      </c>
      <c r="M159" s="42">
        <v>5.5239571913085701</v>
      </c>
      <c r="N159" s="42">
        <v>9.2025743053936196E-2</v>
      </c>
      <c r="O159" s="34">
        <f t="shared" si="13"/>
        <v>3.0675247684645401E-4</v>
      </c>
      <c r="Q159" s="42">
        <v>5.7720591923806701</v>
      </c>
      <c r="R159" s="42">
        <v>0.12733172949886601</v>
      </c>
      <c r="S159" s="34">
        <f t="shared" si="14"/>
        <v>2.8295939888636892E-4</v>
      </c>
    </row>
    <row r="160" spans="1:19" x14ac:dyDescent="0.25">
      <c r="A160" s="42"/>
      <c r="B160" s="42"/>
      <c r="C160" s="34" t="str">
        <f t="shared" si="10"/>
        <v/>
      </c>
      <c r="E160" s="42"/>
      <c r="F160" s="42"/>
      <c r="G160" s="34" t="str">
        <f t="shared" si="11"/>
        <v/>
      </c>
      <c r="I160" s="42"/>
      <c r="J160" s="42"/>
      <c r="K160" s="34" t="str">
        <f t="shared" si="12"/>
        <v/>
      </c>
      <c r="M160" s="42"/>
      <c r="N160" s="42"/>
      <c r="O160" s="34" t="str">
        <f t="shared" si="13"/>
        <v/>
      </c>
      <c r="Q160" s="42"/>
      <c r="R160" s="42"/>
      <c r="S160" s="34" t="str">
        <f t="shared" si="14"/>
        <v/>
      </c>
    </row>
    <row r="161" spans="1:19" x14ac:dyDescent="0.25">
      <c r="A161" s="42"/>
      <c r="B161" s="42"/>
      <c r="C161" s="34" t="str">
        <f t="shared" si="10"/>
        <v/>
      </c>
      <c r="E161" s="42"/>
      <c r="F161" s="42"/>
      <c r="G161" s="34" t="str">
        <f t="shared" si="11"/>
        <v/>
      </c>
      <c r="I161" s="42"/>
      <c r="J161" s="42"/>
      <c r="K161" s="34" t="str">
        <f t="shared" si="12"/>
        <v/>
      </c>
      <c r="M161" s="42"/>
      <c r="N161" s="42"/>
      <c r="O161" s="34" t="str">
        <f t="shared" si="13"/>
        <v/>
      </c>
      <c r="Q161" s="42"/>
      <c r="R161" s="42"/>
      <c r="S161" s="34" t="str">
        <f t="shared" si="14"/>
        <v/>
      </c>
    </row>
    <row r="162" spans="1:19" x14ac:dyDescent="0.25">
      <c r="A162" s="42"/>
      <c r="B162" s="42"/>
      <c r="C162" s="34" t="str">
        <f t="shared" si="10"/>
        <v/>
      </c>
      <c r="E162" s="42"/>
      <c r="F162" s="42"/>
      <c r="G162" s="34" t="str">
        <f t="shared" si="11"/>
        <v/>
      </c>
      <c r="I162" s="42"/>
      <c r="J162" s="42"/>
      <c r="K162" s="34" t="str">
        <f t="shared" si="12"/>
        <v/>
      </c>
      <c r="M162" s="42"/>
      <c r="N162" s="42"/>
      <c r="O162" s="34" t="str">
        <f t="shared" si="13"/>
        <v/>
      </c>
      <c r="Q162" s="42"/>
      <c r="R162" s="42"/>
      <c r="S162" s="34" t="str">
        <f t="shared" si="14"/>
        <v/>
      </c>
    </row>
    <row r="163" spans="1:19" x14ac:dyDescent="0.25">
      <c r="A163" s="42"/>
      <c r="B163" s="42"/>
      <c r="C163" s="34" t="str">
        <f t="shared" si="10"/>
        <v/>
      </c>
      <c r="E163" s="42"/>
      <c r="F163" s="42"/>
      <c r="G163" s="34" t="str">
        <f t="shared" si="11"/>
        <v/>
      </c>
      <c r="I163" s="42"/>
      <c r="J163" s="42"/>
      <c r="K163" s="34" t="str">
        <f t="shared" si="12"/>
        <v/>
      </c>
      <c r="M163" s="42"/>
      <c r="N163" s="42"/>
      <c r="O163" s="34" t="str">
        <f t="shared" si="13"/>
        <v/>
      </c>
      <c r="Q163" s="42"/>
      <c r="R163" s="42"/>
      <c r="S163" s="34" t="str">
        <f t="shared" si="14"/>
        <v/>
      </c>
    </row>
    <row r="164" spans="1:19" x14ac:dyDescent="0.25">
      <c r="A164" s="42"/>
      <c r="B164" s="42"/>
      <c r="C164" s="34" t="str">
        <f t="shared" si="10"/>
        <v/>
      </c>
      <c r="E164" s="42"/>
      <c r="F164" s="42"/>
      <c r="G164" s="34" t="str">
        <f t="shared" si="11"/>
        <v/>
      </c>
      <c r="I164" s="42"/>
      <c r="J164" s="42"/>
      <c r="K164" s="34" t="str">
        <f t="shared" si="12"/>
        <v/>
      </c>
      <c r="M164" s="42"/>
      <c r="N164" s="42"/>
      <c r="O164" s="34" t="str">
        <f t="shared" si="13"/>
        <v/>
      </c>
      <c r="Q164" s="42"/>
      <c r="R164" s="42"/>
      <c r="S164" s="34" t="str">
        <f t="shared" si="14"/>
        <v/>
      </c>
    </row>
    <row r="165" spans="1:19" x14ac:dyDescent="0.25">
      <c r="A165" s="42"/>
      <c r="B165" s="42"/>
      <c r="C165" s="34" t="str">
        <f t="shared" si="10"/>
        <v/>
      </c>
      <c r="E165" s="42"/>
      <c r="F165" s="42"/>
      <c r="G165" s="34" t="str">
        <f t="shared" si="11"/>
        <v/>
      </c>
      <c r="I165" s="42"/>
      <c r="J165" s="42"/>
      <c r="K165" s="34" t="str">
        <f t="shared" si="12"/>
        <v/>
      </c>
      <c r="M165" s="42"/>
      <c r="N165" s="42"/>
      <c r="O165" s="34" t="str">
        <f t="shared" si="13"/>
        <v/>
      </c>
      <c r="Q165" s="42"/>
      <c r="R165" s="42"/>
      <c r="S165" s="34" t="str">
        <f t="shared" si="14"/>
        <v/>
      </c>
    </row>
    <row r="166" spans="1:19" x14ac:dyDescent="0.25">
      <c r="A166" s="42"/>
      <c r="B166" s="42"/>
      <c r="C166" s="34" t="str">
        <f t="shared" si="10"/>
        <v/>
      </c>
      <c r="E166" s="42"/>
      <c r="F166" s="42"/>
      <c r="G166" s="34" t="str">
        <f t="shared" si="11"/>
        <v/>
      </c>
      <c r="I166" s="42"/>
      <c r="J166" s="42"/>
      <c r="K166" s="34" t="str">
        <f t="shared" si="12"/>
        <v/>
      </c>
      <c r="M166" s="42"/>
      <c r="N166" s="42"/>
      <c r="O166" s="34" t="str">
        <f t="shared" si="13"/>
        <v/>
      </c>
      <c r="Q166" s="42"/>
      <c r="R166" s="42"/>
      <c r="S166" s="34" t="str">
        <f t="shared" si="14"/>
        <v/>
      </c>
    </row>
    <row r="167" spans="1:19" x14ac:dyDescent="0.25">
      <c r="A167" s="42"/>
      <c r="B167" s="42"/>
      <c r="C167" s="34" t="str">
        <f t="shared" si="10"/>
        <v/>
      </c>
      <c r="E167" s="42"/>
      <c r="F167" s="42"/>
      <c r="G167" s="34" t="str">
        <f t="shared" si="11"/>
        <v/>
      </c>
      <c r="I167" s="42"/>
      <c r="J167" s="42"/>
      <c r="K167" s="34" t="str">
        <f t="shared" si="12"/>
        <v/>
      </c>
      <c r="M167" s="42"/>
      <c r="N167" s="42"/>
      <c r="O167" s="34" t="str">
        <f t="shared" si="13"/>
        <v/>
      </c>
      <c r="Q167" s="42"/>
      <c r="R167" s="42"/>
      <c r="S167" s="34" t="str">
        <f t="shared" si="14"/>
        <v/>
      </c>
    </row>
    <row r="168" spans="1:19" x14ac:dyDescent="0.25">
      <c r="A168" s="42"/>
      <c r="B168" s="42"/>
      <c r="C168" s="34" t="str">
        <f t="shared" si="10"/>
        <v/>
      </c>
      <c r="E168" s="42"/>
      <c r="F168" s="42"/>
      <c r="G168" s="34" t="str">
        <f t="shared" si="11"/>
        <v/>
      </c>
      <c r="I168" s="42"/>
      <c r="J168" s="42"/>
      <c r="K168" s="34" t="str">
        <f t="shared" si="12"/>
        <v/>
      </c>
      <c r="M168" s="42"/>
      <c r="N168" s="42"/>
      <c r="O168" s="34" t="str">
        <f t="shared" si="13"/>
        <v/>
      </c>
      <c r="Q168" s="42"/>
      <c r="R168" s="42"/>
      <c r="S168" s="34" t="str">
        <f t="shared" si="14"/>
        <v/>
      </c>
    </row>
    <row r="169" spans="1:19" x14ac:dyDescent="0.25">
      <c r="A169" s="42"/>
      <c r="B169" s="42"/>
      <c r="C169" s="34" t="str">
        <f t="shared" si="10"/>
        <v/>
      </c>
      <c r="E169" s="42"/>
      <c r="F169" s="42"/>
      <c r="G169" s="34" t="str">
        <f t="shared" si="11"/>
        <v/>
      </c>
      <c r="I169" s="42"/>
      <c r="J169" s="42"/>
      <c r="K169" s="34" t="str">
        <f t="shared" si="12"/>
        <v/>
      </c>
      <c r="M169" s="42"/>
      <c r="N169" s="42"/>
      <c r="O169" s="34" t="str">
        <f t="shared" si="13"/>
        <v/>
      </c>
      <c r="Q169" s="42"/>
      <c r="R169" s="42"/>
      <c r="S169" s="34" t="str">
        <f t="shared" si="14"/>
        <v/>
      </c>
    </row>
    <row r="170" spans="1:19" x14ac:dyDescent="0.25">
      <c r="A170" s="42"/>
      <c r="B170" s="42"/>
      <c r="C170" s="34" t="str">
        <f t="shared" si="10"/>
        <v/>
      </c>
      <c r="E170" s="42"/>
      <c r="F170" s="42"/>
      <c r="G170" s="34" t="str">
        <f t="shared" si="11"/>
        <v/>
      </c>
      <c r="I170" s="42"/>
      <c r="J170" s="42"/>
      <c r="K170" s="34" t="str">
        <f t="shared" si="12"/>
        <v/>
      </c>
      <c r="M170" s="42"/>
      <c r="N170" s="42"/>
      <c r="O170" s="34" t="str">
        <f t="shared" si="13"/>
        <v/>
      </c>
      <c r="Q170" s="42"/>
      <c r="R170" s="42"/>
      <c r="S170" s="34" t="str">
        <f t="shared" si="14"/>
        <v/>
      </c>
    </row>
    <row r="171" spans="1:19" x14ac:dyDescent="0.25">
      <c r="A171" s="42"/>
      <c r="B171" s="42"/>
      <c r="C171" s="34" t="str">
        <f t="shared" si="10"/>
        <v/>
      </c>
      <c r="E171" s="42"/>
      <c r="F171" s="42"/>
      <c r="G171" s="34" t="str">
        <f t="shared" si="11"/>
        <v/>
      </c>
      <c r="I171" s="42"/>
      <c r="J171" s="42"/>
      <c r="K171" s="34" t="str">
        <f t="shared" si="12"/>
        <v/>
      </c>
      <c r="M171" s="42"/>
      <c r="N171" s="42"/>
      <c r="O171" s="34" t="str">
        <f t="shared" si="13"/>
        <v/>
      </c>
      <c r="Q171" s="42"/>
      <c r="R171" s="42"/>
      <c r="S171" s="34" t="str">
        <f t="shared" si="14"/>
        <v/>
      </c>
    </row>
    <row r="172" spans="1:19" x14ac:dyDescent="0.25">
      <c r="A172" s="42"/>
      <c r="B172" s="42"/>
      <c r="C172" s="34" t="str">
        <f t="shared" si="10"/>
        <v/>
      </c>
      <c r="E172" s="42"/>
      <c r="F172" s="42"/>
      <c r="G172" s="34" t="str">
        <f t="shared" si="11"/>
        <v/>
      </c>
      <c r="I172" s="42"/>
      <c r="J172" s="42"/>
      <c r="K172" s="34" t="str">
        <f t="shared" si="12"/>
        <v/>
      </c>
      <c r="M172" s="42"/>
      <c r="N172" s="42"/>
      <c r="O172" s="34" t="str">
        <f t="shared" si="13"/>
        <v/>
      </c>
      <c r="Q172" s="42"/>
      <c r="R172" s="42"/>
      <c r="S172" s="34" t="str">
        <f t="shared" si="14"/>
        <v/>
      </c>
    </row>
    <row r="173" spans="1:19" x14ac:dyDescent="0.25">
      <c r="A173" s="42"/>
      <c r="B173" s="42"/>
      <c r="C173" s="34" t="str">
        <f t="shared" si="10"/>
        <v/>
      </c>
      <c r="E173" s="42"/>
      <c r="F173" s="42"/>
      <c r="G173" s="34" t="str">
        <f t="shared" si="11"/>
        <v/>
      </c>
      <c r="I173" s="42"/>
      <c r="J173" s="42"/>
      <c r="K173" s="34" t="str">
        <f t="shared" si="12"/>
        <v/>
      </c>
      <c r="M173" s="42"/>
      <c r="N173" s="42"/>
      <c r="O173" s="34" t="str">
        <f t="shared" si="13"/>
        <v/>
      </c>
      <c r="Q173" s="42"/>
      <c r="R173" s="42"/>
      <c r="S173" s="34" t="str">
        <f t="shared" si="14"/>
        <v/>
      </c>
    </row>
    <row r="174" spans="1:19" x14ac:dyDescent="0.25">
      <c r="A174" s="42"/>
      <c r="B174" s="42"/>
      <c r="C174" s="34" t="str">
        <f t="shared" si="10"/>
        <v/>
      </c>
      <c r="E174" s="42"/>
      <c r="F174" s="42"/>
      <c r="G174" s="34" t="str">
        <f t="shared" si="11"/>
        <v/>
      </c>
      <c r="I174" s="42"/>
      <c r="J174" s="42"/>
      <c r="K174" s="34" t="str">
        <f t="shared" si="12"/>
        <v/>
      </c>
      <c r="M174" s="42"/>
      <c r="N174" s="42"/>
      <c r="O174" s="34" t="str">
        <f t="shared" si="13"/>
        <v/>
      </c>
      <c r="Q174" s="42"/>
      <c r="R174" s="42"/>
      <c r="S174" s="34" t="str">
        <f t="shared" si="14"/>
        <v/>
      </c>
    </row>
    <row r="175" spans="1:19" x14ac:dyDescent="0.25">
      <c r="A175" s="42"/>
      <c r="B175" s="42"/>
      <c r="C175" s="34" t="str">
        <f t="shared" si="10"/>
        <v/>
      </c>
      <c r="E175" s="42"/>
      <c r="F175" s="42"/>
      <c r="G175" s="34" t="str">
        <f t="shared" si="11"/>
        <v/>
      </c>
      <c r="I175" s="42"/>
      <c r="J175" s="42"/>
      <c r="K175" s="34" t="str">
        <f t="shared" si="12"/>
        <v/>
      </c>
      <c r="M175" s="42"/>
      <c r="N175" s="42"/>
      <c r="O175" s="34" t="str">
        <f t="shared" si="13"/>
        <v/>
      </c>
      <c r="Q175" s="42"/>
      <c r="R175" s="42"/>
      <c r="S175" s="34" t="str">
        <f t="shared" si="14"/>
        <v/>
      </c>
    </row>
    <row r="176" spans="1:19" x14ac:dyDescent="0.25">
      <c r="A176" s="42"/>
      <c r="B176" s="42"/>
      <c r="C176" s="34" t="str">
        <f t="shared" si="10"/>
        <v/>
      </c>
      <c r="E176" s="42"/>
      <c r="F176" s="42"/>
      <c r="G176" s="34" t="str">
        <f t="shared" si="11"/>
        <v/>
      </c>
      <c r="I176" s="42"/>
      <c r="J176" s="42"/>
      <c r="K176" s="34" t="str">
        <f t="shared" si="12"/>
        <v/>
      </c>
      <c r="M176" s="42"/>
      <c r="N176" s="42"/>
      <c r="O176" s="34" t="str">
        <f t="shared" si="13"/>
        <v/>
      </c>
      <c r="Q176" s="42"/>
      <c r="R176" s="42"/>
      <c r="S176" s="34" t="str">
        <f t="shared" si="14"/>
        <v/>
      </c>
    </row>
    <row r="177" spans="1:19" x14ac:dyDescent="0.25">
      <c r="A177" s="42"/>
      <c r="B177" s="42"/>
      <c r="C177" s="34" t="str">
        <f t="shared" si="10"/>
        <v/>
      </c>
      <c r="E177" s="42"/>
      <c r="F177" s="42"/>
      <c r="G177" s="34" t="str">
        <f t="shared" si="11"/>
        <v/>
      </c>
      <c r="I177" s="42"/>
      <c r="J177" s="42"/>
      <c r="K177" s="34" t="str">
        <f t="shared" si="12"/>
        <v/>
      </c>
      <c r="M177" s="42"/>
      <c r="N177" s="42"/>
      <c r="O177" s="34" t="str">
        <f t="shared" si="13"/>
        <v/>
      </c>
      <c r="Q177" s="42"/>
      <c r="R177" s="42"/>
      <c r="S177" s="34" t="str">
        <f t="shared" si="14"/>
        <v/>
      </c>
    </row>
    <row r="178" spans="1:19" x14ac:dyDescent="0.25">
      <c r="A178" s="42"/>
      <c r="B178" s="42"/>
      <c r="C178" s="34" t="str">
        <f t="shared" si="10"/>
        <v/>
      </c>
      <c r="E178" s="42"/>
      <c r="F178" s="42"/>
      <c r="G178" s="34" t="str">
        <f t="shared" si="11"/>
        <v/>
      </c>
      <c r="I178" s="42"/>
      <c r="J178" s="42"/>
      <c r="K178" s="34" t="str">
        <f t="shared" si="12"/>
        <v/>
      </c>
      <c r="M178" s="42"/>
      <c r="N178" s="42"/>
      <c r="O178" s="34" t="str">
        <f t="shared" si="13"/>
        <v/>
      </c>
      <c r="Q178" s="42"/>
      <c r="R178" s="42"/>
      <c r="S178" s="34" t="str">
        <f t="shared" si="14"/>
        <v/>
      </c>
    </row>
    <row r="179" spans="1:19" x14ac:dyDescent="0.25">
      <c r="A179" s="42"/>
      <c r="B179" s="42"/>
      <c r="C179" s="34" t="str">
        <f t="shared" si="10"/>
        <v/>
      </c>
      <c r="E179" s="42"/>
      <c r="F179" s="42"/>
      <c r="G179" s="34" t="str">
        <f t="shared" si="11"/>
        <v/>
      </c>
      <c r="I179" s="42"/>
      <c r="J179" s="42"/>
      <c r="K179" s="34" t="str">
        <f t="shared" si="12"/>
        <v/>
      </c>
      <c r="M179" s="42"/>
      <c r="N179" s="42"/>
      <c r="O179" s="34" t="str">
        <f t="shared" si="13"/>
        <v/>
      </c>
      <c r="Q179" s="42"/>
      <c r="R179" s="42"/>
      <c r="S179" s="34" t="str">
        <f t="shared" si="14"/>
        <v/>
      </c>
    </row>
    <row r="180" spans="1:19" x14ac:dyDescent="0.25">
      <c r="A180" s="42"/>
      <c r="B180" s="42"/>
      <c r="C180" s="34" t="str">
        <f t="shared" si="10"/>
        <v/>
      </c>
      <c r="E180" s="42"/>
      <c r="F180" s="42"/>
      <c r="G180" s="34" t="str">
        <f t="shared" si="11"/>
        <v/>
      </c>
      <c r="I180" s="42"/>
      <c r="J180" s="42"/>
      <c r="K180" s="34" t="str">
        <f t="shared" si="12"/>
        <v/>
      </c>
      <c r="M180" s="42"/>
      <c r="N180" s="42"/>
      <c r="O180" s="34" t="str">
        <f t="shared" si="13"/>
        <v/>
      </c>
      <c r="Q180" s="42"/>
      <c r="R180" s="42"/>
      <c r="S180" s="34" t="str">
        <f t="shared" si="14"/>
        <v/>
      </c>
    </row>
    <row r="181" spans="1:19" x14ac:dyDescent="0.25">
      <c r="A181" s="42"/>
      <c r="B181" s="42"/>
      <c r="C181" s="34" t="str">
        <f t="shared" si="10"/>
        <v/>
      </c>
      <c r="E181" s="42"/>
      <c r="F181" s="42"/>
      <c r="G181" s="34" t="str">
        <f t="shared" si="11"/>
        <v/>
      </c>
      <c r="I181" s="42"/>
      <c r="J181" s="42"/>
      <c r="K181" s="34" t="str">
        <f t="shared" si="12"/>
        <v/>
      </c>
      <c r="M181" s="42"/>
      <c r="N181" s="42"/>
      <c r="O181" s="34" t="str">
        <f t="shared" si="13"/>
        <v/>
      </c>
      <c r="Q181" s="42"/>
      <c r="R181" s="42"/>
      <c r="S181" s="34" t="str">
        <f t="shared" si="14"/>
        <v/>
      </c>
    </row>
    <row r="182" spans="1:19" x14ac:dyDescent="0.25">
      <c r="A182" s="42"/>
      <c r="B182" s="42"/>
      <c r="C182" s="34" t="str">
        <f t="shared" si="10"/>
        <v/>
      </c>
      <c r="E182" s="42"/>
      <c r="F182" s="42"/>
      <c r="G182" s="34" t="str">
        <f t="shared" si="11"/>
        <v/>
      </c>
      <c r="I182" s="42"/>
      <c r="J182" s="42"/>
      <c r="K182" s="34" t="str">
        <f t="shared" si="12"/>
        <v/>
      </c>
      <c r="M182" s="42"/>
      <c r="N182" s="42"/>
      <c r="O182" s="34" t="str">
        <f t="shared" si="13"/>
        <v/>
      </c>
      <c r="Q182" s="42"/>
      <c r="R182" s="42"/>
      <c r="S182" s="34" t="str">
        <f t="shared" si="14"/>
        <v/>
      </c>
    </row>
    <row r="183" spans="1:19" x14ac:dyDescent="0.25">
      <c r="A183" s="42"/>
      <c r="B183" s="42"/>
      <c r="C183" s="34" t="str">
        <f t="shared" si="10"/>
        <v/>
      </c>
      <c r="E183" s="42"/>
      <c r="F183" s="42"/>
      <c r="G183" s="34" t="str">
        <f t="shared" si="11"/>
        <v/>
      </c>
      <c r="I183" s="42"/>
      <c r="J183" s="42"/>
      <c r="K183" s="34" t="str">
        <f t="shared" si="12"/>
        <v/>
      </c>
      <c r="M183" s="42"/>
      <c r="N183" s="42"/>
      <c r="O183" s="34" t="str">
        <f t="shared" si="13"/>
        <v/>
      </c>
      <c r="Q183" s="42"/>
      <c r="R183" s="42"/>
      <c r="S183" s="34" t="str">
        <f t="shared" si="14"/>
        <v/>
      </c>
    </row>
    <row r="184" spans="1:19" x14ac:dyDescent="0.25">
      <c r="A184" s="42"/>
      <c r="B184" s="42"/>
      <c r="C184" s="34" t="str">
        <f t="shared" si="10"/>
        <v/>
      </c>
      <c r="E184" s="42"/>
      <c r="F184" s="42"/>
      <c r="G184" s="34" t="str">
        <f t="shared" si="11"/>
        <v/>
      </c>
      <c r="I184" s="42"/>
      <c r="J184" s="42"/>
      <c r="K184" s="34" t="str">
        <f t="shared" si="12"/>
        <v/>
      </c>
      <c r="M184" s="42"/>
      <c r="N184" s="42"/>
      <c r="O184" s="34" t="str">
        <f t="shared" si="13"/>
        <v/>
      </c>
      <c r="Q184" s="42"/>
      <c r="R184" s="42"/>
      <c r="S184" s="34" t="str">
        <f t="shared" si="14"/>
        <v/>
      </c>
    </row>
    <row r="185" spans="1:19" x14ac:dyDescent="0.25">
      <c r="A185" s="42"/>
      <c r="B185" s="42"/>
      <c r="C185" s="34" t="str">
        <f t="shared" si="10"/>
        <v/>
      </c>
      <c r="E185" s="42"/>
      <c r="F185" s="42"/>
      <c r="G185" s="34" t="str">
        <f t="shared" si="11"/>
        <v/>
      </c>
      <c r="I185" s="42"/>
      <c r="J185" s="42"/>
      <c r="K185" s="34" t="str">
        <f t="shared" si="12"/>
        <v/>
      </c>
      <c r="M185" s="42"/>
      <c r="N185" s="42"/>
      <c r="O185" s="34" t="str">
        <f t="shared" si="13"/>
        <v/>
      </c>
      <c r="Q185" s="42"/>
      <c r="R185" s="42"/>
      <c r="S185" s="34" t="str">
        <f t="shared" si="14"/>
        <v/>
      </c>
    </row>
    <row r="186" spans="1:19" x14ac:dyDescent="0.25">
      <c r="A186" s="42"/>
      <c r="B186" s="42"/>
      <c r="C186" s="34" t="str">
        <f t="shared" si="10"/>
        <v/>
      </c>
      <c r="E186" s="42"/>
      <c r="F186" s="42"/>
      <c r="G186" s="34" t="str">
        <f t="shared" si="11"/>
        <v/>
      </c>
      <c r="I186" s="42"/>
      <c r="J186" s="42"/>
      <c r="K186" s="34" t="str">
        <f t="shared" si="12"/>
        <v/>
      </c>
      <c r="M186" s="42"/>
      <c r="N186" s="42"/>
      <c r="O186" s="34" t="str">
        <f t="shared" si="13"/>
        <v/>
      </c>
      <c r="Q186" s="42"/>
      <c r="R186" s="42"/>
      <c r="S186" s="34" t="str">
        <f t="shared" si="14"/>
        <v/>
      </c>
    </row>
    <row r="187" spans="1:19" x14ac:dyDescent="0.25">
      <c r="A187" s="42"/>
      <c r="B187" s="42"/>
      <c r="C187" s="34" t="str">
        <f t="shared" si="10"/>
        <v/>
      </c>
      <c r="E187" s="42"/>
      <c r="F187" s="42"/>
      <c r="G187" s="34" t="str">
        <f t="shared" si="11"/>
        <v/>
      </c>
      <c r="I187" s="42"/>
      <c r="J187" s="42"/>
      <c r="K187" s="34" t="str">
        <f t="shared" si="12"/>
        <v/>
      </c>
      <c r="M187" s="42"/>
      <c r="N187" s="42"/>
      <c r="O187" s="34" t="str">
        <f t="shared" si="13"/>
        <v/>
      </c>
      <c r="Q187" s="42"/>
      <c r="R187" s="42"/>
      <c r="S187" s="34" t="str">
        <f t="shared" si="14"/>
        <v/>
      </c>
    </row>
    <row r="188" spans="1:19" x14ac:dyDescent="0.25">
      <c r="A188" s="42"/>
      <c r="B188" s="42"/>
      <c r="C188" s="34" t="str">
        <f t="shared" si="10"/>
        <v/>
      </c>
      <c r="E188" s="42"/>
      <c r="F188" s="42"/>
      <c r="G188" s="34" t="str">
        <f t="shared" si="11"/>
        <v/>
      </c>
      <c r="I188" s="42"/>
      <c r="J188" s="42"/>
      <c r="K188" s="34" t="str">
        <f t="shared" si="12"/>
        <v/>
      </c>
      <c r="M188" s="42"/>
      <c r="N188" s="42"/>
      <c r="O188" s="34" t="str">
        <f t="shared" si="13"/>
        <v/>
      </c>
      <c r="Q188" s="42"/>
      <c r="R188" s="42"/>
      <c r="S188" s="34" t="str">
        <f t="shared" si="14"/>
        <v/>
      </c>
    </row>
    <row r="189" spans="1:19" x14ac:dyDescent="0.25">
      <c r="A189" s="42"/>
      <c r="B189" s="42"/>
      <c r="C189" s="34" t="str">
        <f t="shared" si="10"/>
        <v/>
      </c>
      <c r="E189" s="42"/>
      <c r="F189" s="42"/>
      <c r="G189" s="34" t="str">
        <f t="shared" si="11"/>
        <v/>
      </c>
      <c r="I189" s="42"/>
      <c r="J189" s="42"/>
      <c r="K189" s="34" t="str">
        <f t="shared" si="12"/>
        <v/>
      </c>
      <c r="M189" s="42"/>
      <c r="N189" s="42"/>
      <c r="O189" s="34" t="str">
        <f t="shared" si="13"/>
        <v/>
      </c>
      <c r="Q189" s="42"/>
      <c r="R189" s="42"/>
      <c r="S189" s="34" t="str">
        <f t="shared" si="14"/>
        <v/>
      </c>
    </row>
    <row r="190" spans="1:19" x14ac:dyDescent="0.25">
      <c r="A190" s="42"/>
      <c r="B190" s="42"/>
      <c r="C190" s="34" t="str">
        <f t="shared" si="10"/>
        <v/>
      </c>
      <c r="E190" s="42"/>
      <c r="F190" s="42"/>
      <c r="G190" s="34" t="str">
        <f t="shared" si="11"/>
        <v/>
      </c>
      <c r="I190" s="42"/>
      <c r="J190" s="42"/>
      <c r="K190" s="34" t="str">
        <f t="shared" si="12"/>
        <v/>
      </c>
      <c r="M190" s="42"/>
      <c r="N190" s="42"/>
      <c r="O190" s="34" t="str">
        <f t="shared" si="13"/>
        <v/>
      </c>
      <c r="Q190" s="42"/>
      <c r="R190" s="42"/>
      <c r="S190" s="34" t="str">
        <f t="shared" si="14"/>
        <v/>
      </c>
    </row>
    <row r="191" spans="1:19" x14ac:dyDescent="0.25">
      <c r="A191" s="42"/>
      <c r="B191" s="42"/>
      <c r="C191" s="34" t="str">
        <f t="shared" si="10"/>
        <v/>
      </c>
      <c r="E191" s="42"/>
      <c r="F191" s="42"/>
      <c r="G191" s="34" t="str">
        <f t="shared" si="11"/>
        <v/>
      </c>
      <c r="I191" s="42"/>
      <c r="J191" s="42"/>
      <c r="K191" s="34" t="str">
        <f t="shared" si="12"/>
        <v/>
      </c>
      <c r="M191" s="42"/>
      <c r="N191" s="42"/>
      <c r="O191" s="34" t="str">
        <f t="shared" si="13"/>
        <v/>
      </c>
      <c r="Q191" s="42"/>
      <c r="R191" s="42"/>
      <c r="S191" s="34" t="str">
        <f t="shared" si="14"/>
        <v/>
      </c>
    </row>
    <row r="192" spans="1:19" x14ac:dyDescent="0.25">
      <c r="A192" s="42"/>
      <c r="B192" s="42"/>
      <c r="C192" s="34" t="str">
        <f t="shared" si="10"/>
        <v/>
      </c>
      <c r="E192" s="42"/>
      <c r="F192" s="42"/>
      <c r="G192" s="34" t="str">
        <f t="shared" si="11"/>
        <v/>
      </c>
      <c r="I192" s="42"/>
      <c r="J192" s="42"/>
      <c r="K192" s="34" t="str">
        <f t="shared" si="12"/>
        <v/>
      </c>
      <c r="M192" s="42"/>
      <c r="N192" s="42"/>
      <c r="O192" s="34" t="str">
        <f t="shared" si="13"/>
        <v/>
      </c>
      <c r="Q192" s="42"/>
      <c r="R192" s="42"/>
      <c r="S192" s="34" t="str">
        <f t="shared" si="14"/>
        <v/>
      </c>
    </row>
    <row r="193" spans="1:19" x14ac:dyDescent="0.25">
      <c r="A193" s="42"/>
      <c r="B193" s="42"/>
      <c r="C193" s="34" t="str">
        <f t="shared" si="10"/>
        <v/>
      </c>
      <c r="E193" s="42"/>
      <c r="F193" s="42"/>
      <c r="G193" s="34" t="str">
        <f t="shared" si="11"/>
        <v/>
      </c>
      <c r="I193" s="42"/>
      <c r="J193" s="42"/>
      <c r="K193" s="34" t="str">
        <f t="shared" si="12"/>
        <v/>
      </c>
      <c r="M193" s="42"/>
      <c r="N193" s="42"/>
      <c r="O193" s="34" t="str">
        <f t="shared" si="13"/>
        <v/>
      </c>
      <c r="Q193" s="42"/>
      <c r="R193" s="42"/>
      <c r="S193" s="34" t="str">
        <f t="shared" si="14"/>
        <v/>
      </c>
    </row>
    <row r="194" spans="1:19" x14ac:dyDescent="0.25">
      <c r="A194" s="42"/>
      <c r="B194" s="42"/>
      <c r="C194" s="34" t="str">
        <f t="shared" si="10"/>
        <v/>
      </c>
      <c r="E194" s="42"/>
      <c r="F194" s="42"/>
      <c r="G194" s="34" t="str">
        <f t="shared" si="11"/>
        <v/>
      </c>
      <c r="I194" s="42"/>
      <c r="J194" s="42"/>
      <c r="K194" s="34" t="str">
        <f t="shared" si="12"/>
        <v/>
      </c>
      <c r="M194" s="42"/>
      <c r="N194" s="42"/>
      <c r="O194" s="34" t="str">
        <f t="shared" si="13"/>
        <v/>
      </c>
      <c r="Q194" s="42"/>
      <c r="R194" s="42"/>
      <c r="S194" s="34" t="str">
        <f t="shared" si="14"/>
        <v/>
      </c>
    </row>
    <row r="195" spans="1:19" x14ac:dyDescent="0.25">
      <c r="A195" s="42"/>
      <c r="B195" s="42"/>
      <c r="C195" s="34" t="str">
        <f t="shared" si="10"/>
        <v/>
      </c>
      <c r="E195" s="42"/>
      <c r="F195" s="42"/>
      <c r="G195" s="34" t="str">
        <f t="shared" si="11"/>
        <v/>
      </c>
      <c r="I195" s="42"/>
      <c r="J195" s="42"/>
      <c r="K195" s="34" t="str">
        <f t="shared" si="12"/>
        <v/>
      </c>
      <c r="M195" s="42"/>
      <c r="N195" s="42"/>
      <c r="O195" s="34" t="str">
        <f t="shared" si="13"/>
        <v/>
      </c>
      <c r="Q195" s="42"/>
      <c r="R195" s="42"/>
      <c r="S195" s="34" t="str">
        <f t="shared" si="14"/>
        <v/>
      </c>
    </row>
    <row r="196" spans="1:19" x14ac:dyDescent="0.25">
      <c r="A196" s="42"/>
      <c r="B196" s="42"/>
      <c r="C196" s="34" t="str">
        <f t="shared" si="10"/>
        <v/>
      </c>
      <c r="E196" s="42"/>
      <c r="F196" s="42"/>
      <c r="G196" s="34" t="str">
        <f t="shared" si="11"/>
        <v/>
      </c>
      <c r="I196" s="42"/>
      <c r="J196" s="42"/>
      <c r="K196" s="34" t="str">
        <f t="shared" si="12"/>
        <v/>
      </c>
      <c r="M196" s="42"/>
      <c r="N196" s="42"/>
      <c r="O196" s="34" t="str">
        <f t="shared" si="13"/>
        <v/>
      </c>
      <c r="Q196" s="42"/>
      <c r="R196" s="42"/>
      <c r="S196" s="34" t="str">
        <f t="shared" si="14"/>
        <v/>
      </c>
    </row>
    <row r="197" spans="1:19" x14ac:dyDescent="0.25">
      <c r="A197" s="42"/>
      <c r="B197" s="42"/>
      <c r="C197" s="34" t="str">
        <f t="shared" si="10"/>
        <v/>
      </c>
      <c r="E197" s="42"/>
      <c r="F197" s="42"/>
      <c r="G197" s="34" t="str">
        <f t="shared" si="11"/>
        <v/>
      </c>
      <c r="I197" s="42"/>
      <c r="J197" s="42"/>
      <c r="K197" s="34" t="str">
        <f t="shared" si="12"/>
        <v/>
      </c>
      <c r="M197" s="42"/>
      <c r="N197" s="42"/>
      <c r="O197" s="34" t="str">
        <f t="shared" si="13"/>
        <v/>
      </c>
      <c r="Q197" s="42"/>
      <c r="R197" s="42"/>
      <c r="S197" s="34" t="str">
        <f t="shared" si="14"/>
        <v/>
      </c>
    </row>
    <row r="198" spans="1:19" x14ac:dyDescent="0.25">
      <c r="A198" s="42"/>
      <c r="B198" s="42"/>
      <c r="C198" s="34" t="str">
        <f t="shared" si="10"/>
        <v/>
      </c>
      <c r="E198" s="42"/>
      <c r="F198" s="42"/>
      <c r="G198" s="34" t="str">
        <f t="shared" si="11"/>
        <v/>
      </c>
      <c r="I198" s="42"/>
      <c r="J198" s="42"/>
      <c r="K198" s="34" t="str">
        <f t="shared" si="12"/>
        <v/>
      </c>
      <c r="M198" s="42"/>
      <c r="N198" s="42"/>
      <c r="O198" s="34" t="str">
        <f t="shared" si="13"/>
        <v/>
      </c>
      <c r="Q198" s="42"/>
      <c r="R198" s="42"/>
      <c r="S198" s="34" t="str">
        <f t="shared" si="14"/>
        <v/>
      </c>
    </row>
    <row r="199" spans="1:19" x14ac:dyDescent="0.25">
      <c r="A199" s="42"/>
      <c r="B199" s="42"/>
      <c r="C199" s="34" t="str">
        <f t="shared" si="10"/>
        <v/>
      </c>
      <c r="E199" s="42"/>
      <c r="F199" s="42"/>
      <c r="G199" s="34" t="str">
        <f t="shared" si="11"/>
        <v/>
      </c>
      <c r="I199" s="42"/>
      <c r="J199" s="42"/>
      <c r="K199" s="34" t="str">
        <f t="shared" si="12"/>
        <v/>
      </c>
      <c r="M199" s="42"/>
      <c r="N199" s="42"/>
      <c r="O199" s="34" t="str">
        <f t="shared" si="13"/>
        <v/>
      </c>
      <c r="Q199" s="42"/>
      <c r="R199" s="42"/>
      <c r="S199" s="34" t="str">
        <f t="shared" si="14"/>
        <v/>
      </c>
    </row>
    <row r="200" spans="1:19" x14ac:dyDescent="0.25">
      <c r="A200" s="42"/>
      <c r="B200" s="42"/>
      <c r="C200" s="34" t="str">
        <f t="shared" si="10"/>
        <v/>
      </c>
      <c r="E200" s="42"/>
      <c r="F200" s="42"/>
      <c r="G200" s="34" t="str">
        <f t="shared" si="11"/>
        <v/>
      </c>
      <c r="I200" s="42"/>
      <c r="J200" s="42"/>
      <c r="K200" s="34" t="str">
        <f t="shared" si="12"/>
        <v/>
      </c>
      <c r="M200" s="42"/>
      <c r="N200" s="42"/>
      <c r="O200" s="34" t="str">
        <f t="shared" si="13"/>
        <v/>
      </c>
      <c r="Q200" s="42"/>
      <c r="R200" s="42"/>
      <c r="S200" s="34" t="str">
        <f t="shared" si="14"/>
        <v/>
      </c>
    </row>
    <row r="201" spans="1:19" x14ac:dyDescent="0.25">
      <c r="A201" s="42"/>
      <c r="B201" s="42"/>
      <c r="C201" s="34" t="str">
        <f t="shared" si="10"/>
        <v/>
      </c>
      <c r="E201" s="42"/>
      <c r="F201" s="42"/>
      <c r="G201" s="34" t="str">
        <f t="shared" si="11"/>
        <v/>
      </c>
      <c r="I201" s="42"/>
      <c r="J201" s="42"/>
      <c r="K201" s="34" t="str">
        <f t="shared" si="12"/>
        <v/>
      </c>
      <c r="M201" s="42"/>
      <c r="N201" s="42"/>
      <c r="O201" s="34" t="str">
        <f t="shared" si="13"/>
        <v/>
      </c>
      <c r="Q201" s="42"/>
      <c r="R201" s="42"/>
      <c r="S201" s="34" t="str">
        <f t="shared" si="14"/>
        <v/>
      </c>
    </row>
    <row r="202" spans="1:19" x14ac:dyDescent="0.25">
      <c r="A202" s="42"/>
      <c r="B202" s="42"/>
      <c r="C202" s="34" t="str">
        <f t="shared" ref="C202:C265" si="15">IF(OR(B202="",B$4=""),"",B202/B$4)</f>
        <v/>
      </c>
      <c r="E202" s="42"/>
      <c r="F202" s="42"/>
      <c r="G202" s="34" t="str">
        <f t="shared" ref="G202:G265" si="16">IF(OR(F202="",F$4=""),"",F202/F$4)</f>
        <v/>
      </c>
      <c r="I202" s="42"/>
      <c r="J202" s="42"/>
      <c r="K202" s="34" t="str">
        <f t="shared" ref="K202:K265" si="17">IF(OR(J202="",J$4=""),"",J202/J$4)</f>
        <v/>
      </c>
      <c r="M202" s="42"/>
      <c r="N202" s="42"/>
      <c r="O202" s="34" t="str">
        <f t="shared" ref="O202:O265" si="18">IF(OR(N202="",N$4=""),"",N202/N$4)</f>
        <v/>
      </c>
      <c r="Q202" s="42"/>
      <c r="R202" s="42"/>
      <c r="S202" s="34" t="str">
        <f t="shared" ref="S202:S265" si="19">IF(OR(R202="",R$4=""),"",R202/R$4)</f>
        <v/>
      </c>
    </row>
    <row r="203" spans="1:19" x14ac:dyDescent="0.25">
      <c r="A203" s="42"/>
      <c r="B203" s="42"/>
      <c r="C203" s="34" t="str">
        <f t="shared" si="15"/>
        <v/>
      </c>
      <c r="E203" s="42"/>
      <c r="F203" s="42"/>
      <c r="G203" s="34" t="str">
        <f t="shared" si="16"/>
        <v/>
      </c>
      <c r="I203" s="42"/>
      <c r="J203" s="42"/>
      <c r="K203" s="34" t="str">
        <f t="shared" si="17"/>
        <v/>
      </c>
      <c r="M203" s="42"/>
      <c r="N203" s="42"/>
      <c r="O203" s="34" t="str">
        <f t="shared" si="18"/>
        <v/>
      </c>
      <c r="Q203" s="42"/>
      <c r="R203" s="42"/>
      <c r="S203" s="34" t="str">
        <f t="shared" si="19"/>
        <v/>
      </c>
    </row>
    <row r="204" spans="1:19" x14ac:dyDescent="0.25">
      <c r="A204" s="42"/>
      <c r="B204" s="42"/>
      <c r="C204" s="34" t="str">
        <f t="shared" si="15"/>
        <v/>
      </c>
      <c r="E204" s="42"/>
      <c r="F204" s="42"/>
      <c r="G204" s="34" t="str">
        <f t="shared" si="16"/>
        <v/>
      </c>
      <c r="I204" s="42"/>
      <c r="J204" s="42"/>
      <c r="K204" s="34" t="str">
        <f t="shared" si="17"/>
        <v/>
      </c>
      <c r="M204" s="42"/>
      <c r="N204" s="42"/>
      <c r="O204" s="34" t="str">
        <f t="shared" si="18"/>
        <v/>
      </c>
      <c r="Q204" s="42"/>
      <c r="R204" s="42"/>
      <c r="S204" s="34" t="str">
        <f t="shared" si="19"/>
        <v/>
      </c>
    </row>
    <row r="205" spans="1:19" x14ac:dyDescent="0.25">
      <c r="A205" s="42"/>
      <c r="B205" s="42"/>
      <c r="C205" s="34" t="str">
        <f t="shared" si="15"/>
        <v/>
      </c>
      <c r="E205" s="42"/>
      <c r="F205" s="42"/>
      <c r="G205" s="34" t="str">
        <f t="shared" si="16"/>
        <v/>
      </c>
      <c r="I205" s="42"/>
      <c r="J205" s="42"/>
      <c r="K205" s="34" t="str">
        <f t="shared" si="17"/>
        <v/>
      </c>
      <c r="M205" s="42"/>
      <c r="N205" s="42"/>
      <c r="O205" s="34" t="str">
        <f t="shared" si="18"/>
        <v/>
      </c>
      <c r="Q205" s="42"/>
      <c r="R205" s="42"/>
      <c r="S205" s="34" t="str">
        <f t="shared" si="19"/>
        <v/>
      </c>
    </row>
    <row r="206" spans="1:19" x14ac:dyDescent="0.25">
      <c r="A206" s="42"/>
      <c r="B206" s="42"/>
      <c r="C206" s="34" t="str">
        <f t="shared" si="15"/>
        <v/>
      </c>
      <c r="E206" s="42"/>
      <c r="F206" s="42"/>
      <c r="G206" s="34" t="str">
        <f t="shared" si="16"/>
        <v/>
      </c>
      <c r="I206" s="42"/>
      <c r="J206" s="42"/>
      <c r="K206" s="34" t="str">
        <f t="shared" si="17"/>
        <v/>
      </c>
      <c r="M206" s="42"/>
      <c r="N206" s="42"/>
      <c r="O206" s="34" t="str">
        <f t="shared" si="18"/>
        <v/>
      </c>
      <c r="Q206" s="42"/>
      <c r="R206" s="42"/>
      <c r="S206" s="34" t="str">
        <f t="shared" si="19"/>
        <v/>
      </c>
    </row>
    <row r="207" spans="1:19" x14ac:dyDescent="0.25">
      <c r="A207" s="42"/>
      <c r="B207" s="42"/>
      <c r="C207" s="34" t="str">
        <f t="shared" si="15"/>
        <v/>
      </c>
      <c r="E207" s="42"/>
      <c r="F207" s="42"/>
      <c r="G207" s="34" t="str">
        <f t="shared" si="16"/>
        <v/>
      </c>
      <c r="I207" s="42"/>
      <c r="J207" s="42"/>
      <c r="K207" s="34" t="str">
        <f t="shared" si="17"/>
        <v/>
      </c>
      <c r="M207" s="42"/>
      <c r="N207" s="42"/>
      <c r="O207" s="34" t="str">
        <f t="shared" si="18"/>
        <v/>
      </c>
      <c r="Q207" s="42"/>
      <c r="R207" s="42"/>
      <c r="S207" s="34" t="str">
        <f t="shared" si="19"/>
        <v/>
      </c>
    </row>
    <row r="208" spans="1:19" x14ac:dyDescent="0.25">
      <c r="A208" s="42"/>
      <c r="B208" s="42"/>
      <c r="C208" s="34" t="str">
        <f t="shared" si="15"/>
        <v/>
      </c>
      <c r="E208" s="42"/>
      <c r="F208" s="42"/>
      <c r="G208" s="34" t="str">
        <f t="shared" si="16"/>
        <v/>
      </c>
      <c r="I208" s="42"/>
      <c r="J208" s="42"/>
      <c r="K208" s="34" t="str">
        <f t="shared" si="17"/>
        <v/>
      </c>
      <c r="M208" s="42"/>
      <c r="N208" s="42"/>
      <c r="O208" s="34" t="str">
        <f t="shared" si="18"/>
        <v/>
      </c>
      <c r="Q208" s="42"/>
      <c r="R208" s="42"/>
      <c r="S208" s="34" t="str">
        <f t="shared" si="19"/>
        <v/>
      </c>
    </row>
    <row r="209" spans="1:19" x14ac:dyDescent="0.25">
      <c r="A209" s="42"/>
      <c r="B209" s="42"/>
      <c r="C209" s="34" t="str">
        <f t="shared" si="15"/>
        <v/>
      </c>
      <c r="E209" s="42"/>
      <c r="F209" s="42"/>
      <c r="G209" s="34" t="str">
        <f t="shared" si="16"/>
        <v/>
      </c>
      <c r="I209" s="42"/>
      <c r="J209" s="42"/>
      <c r="K209" s="34" t="str">
        <f t="shared" si="17"/>
        <v/>
      </c>
      <c r="M209" s="42"/>
      <c r="N209" s="42"/>
      <c r="O209" s="34" t="str">
        <f t="shared" si="18"/>
        <v/>
      </c>
      <c r="Q209" s="42"/>
      <c r="R209" s="42"/>
      <c r="S209" s="34" t="str">
        <f t="shared" si="19"/>
        <v/>
      </c>
    </row>
    <row r="210" spans="1:19" x14ac:dyDescent="0.25">
      <c r="A210" s="42"/>
      <c r="B210" s="42"/>
      <c r="C210" s="34" t="str">
        <f t="shared" si="15"/>
        <v/>
      </c>
      <c r="E210" s="42"/>
      <c r="F210" s="42"/>
      <c r="G210" s="34" t="str">
        <f t="shared" si="16"/>
        <v/>
      </c>
      <c r="I210" s="42"/>
      <c r="J210" s="42"/>
      <c r="K210" s="34" t="str">
        <f t="shared" si="17"/>
        <v/>
      </c>
      <c r="M210" s="42"/>
      <c r="N210" s="42"/>
      <c r="O210" s="34" t="str">
        <f t="shared" si="18"/>
        <v/>
      </c>
      <c r="Q210" s="42"/>
      <c r="R210" s="42"/>
      <c r="S210" s="34" t="str">
        <f t="shared" si="19"/>
        <v/>
      </c>
    </row>
    <row r="211" spans="1:19" x14ac:dyDescent="0.25">
      <c r="A211" s="42"/>
      <c r="B211" s="42"/>
      <c r="C211" s="34" t="str">
        <f t="shared" si="15"/>
        <v/>
      </c>
      <c r="E211" s="42"/>
      <c r="F211" s="42"/>
      <c r="G211" s="34" t="str">
        <f t="shared" si="16"/>
        <v/>
      </c>
      <c r="I211" s="42"/>
      <c r="J211" s="42"/>
      <c r="K211" s="34" t="str">
        <f t="shared" si="17"/>
        <v/>
      </c>
      <c r="M211" s="42"/>
      <c r="N211" s="42"/>
      <c r="O211" s="34" t="str">
        <f t="shared" si="18"/>
        <v/>
      </c>
      <c r="Q211" s="42"/>
      <c r="R211" s="42"/>
      <c r="S211" s="34" t="str">
        <f t="shared" si="19"/>
        <v/>
      </c>
    </row>
    <row r="212" spans="1:19" x14ac:dyDescent="0.25">
      <c r="A212" s="42"/>
      <c r="B212" s="42"/>
      <c r="C212" s="34" t="str">
        <f t="shared" si="15"/>
        <v/>
      </c>
      <c r="E212" s="42"/>
      <c r="F212" s="42"/>
      <c r="G212" s="34" t="str">
        <f t="shared" si="16"/>
        <v/>
      </c>
      <c r="I212" s="42"/>
      <c r="J212" s="42"/>
      <c r="K212" s="34" t="str">
        <f t="shared" si="17"/>
        <v/>
      </c>
      <c r="M212" s="42"/>
      <c r="N212" s="42"/>
      <c r="O212" s="34" t="str">
        <f t="shared" si="18"/>
        <v/>
      </c>
      <c r="Q212" s="42"/>
      <c r="R212" s="42"/>
      <c r="S212" s="34" t="str">
        <f t="shared" si="19"/>
        <v/>
      </c>
    </row>
    <row r="213" spans="1:19" x14ac:dyDescent="0.25">
      <c r="A213" s="42"/>
      <c r="B213" s="42"/>
      <c r="C213" s="34" t="str">
        <f t="shared" si="15"/>
        <v/>
      </c>
      <c r="E213" s="42"/>
      <c r="F213" s="42"/>
      <c r="G213" s="34" t="str">
        <f t="shared" si="16"/>
        <v/>
      </c>
      <c r="I213" s="42"/>
      <c r="J213" s="42"/>
      <c r="K213" s="34" t="str">
        <f t="shared" si="17"/>
        <v/>
      </c>
      <c r="M213" s="42"/>
      <c r="N213" s="42"/>
      <c r="O213" s="34" t="str">
        <f t="shared" si="18"/>
        <v/>
      </c>
      <c r="Q213" s="42"/>
      <c r="R213" s="42"/>
      <c r="S213" s="34" t="str">
        <f t="shared" si="19"/>
        <v/>
      </c>
    </row>
    <row r="214" spans="1:19" x14ac:dyDescent="0.25">
      <c r="A214" s="42"/>
      <c r="B214" s="42"/>
      <c r="C214" s="34" t="str">
        <f t="shared" si="15"/>
        <v/>
      </c>
      <c r="E214" s="42"/>
      <c r="F214" s="42"/>
      <c r="G214" s="34" t="str">
        <f t="shared" si="16"/>
        <v/>
      </c>
      <c r="I214" s="42"/>
      <c r="J214" s="42"/>
      <c r="K214" s="34" t="str">
        <f t="shared" si="17"/>
        <v/>
      </c>
      <c r="M214" s="42"/>
      <c r="N214" s="42"/>
      <c r="O214" s="34" t="str">
        <f t="shared" si="18"/>
        <v/>
      </c>
      <c r="Q214" s="42"/>
      <c r="R214" s="42"/>
      <c r="S214" s="34" t="str">
        <f t="shared" si="19"/>
        <v/>
      </c>
    </row>
    <row r="215" spans="1:19" x14ac:dyDescent="0.25">
      <c r="A215" s="42"/>
      <c r="B215" s="42"/>
      <c r="C215" s="34" t="str">
        <f t="shared" si="15"/>
        <v/>
      </c>
      <c r="E215" s="42"/>
      <c r="F215" s="42"/>
      <c r="G215" s="34" t="str">
        <f t="shared" si="16"/>
        <v/>
      </c>
      <c r="I215" s="42"/>
      <c r="J215" s="42"/>
      <c r="K215" s="34" t="str">
        <f t="shared" si="17"/>
        <v/>
      </c>
      <c r="M215" s="42"/>
      <c r="N215" s="42"/>
      <c r="O215" s="34" t="str">
        <f t="shared" si="18"/>
        <v/>
      </c>
      <c r="Q215" s="42"/>
      <c r="R215" s="42"/>
      <c r="S215" s="34" t="str">
        <f t="shared" si="19"/>
        <v/>
      </c>
    </row>
    <row r="216" spans="1:19" x14ac:dyDescent="0.25">
      <c r="A216" s="42"/>
      <c r="B216" s="42"/>
      <c r="C216" s="34" t="str">
        <f t="shared" si="15"/>
        <v/>
      </c>
      <c r="E216" s="42"/>
      <c r="F216" s="42"/>
      <c r="G216" s="34" t="str">
        <f t="shared" si="16"/>
        <v/>
      </c>
      <c r="I216" s="42"/>
      <c r="J216" s="42"/>
      <c r="K216" s="34" t="str">
        <f t="shared" si="17"/>
        <v/>
      </c>
      <c r="M216" s="42"/>
      <c r="N216" s="42"/>
      <c r="O216" s="34" t="str">
        <f t="shared" si="18"/>
        <v/>
      </c>
      <c r="Q216" s="42"/>
      <c r="R216" s="42"/>
      <c r="S216" s="34" t="str">
        <f t="shared" si="19"/>
        <v/>
      </c>
    </row>
    <row r="217" spans="1:19" x14ac:dyDescent="0.25">
      <c r="A217" s="42"/>
      <c r="B217" s="42"/>
      <c r="C217" s="34" t="str">
        <f t="shared" si="15"/>
        <v/>
      </c>
      <c r="E217" s="42"/>
      <c r="F217" s="42"/>
      <c r="G217" s="34" t="str">
        <f t="shared" si="16"/>
        <v/>
      </c>
      <c r="I217" s="42"/>
      <c r="J217" s="42"/>
      <c r="K217" s="34" t="str">
        <f t="shared" si="17"/>
        <v/>
      </c>
      <c r="M217" s="42"/>
      <c r="N217" s="42"/>
      <c r="O217" s="34" t="str">
        <f t="shared" si="18"/>
        <v/>
      </c>
      <c r="Q217" s="42"/>
      <c r="R217" s="42"/>
      <c r="S217" s="34" t="str">
        <f t="shared" si="19"/>
        <v/>
      </c>
    </row>
    <row r="218" spans="1:19" x14ac:dyDescent="0.25">
      <c r="A218" s="42"/>
      <c r="B218" s="42"/>
      <c r="C218" s="34" t="str">
        <f t="shared" si="15"/>
        <v/>
      </c>
      <c r="E218" s="42"/>
      <c r="F218" s="42"/>
      <c r="G218" s="34" t="str">
        <f t="shared" si="16"/>
        <v/>
      </c>
      <c r="I218" s="42"/>
      <c r="J218" s="42"/>
      <c r="K218" s="34" t="str">
        <f t="shared" si="17"/>
        <v/>
      </c>
      <c r="M218" s="42"/>
      <c r="N218" s="42"/>
      <c r="O218" s="34" t="str">
        <f t="shared" si="18"/>
        <v/>
      </c>
      <c r="Q218" s="42"/>
      <c r="R218" s="42"/>
      <c r="S218" s="34" t="str">
        <f t="shared" si="19"/>
        <v/>
      </c>
    </row>
    <row r="219" spans="1:19" x14ac:dyDescent="0.25">
      <c r="A219" s="42"/>
      <c r="B219" s="42"/>
      <c r="C219" s="34" t="str">
        <f t="shared" si="15"/>
        <v/>
      </c>
      <c r="E219" s="42"/>
      <c r="F219" s="42"/>
      <c r="G219" s="34" t="str">
        <f t="shared" si="16"/>
        <v/>
      </c>
      <c r="I219" s="42"/>
      <c r="J219" s="42"/>
      <c r="K219" s="34" t="str">
        <f t="shared" si="17"/>
        <v/>
      </c>
      <c r="M219" s="42"/>
      <c r="N219" s="42"/>
      <c r="O219" s="34" t="str">
        <f t="shared" si="18"/>
        <v/>
      </c>
      <c r="Q219" s="42"/>
      <c r="R219" s="42"/>
      <c r="S219" s="34" t="str">
        <f t="shared" si="19"/>
        <v/>
      </c>
    </row>
    <row r="220" spans="1:19" x14ac:dyDescent="0.25">
      <c r="A220" s="42"/>
      <c r="B220" s="42"/>
      <c r="C220" s="34" t="str">
        <f t="shared" si="15"/>
        <v/>
      </c>
      <c r="E220" s="42"/>
      <c r="F220" s="42"/>
      <c r="G220" s="34" t="str">
        <f t="shared" si="16"/>
        <v/>
      </c>
      <c r="I220" s="42"/>
      <c r="J220" s="42"/>
      <c r="K220" s="34" t="str">
        <f t="shared" si="17"/>
        <v/>
      </c>
      <c r="M220" s="42"/>
      <c r="N220" s="42"/>
      <c r="O220" s="34" t="str">
        <f t="shared" si="18"/>
        <v/>
      </c>
      <c r="Q220" s="42"/>
      <c r="R220" s="42"/>
      <c r="S220" s="34" t="str">
        <f t="shared" si="19"/>
        <v/>
      </c>
    </row>
    <row r="221" spans="1:19" x14ac:dyDescent="0.25">
      <c r="A221" s="42"/>
      <c r="B221" s="42"/>
      <c r="C221" s="34" t="str">
        <f t="shared" si="15"/>
        <v/>
      </c>
      <c r="E221" s="42"/>
      <c r="F221" s="42"/>
      <c r="G221" s="34" t="str">
        <f t="shared" si="16"/>
        <v/>
      </c>
      <c r="I221" s="42"/>
      <c r="J221" s="42"/>
      <c r="K221" s="34" t="str">
        <f t="shared" si="17"/>
        <v/>
      </c>
      <c r="M221" s="42"/>
      <c r="N221" s="42"/>
      <c r="O221" s="34" t="str">
        <f t="shared" si="18"/>
        <v/>
      </c>
      <c r="Q221" s="42"/>
      <c r="R221" s="42"/>
      <c r="S221" s="34" t="str">
        <f t="shared" si="19"/>
        <v/>
      </c>
    </row>
    <row r="222" spans="1:19" x14ac:dyDescent="0.25">
      <c r="A222" s="42"/>
      <c r="B222" s="42"/>
      <c r="C222" s="34" t="str">
        <f t="shared" si="15"/>
        <v/>
      </c>
      <c r="E222" s="42"/>
      <c r="F222" s="42"/>
      <c r="G222" s="34" t="str">
        <f t="shared" si="16"/>
        <v/>
      </c>
      <c r="I222" s="42"/>
      <c r="J222" s="42"/>
      <c r="K222" s="34" t="str">
        <f t="shared" si="17"/>
        <v/>
      </c>
      <c r="M222" s="42"/>
      <c r="N222" s="42"/>
      <c r="O222" s="34" t="str">
        <f t="shared" si="18"/>
        <v/>
      </c>
      <c r="Q222" s="42"/>
      <c r="R222" s="42"/>
      <c r="S222" s="34" t="str">
        <f t="shared" si="19"/>
        <v/>
      </c>
    </row>
    <row r="223" spans="1:19" x14ac:dyDescent="0.25">
      <c r="A223" s="42"/>
      <c r="B223" s="42"/>
      <c r="C223" s="34" t="str">
        <f t="shared" si="15"/>
        <v/>
      </c>
      <c r="E223" s="42"/>
      <c r="F223" s="42"/>
      <c r="G223" s="34" t="str">
        <f t="shared" si="16"/>
        <v/>
      </c>
      <c r="I223" s="42"/>
      <c r="J223" s="42"/>
      <c r="K223" s="34" t="str">
        <f t="shared" si="17"/>
        <v/>
      </c>
      <c r="M223" s="42"/>
      <c r="N223" s="42"/>
      <c r="O223" s="34" t="str">
        <f t="shared" si="18"/>
        <v/>
      </c>
      <c r="Q223" s="42"/>
      <c r="R223" s="42"/>
      <c r="S223" s="34" t="str">
        <f t="shared" si="19"/>
        <v/>
      </c>
    </row>
    <row r="224" spans="1:19" x14ac:dyDescent="0.25">
      <c r="A224" s="42"/>
      <c r="B224" s="42"/>
      <c r="C224" s="34" t="str">
        <f t="shared" si="15"/>
        <v/>
      </c>
      <c r="E224" s="42"/>
      <c r="F224" s="42"/>
      <c r="G224" s="34" t="str">
        <f t="shared" si="16"/>
        <v/>
      </c>
      <c r="I224" s="42"/>
      <c r="J224" s="42"/>
      <c r="K224" s="34" t="str">
        <f t="shared" si="17"/>
        <v/>
      </c>
      <c r="M224" s="42"/>
      <c r="N224" s="42"/>
      <c r="O224" s="34" t="str">
        <f t="shared" si="18"/>
        <v/>
      </c>
      <c r="Q224" s="42"/>
      <c r="R224" s="42"/>
      <c r="S224" s="34" t="str">
        <f t="shared" si="19"/>
        <v/>
      </c>
    </row>
    <row r="225" spans="1:19" x14ac:dyDescent="0.25">
      <c r="A225" s="42"/>
      <c r="B225" s="42"/>
      <c r="C225" s="34" t="str">
        <f t="shared" si="15"/>
        <v/>
      </c>
      <c r="E225" s="42"/>
      <c r="F225" s="42"/>
      <c r="G225" s="34" t="str">
        <f t="shared" si="16"/>
        <v/>
      </c>
      <c r="I225" s="42"/>
      <c r="J225" s="42"/>
      <c r="K225" s="34" t="str">
        <f t="shared" si="17"/>
        <v/>
      </c>
      <c r="M225" s="42"/>
      <c r="N225" s="42"/>
      <c r="O225" s="34" t="str">
        <f t="shared" si="18"/>
        <v/>
      </c>
      <c r="Q225" s="42"/>
      <c r="R225" s="42"/>
      <c r="S225" s="34" t="str">
        <f t="shared" si="19"/>
        <v/>
      </c>
    </row>
    <row r="226" spans="1:19" x14ac:dyDescent="0.25">
      <c r="A226" s="42"/>
      <c r="B226" s="42"/>
      <c r="C226" s="34" t="str">
        <f t="shared" si="15"/>
        <v/>
      </c>
      <c r="E226" s="42"/>
      <c r="F226" s="42"/>
      <c r="G226" s="34" t="str">
        <f t="shared" si="16"/>
        <v/>
      </c>
      <c r="I226" s="42"/>
      <c r="J226" s="42"/>
      <c r="K226" s="34" t="str">
        <f t="shared" si="17"/>
        <v/>
      </c>
      <c r="M226" s="42"/>
      <c r="N226" s="42"/>
      <c r="O226" s="34" t="str">
        <f t="shared" si="18"/>
        <v/>
      </c>
      <c r="Q226" s="42"/>
      <c r="R226" s="42"/>
      <c r="S226" s="34" t="str">
        <f t="shared" si="19"/>
        <v/>
      </c>
    </row>
    <row r="227" spans="1:19" x14ac:dyDescent="0.25">
      <c r="A227" s="42"/>
      <c r="B227" s="42"/>
      <c r="C227" s="34" t="str">
        <f t="shared" si="15"/>
        <v/>
      </c>
      <c r="E227" s="42"/>
      <c r="F227" s="42"/>
      <c r="G227" s="34" t="str">
        <f t="shared" si="16"/>
        <v/>
      </c>
      <c r="I227" s="42"/>
      <c r="J227" s="42"/>
      <c r="K227" s="34" t="str">
        <f t="shared" si="17"/>
        <v/>
      </c>
      <c r="M227" s="42"/>
      <c r="N227" s="42"/>
      <c r="O227" s="34" t="str">
        <f t="shared" si="18"/>
        <v/>
      </c>
      <c r="Q227" s="42"/>
      <c r="R227" s="42"/>
      <c r="S227" s="34" t="str">
        <f t="shared" si="19"/>
        <v/>
      </c>
    </row>
    <row r="228" spans="1:19" x14ac:dyDescent="0.25">
      <c r="A228" s="42"/>
      <c r="B228" s="42"/>
      <c r="C228" s="34" t="str">
        <f t="shared" si="15"/>
        <v/>
      </c>
      <c r="E228" s="42"/>
      <c r="F228" s="42"/>
      <c r="G228" s="34" t="str">
        <f t="shared" si="16"/>
        <v/>
      </c>
      <c r="I228" s="42"/>
      <c r="J228" s="42"/>
      <c r="K228" s="34" t="str">
        <f t="shared" si="17"/>
        <v/>
      </c>
      <c r="M228" s="42"/>
      <c r="N228" s="42"/>
      <c r="O228" s="34" t="str">
        <f t="shared" si="18"/>
        <v/>
      </c>
      <c r="Q228" s="42"/>
      <c r="R228" s="42"/>
      <c r="S228" s="34" t="str">
        <f t="shared" si="19"/>
        <v/>
      </c>
    </row>
    <row r="229" spans="1:19" x14ac:dyDescent="0.25">
      <c r="A229" s="42"/>
      <c r="B229" s="42"/>
      <c r="C229" s="34" t="str">
        <f t="shared" si="15"/>
        <v/>
      </c>
      <c r="E229" s="42"/>
      <c r="F229" s="42"/>
      <c r="G229" s="34" t="str">
        <f t="shared" si="16"/>
        <v/>
      </c>
      <c r="I229" s="42"/>
      <c r="J229" s="42"/>
      <c r="K229" s="34" t="str">
        <f t="shared" si="17"/>
        <v/>
      </c>
      <c r="M229" s="42"/>
      <c r="N229" s="42"/>
      <c r="O229" s="34" t="str">
        <f t="shared" si="18"/>
        <v/>
      </c>
      <c r="Q229" s="42"/>
      <c r="R229" s="42"/>
      <c r="S229" s="34" t="str">
        <f t="shared" si="19"/>
        <v/>
      </c>
    </row>
    <row r="230" spans="1:19" x14ac:dyDescent="0.25">
      <c r="A230" s="42"/>
      <c r="B230" s="42"/>
      <c r="C230" s="34" t="str">
        <f t="shared" si="15"/>
        <v/>
      </c>
      <c r="E230" s="42"/>
      <c r="F230" s="42"/>
      <c r="G230" s="34" t="str">
        <f t="shared" si="16"/>
        <v/>
      </c>
      <c r="I230" s="42"/>
      <c r="J230" s="42"/>
      <c r="K230" s="34" t="str">
        <f t="shared" si="17"/>
        <v/>
      </c>
      <c r="M230" s="42"/>
      <c r="N230" s="42"/>
      <c r="O230" s="34" t="str">
        <f t="shared" si="18"/>
        <v/>
      </c>
      <c r="Q230" s="42"/>
      <c r="R230" s="42"/>
      <c r="S230" s="34" t="str">
        <f t="shared" si="19"/>
        <v/>
      </c>
    </row>
    <row r="231" spans="1:19" x14ac:dyDescent="0.25">
      <c r="A231" s="42"/>
      <c r="B231" s="42"/>
      <c r="C231" s="34" t="str">
        <f t="shared" si="15"/>
        <v/>
      </c>
      <c r="E231" s="42"/>
      <c r="F231" s="42"/>
      <c r="G231" s="34" t="str">
        <f t="shared" si="16"/>
        <v/>
      </c>
      <c r="I231" s="42"/>
      <c r="J231" s="42"/>
      <c r="K231" s="34" t="str">
        <f t="shared" si="17"/>
        <v/>
      </c>
      <c r="M231" s="42"/>
      <c r="N231" s="42"/>
      <c r="O231" s="34" t="str">
        <f t="shared" si="18"/>
        <v/>
      </c>
      <c r="Q231" s="42"/>
      <c r="R231" s="42"/>
      <c r="S231" s="34" t="str">
        <f t="shared" si="19"/>
        <v/>
      </c>
    </row>
    <row r="232" spans="1:19" x14ac:dyDescent="0.25">
      <c r="A232" s="42"/>
      <c r="B232" s="42"/>
      <c r="C232" s="34" t="str">
        <f t="shared" si="15"/>
        <v/>
      </c>
      <c r="E232" s="42"/>
      <c r="F232" s="42"/>
      <c r="G232" s="34" t="str">
        <f t="shared" si="16"/>
        <v/>
      </c>
      <c r="I232" s="42"/>
      <c r="J232" s="42"/>
      <c r="K232" s="34" t="str">
        <f t="shared" si="17"/>
        <v/>
      </c>
      <c r="M232" s="42"/>
      <c r="N232" s="42"/>
      <c r="O232" s="34" t="str">
        <f t="shared" si="18"/>
        <v/>
      </c>
      <c r="Q232" s="42"/>
      <c r="R232" s="42"/>
      <c r="S232" s="34" t="str">
        <f t="shared" si="19"/>
        <v/>
      </c>
    </row>
    <row r="233" spans="1:19" x14ac:dyDescent="0.25">
      <c r="A233" s="42"/>
      <c r="B233" s="42"/>
      <c r="C233" s="34" t="str">
        <f t="shared" si="15"/>
        <v/>
      </c>
      <c r="E233" s="42"/>
      <c r="F233" s="42"/>
      <c r="G233" s="34" t="str">
        <f t="shared" si="16"/>
        <v/>
      </c>
      <c r="I233" s="42"/>
      <c r="J233" s="42"/>
      <c r="K233" s="34" t="str">
        <f t="shared" si="17"/>
        <v/>
      </c>
      <c r="M233" s="42"/>
      <c r="N233" s="42"/>
      <c r="O233" s="34" t="str">
        <f t="shared" si="18"/>
        <v/>
      </c>
      <c r="Q233" s="42"/>
      <c r="R233" s="42"/>
      <c r="S233" s="34" t="str">
        <f t="shared" si="19"/>
        <v/>
      </c>
    </row>
    <row r="234" spans="1:19" x14ac:dyDescent="0.25">
      <c r="A234" s="42"/>
      <c r="B234" s="42"/>
      <c r="C234" s="34" t="str">
        <f t="shared" si="15"/>
        <v/>
      </c>
      <c r="E234" s="42"/>
      <c r="F234" s="42"/>
      <c r="G234" s="34" t="str">
        <f t="shared" si="16"/>
        <v/>
      </c>
      <c r="I234" s="42"/>
      <c r="J234" s="42"/>
      <c r="K234" s="34" t="str">
        <f t="shared" si="17"/>
        <v/>
      </c>
      <c r="M234" s="42"/>
      <c r="N234" s="42"/>
      <c r="O234" s="34" t="str">
        <f t="shared" si="18"/>
        <v/>
      </c>
      <c r="Q234" s="42"/>
      <c r="R234" s="42"/>
      <c r="S234" s="34" t="str">
        <f t="shared" si="19"/>
        <v/>
      </c>
    </row>
    <row r="235" spans="1:19" x14ac:dyDescent="0.25">
      <c r="A235" s="42"/>
      <c r="B235" s="42"/>
      <c r="C235" s="34" t="str">
        <f t="shared" si="15"/>
        <v/>
      </c>
      <c r="E235" s="42"/>
      <c r="F235" s="42"/>
      <c r="G235" s="34" t="str">
        <f t="shared" si="16"/>
        <v/>
      </c>
      <c r="I235" s="42"/>
      <c r="J235" s="42"/>
      <c r="K235" s="34" t="str">
        <f t="shared" si="17"/>
        <v/>
      </c>
      <c r="M235" s="42"/>
      <c r="N235" s="42"/>
      <c r="O235" s="34" t="str">
        <f t="shared" si="18"/>
        <v/>
      </c>
      <c r="Q235" s="42"/>
      <c r="R235" s="42"/>
      <c r="S235" s="34" t="str">
        <f t="shared" si="19"/>
        <v/>
      </c>
    </row>
    <row r="236" spans="1:19" x14ac:dyDescent="0.25">
      <c r="A236" s="42"/>
      <c r="B236" s="42"/>
      <c r="C236" s="34" t="str">
        <f t="shared" si="15"/>
        <v/>
      </c>
      <c r="E236" s="42"/>
      <c r="F236" s="42"/>
      <c r="G236" s="34" t="str">
        <f t="shared" si="16"/>
        <v/>
      </c>
      <c r="I236" s="42"/>
      <c r="J236" s="42"/>
      <c r="K236" s="34" t="str">
        <f t="shared" si="17"/>
        <v/>
      </c>
      <c r="M236" s="42"/>
      <c r="N236" s="42"/>
      <c r="O236" s="34" t="str">
        <f t="shared" si="18"/>
        <v/>
      </c>
      <c r="Q236" s="42"/>
      <c r="R236" s="42"/>
      <c r="S236" s="34" t="str">
        <f t="shared" si="19"/>
        <v/>
      </c>
    </row>
    <row r="237" spans="1:19" x14ac:dyDescent="0.25">
      <c r="A237" s="42"/>
      <c r="B237" s="42"/>
      <c r="C237" s="34" t="str">
        <f t="shared" si="15"/>
        <v/>
      </c>
      <c r="E237" s="42"/>
      <c r="F237" s="42"/>
      <c r="G237" s="34" t="str">
        <f t="shared" si="16"/>
        <v/>
      </c>
      <c r="I237" s="42"/>
      <c r="J237" s="42"/>
      <c r="K237" s="34" t="str">
        <f t="shared" si="17"/>
        <v/>
      </c>
      <c r="M237" s="42"/>
      <c r="N237" s="42"/>
      <c r="O237" s="34" t="str">
        <f t="shared" si="18"/>
        <v/>
      </c>
      <c r="Q237" s="42"/>
      <c r="R237" s="42"/>
      <c r="S237" s="34" t="str">
        <f t="shared" si="19"/>
        <v/>
      </c>
    </row>
    <row r="238" spans="1:19" x14ac:dyDescent="0.25">
      <c r="A238" s="42"/>
      <c r="B238" s="42"/>
      <c r="C238" s="34" t="str">
        <f t="shared" si="15"/>
        <v/>
      </c>
      <c r="E238" s="42"/>
      <c r="F238" s="42"/>
      <c r="G238" s="34" t="str">
        <f t="shared" si="16"/>
        <v/>
      </c>
      <c r="I238" s="42"/>
      <c r="J238" s="42"/>
      <c r="K238" s="34" t="str">
        <f t="shared" si="17"/>
        <v/>
      </c>
      <c r="M238" s="42"/>
      <c r="N238" s="42"/>
      <c r="O238" s="34" t="str">
        <f t="shared" si="18"/>
        <v/>
      </c>
      <c r="Q238" s="42"/>
      <c r="R238" s="42"/>
      <c r="S238" s="34" t="str">
        <f t="shared" si="19"/>
        <v/>
      </c>
    </row>
    <row r="239" spans="1:19" x14ac:dyDescent="0.25">
      <c r="A239" s="42"/>
      <c r="B239" s="42"/>
      <c r="C239" s="34" t="str">
        <f t="shared" si="15"/>
        <v/>
      </c>
      <c r="E239" s="42"/>
      <c r="F239" s="42"/>
      <c r="G239" s="34" t="str">
        <f t="shared" si="16"/>
        <v/>
      </c>
      <c r="I239" s="42"/>
      <c r="J239" s="42"/>
      <c r="K239" s="34" t="str">
        <f t="shared" si="17"/>
        <v/>
      </c>
      <c r="M239" s="42"/>
      <c r="N239" s="42"/>
      <c r="O239" s="34" t="str">
        <f t="shared" si="18"/>
        <v/>
      </c>
      <c r="Q239" s="42"/>
      <c r="R239" s="42"/>
      <c r="S239" s="34" t="str">
        <f t="shared" si="19"/>
        <v/>
      </c>
    </row>
    <row r="240" spans="1:19" x14ac:dyDescent="0.25">
      <c r="A240" s="42"/>
      <c r="B240" s="42"/>
      <c r="C240" s="34" t="str">
        <f t="shared" si="15"/>
        <v/>
      </c>
      <c r="E240" s="42"/>
      <c r="F240" s="42"/>
      <c r="G240" s="34" t="str">
        <f t="shared" si="16"/>
        <v/>
      </c>
      <c r="I240" s="42"/>
      <c r="J240" s="42"/>
      <c r="K240" s="34" t="str">
        <f t="shared" si="17"/>
        <v/>
      </c>
      <c r="M240" s="42"/>
      <c r="N240" s="42"/>
      <c r="O240" s="34" t="str">
        <f t="shared" si="18"/>
        <v/>
      </c>
      <c r="Q240" s="42"/>
      <c r="R240" s="42"/>
      <c r="S240" s="34" t="str">
        <f t="shared" si="19"/>
        <v/>
      </c>
    </row>
    <row r="241" spans="1:19" x14ac:dyDescent="0.25">
      <c r="A241" s="42"/>
      <c r="B241" s="42"/>
      <c r="C241" s="34" t="str">
        <f t="shared" si="15"/>
        <v/>
      </c>
      <c r="E241" s="42"/>
      <c r="F241" s="42"/>
      <c r="G241" s="34" t="str">
        <f t="shared" si="16"/>
        <v/>
      </c>
      <c r="I241" s="42"/>
      <c r="J241" s="42"/>
      <c r="K241" s="34" t="str">
        <f t="shared" si="17"/>
        <v/>
      </c>
      <c r="M241" s="42"/>
      <c r="N241" s="42"/>
      <c r="O241" s="34" t="str">
        <f t="shared" si="18"/>
        <v/>
      </c>
      <c r="Q241" s="42"/>
      <c r="R241" s="42"/>
      <c r="S241" s="34" t="str">
        <f t="shared" si="19"/>
        <v/>
      </c>
    </row>
    <row r="242" spans="1:19" x14ac:dyDescent="0.25">
      <c r="A242" s="42"/>
      <c r="B242" s="42"/>
      <c r="C242" s="34" t="str">
        <f t="shared" si="15"/>
        <v/>
      </c>
      <c r="E242" s="42"/>
      <c r="F242" s="42"/>
      <c r="G242" s="34" t="str">
        <f t="shared" si="16"/>
        <v/>
      </c>
      <c r="I242" s="42"/>
      <c r="J242" s="42"/>
      <c r="K242" s="34" t="str">
        <f t="shared" si="17"/>
        <v/>
      </c>
      <c r="M242" s="42"/>
      <c r="N242" s="42"/>
      <c r="O242" s="34" t="str">
        <f t="shared" si="18"/>
        <v/>
      </c>
      <c r="Q242" s="42"/>
      <c r="R242" s="42"/>
      <c r="S242" s="34" t="str">
        <f t="shared" si="19"/>
        <v/>
      </c>
    </row>
    <row r="243" spans="1:19" x14ac:dyDescent="0.25">
      <c r="A243" s="42"/>
      <c r="B243" s="42"/>
      <c r="C243" s="34" t="str">
        <f t="shared" si="15"/>
        <v/>
      </c>
      <c r="E243" s="42"/>
      <c r="F243" s="42"/>
      <c r="G243" s="34" t="str">
        <f t="shared" si="16"/>
        <v/>
      </c>
      <c r="I243" s="42"/>
      <c r="J243" s="42"/>
      <c r="K243" s="34" t="str">
        <f t="shared" si="17"/>
        <v/>
      </c>
      <c r="M243" s="42"/>
      <c r="N243" s="42"/>
      <c r="O243" s="34" t="str">
        <f t="shared" si="18"/>
        <v/>
      </c>
      <c r="Q243" s="42"/>
      <c r="R243" s="42"/>
      <c r="S243" s="34" t="str">
        <f t="shared" si="19"/>
        <v/>
      </c>
    </row>
    <row r="244" spans="1:19" x14ac:dyDescent="0.25">
      <c r="A244" s="42"/>
      <c r="B244" s="42"/>
      <c r="C244" s="34" t="str">
        <f t="shared" si="15"/>
        <v/>
      </c>
      <c r="E244" s="42"/>
      <c r="F244" s="42"/>
      <c r="G244" s="34" t="str">
        <f t="shared" si="16"/>
        <v/>
      </c>
      <c r="I244" s="42"/>
      <c r="J244" s="42"/>
      <c r="K244" s="34" t="str">
        <f t="shared" si="17"/>
        <v/>
      </c>
      <c r="M244" s="42"/>
      <c r="N244" s="42"/>
      <c r="O244" s="34" t="str">
        <f t="shared" si="18"/>
        <v/>
      </c>
      <c r="Q244" s="42"/>
      <c r="R244" s="42"/>
      <c r="S244" s="34" t="str">
        <f t="shared" si="19"/>
        <v/>
      </c>
    </row>
    <row r="245" spans="1:19" x14ac:dyDescent="0.25">
      <c r="A245" s="42"/>
      <c r="B245" s="42"/>
      <c r="C245" s="34" t="str">
        <f t="shared" si="15"/>
        <v/>
      </c>
      <c r="E245" s="42"/>
      <c r="F245" s="42"/>
      <c r="G245" s="34" t="str">
        <f t="shared" si="16"/>
        <v/>
      </c>
      <c r="I245" s="42"/>
      <c r="J245" s="42"/>
      <c r="K245" s="34" t="str">
        <f t="shared" si="17"/>
        <v/>
      </c>
      <c r="M245" s="42"/>
      <c r="N245" s="42"/>
      <c r="O245" s="34" t="str">
        <f t="shared" si="18"/>
        <v/>
      </c>
      <c r="Q245" s="42"/>
      <c r="R245" s="42"/>
      <c r="S245" s="34" t="str">
        <f t="shared" si="19"/>
        <v/>
      </c>
    </row>
    <row r="246" spans="1:19" x14ac:dyDescent="0.25">
      <c r="A246" s="42"/>
      <c r="B246" s="42"/>
      <c r="C246" s="34" t="str">
        <f t="shared" si="15"/>
        <v/>
      </c>
      <c r="E246" s="42"/>
      <c r="F246" s="42"/>
      <c r="G246" s="34" t="str">
        <f t="shared" si="16"/>
        <v/>
      </c>
      <c r="I246" s="42"/>
      <c r="J246" s="42"/>
      <c r="K246" s="34" t="str">
        <f t="shared" si="17"/>
        <v/>
      </c>
      <c r="M246" s="42"/>
      <c r="N246" s="42"/>
      <c r="O246" s="34" t="str">
        <f t="shared" si="18"/>
        <v/>
      </c>
      <c r="Q246" s="42"/>
      <c r="R246" s="42"/>
      <c r="S246" s="34" t="str">
        <f t="shared" si="19"/>
        <v/>
      </c>
    </row>
    <row r="247" spans="1:19" x14ac:dyDescent="0.25">
      <c r="A247" s="42"/>
      <c r="B247" s="42"/>
      <c r="C247" s="34" t="str">
        <f t="shared" si="15"/>
        <v/>
      </c>
      <c r="E247" s="42"/>
      <c r="F247" s="42"/>
      <c r="G247" s="34" t="str">
        <f t="shared" si="16"/>
        <v/>
      </c>
      <c r="I247" s="42"/>
      <c r="J247" s="42"/>
      <c r="K247" s="34" t="str">
        <f t="shared" si="17"/>
        <v/>
      </c>
      <c r="M247" s="42"/>
      <c r="N247" s="42"/>
      <c r="O247" s="34" t="str">
        <f t="shared" si="18"/>
        <v/>
      </c>
      <c r="Q247" s="42"/>
      <c r="R247" s="42"/>
      <c r="S247" s="34" t="str">
        <f t="shared" si="19"/>
        <v/>
      </c>
    </row>
    <row r="248" spans="1:19" x14ac:dyDescent="0.25">
      <c r="A248" s="42"/>
      <c r="B248" s="42"/>
      <c r="C248" s="34" t="str">
        <f t="shared" si="15"/>
        <v/>
      </c>
      <c r="E248" s="42"/>
      <c r="F248" s="42"/>
      <c r="G248" s="34" t="str">
        <f t="shared" si="16"/>
        <v/>
      </c>
      <c r="I248" s="42"/>
      <c r="J248" s="42"/>
      <c r="K248" s="34" t="str">
        <f t="shared" si="17"/>
        <v/>
      </c>
      <c r="M248" s="42"/>
      <c r="N248" s="42"/>
      <c r="O248" s="34" t="str">
        <f t="shared" si="18"/>
        <v/>
      </c>
      <c r="Q248" s="42"/>
      <c r="R248" s="42"/>
      <c r="S248" s="34" t="str">
        <f t="shared" si="19"/>
        <v/>
      </c>
    </row>
    <row r="249" spans="1:19" x14ac:dyDescent="0.25">
      <c r="A249" s="42"/>
      <c r="B249" s="42"/>
      <c r="C249" s="34" t="str">
        <f t="shared" si="15"/>
        <v/>
      </c>
      <c r="E249" s="42"/>
      <c r="F249" s="42"/>
      <c r="G249" s="34" t="str">
        <f t="shared" si="16"/>
        <v/>
      </c>
      <c r="I249" s="42"/>
      <c r="J249" s="42"/>
      <c r="K249" s="34" t="str">
        <f t="shared" si="17"/>
        <v/>
      </c>
      <c r="M249" s="42"/>
      <c r="N249" s="42"/>
      <c r="O249" s="34" t="str">
        <f t="shared" si="18"/>
        <v/>
      </c>
      <c r="Q249" s="42"/>
      <c r="R249" s="42"/>
      <c r="S249" s="34" t="str">
        <f t="shared" si="19"/>
        <v/>
      </c>
    </row>
    <row r="250" spans="1:19" x14ac:dyDescent="0.25">
      <c r="A250" s="42"/>
      <c r="B250" s="42"/>
      <c r="C250" s="34" t="str">
        <f t="shared" si="15"/>
        <v/>
      </c>
      <c r="E250" s="42"/>
      <c r="F250" s="42"/>
      <c r="G250" s="34" t="str">
        <f t="shared" si="16"/>
        <v/>
      </c>
      <c r="I250" s="42"/>
      <c r="J250" s="42"/>
      <c r="K250" s="34" t="str">
        <f t="shared" si="17"/>
        <v/>
      </c>
      <c r="M250" s="42"/>
      <c r="N250" s="42"/>
      <c r="O250" s="34" t="str">
        <f t="shared" si="18"/>
        <v/>
      </c>
      <c r="Q250" s="42"/>
      <c r="R250" s="42"/>
      <c r="S250" s="34" t="str">
        <f t="shared" si="19"/>
        <v/>
      </c>
    </row>
    <row r="251" spans="1:19" x14ac:dyDescent="0.25">
      <c r="A251" s="42"/>
      <c r="B251" s="42"/>
      <c r="C251" s="34" t="str">
        <f t="shared" si="15"/>
        <v/>
      </c>
      <c r="E251" s="42"/>
      <c r="F251" s="42"/>
      <c r="G251" s="34" t="str">
        <f t="shared" si="16"/>
        <v/>
      </c>
      <c r="I251" s="42"/>
      <c r="J251" s="42"/>
      <c r="K251" s="34" t="str">
        <f t="shared" si="17"/>
        <v/>
      </c>
      <c r="M251" s="42"/>
      <c r="N251" s="42"/>
      <c r="O251" s="34" t="str">
        <f t="shared" si="18"/>
        <v/>
      </c>
      <c r="Q251" s="42"/>
      <c r="R251" s="42"/>
      <c r="S251" s="34" t="str">
        <f t="shared" si="19"/>
        <v/>
      </c>
    </row>
    <row r="252" spans="1:19" x14ac:dyDescent="0.25">
      <c r="A252" s="42"/>
      <c r="B252" s="42"/>
      <c r="C252" s="34" t="str">
        <f t="shared" si="15"/>
        <v/>
      </c>
      <c r="E252" s="42"/>
      <c r="F252" s="42"/>
      <c r="G252" s="34" t="str">
        <f t="shared" si="16"/>
        <v/>
      </c>
      <c r="I252" s="42"/>
      <c r="J252" s="42"/>
      <c r="K252" s="34" t="str">
        <f t="shared" si="17"/>
        <v/>
      </c>
      <c r="M252" s="42"/>
      <c r="N252" s="42"/>
      <c r="O252" s="34" t="str">
        <f t="shared" si="18"/>
        <v/>
      </c>
      <c r="Q252" s="42"/>
      <c r="R252" s="42"/>
      <c r="S252" s="34" t="str">
        <f t="shared" si="19"/>
        <v/>
      </c>
    </row>
    <row r="253" spans="1:19" x14ac:dyDescent="0.25">
      <c r="A253" s="42"/>
      <c r="B253" s="42"/>
      <c r="C253" s="34" t="str">
        <f t="shared" si="15"/>
        <v/>
      </c>
      <c r="E253" s="42"/>
      <c r="F253" s="42"/>
      <c r="G253" s="34" t="str">
        <f t="shared" si="16"/>
        <v/>
      </c>
      <c r="I253" s="42"/>
      <c r="J253" s="42"/>
      <c r="K253" s="34" t="str">
        <f t="shared" si="17"/>
        <v/>
      </c>
      <c r="M253" s="42"/>
      <c r="N253" s="42"/>
      <c r="O253" s="34" t="str">
        <f t="shared" si="18"/>
        <v/>
      </c>
      <c r="Q253" s="42"/>
      <c r="R253" s="42"/>
      <c r="S253" s="34" t="str">
        <f t="shared" si="19"/>
        <v/>
      </c>
    </row>
    <row r="254" spans="1:19" x14ac:dyDescent="0.25">
      <c r="A254" s="42"/>
      <c r="B254" s="42"/>
      <c r="C254" s="34" t="str">
        <f t="shared" si="15"/>
        <v/>
      </c>
      <c r="E254" s="42"/>
      <c r="F254" s="42"/>
      <c r="G254" s="34" t="str">
        <f t="shared" si="16"/>
        <v/>
      </c>
      <c r="I254" s="42"/>
      <c r="J254" s="42"/>
      <c r="K254" s="34" t="str">
        <f t="shared" si="17"/>
        <v/>
      </c>
      <c r="M254" s="42"/>
      <c r="N254" s="42"/>
      <c r="O254" s="34" t="str">
        <f t="shared" si="18"/>
        <v/>
      </c>
      <c r="Q254" s="42"/>
      <c r="R254" s="42"/>
      <c r="S254" s="34" t="str">
        <f t="shared" si="19"/>
        <v/>
      </c>
    </row>
    <row r="255" spans="1:19" x14ac:dyDescent="0.25">
      <c r="A255" s="42"/>
      <c r="B255" s="42"/>
      <c r="C255" s="34" t="str">
        <f t="shared" si="15"/>
        <v/>
      </c>
      <c r="E255" s="42"/>
      <c r="F255" s="42"/>
      <c r="G255" s="34" t="str">
        <f t="shared" si="16"/>
        <v/>
      </c>
      <c r="I255" s="42"/>
      <c r="J255" s="42"/>
      <c r="K255" s="34" t="str">
        <f t="shared" si="17"/>
        <v/>
      </c>
      <c r="M255" s="42"/>
      <c r="N255" s="42"/>
      <c r="O255" s="34" t="str">
        <f t="shared" si="18"/>
        <v/>
      </c>
      <c r="Q255" s="42"/>
      <c r="R255" s="42"/>
      <c r="S255" s="34" t="str">
        <f t="shared" si="19"/>
        <v/>
      </c>
    </row>
    <row r="256" spans="1:19" x14ac:dyDescent="0.25">
      <c r="A256" s="42"/>
      <c r="B256" s="42"/>
      <c r="C256" s="34" t="str">
        <f t="shared" si="15"/>
        <v/>
      </c>
      <c r="E256" s="42"/>
      <c r="F256" s="42"/>
      <c r="G256" s="34" t="str">
        <f t="shared" si="16"/>
        <v/>
      </c>
      <c r="I256" s="42"/>
      <c r="J256" s="42"/>
      <c r="K256" s="34" t="str">
        <f t="shared" si="17"/>
        <v/>
      </c>
      <c r="M256" s="42"/>
      <c r="N256" s="42"/>
      <c r="O256" s="34" t="str">
        <f t="shared" si="18"/>
        <v/>
      </c>
      <c r="Q256" s="42"/>
      <c r="R256" s="42"/>
      <c r="S256" s="34" t="str">
        <f t="shared" si="19"/>
        <v/>
      </c>
    </row>
    <row r="257" spans="1:19" x14ac:dyDescent="0.25">
      <c r="A257" s="42"/>
      <c r="B257" s="42"/>
      <c r="C257" s="34" t="str">
        <f t="shared" si="15"/>
        <v/>
      </c>
      <c r="E257" s="42"/>
      <c r="F257" s="42"/>
      <c r="G257" s="34" t="str">
        <f t="shared" si="16"/>
        <v/>
      </c>
      <c r="I257" s="42"/>
      <c r="J257" s="42"/>
      <c r="K257" s="34" t="str">
        <f t="shared" si="17"/>
        <v/>
      </c>
      <c r="M257" s="42"/>
      <c r="N257" s="42"/>
      <c r="O257" s="34" t="str">
        <f t="shared" si="18"/>
        <v/>
      </c>
      <c r="Q257" s="42"/>
      <c r="R257" s="42"/>
      <c r="S257" s="34" t="str">
        <f t="shared" si="19"/>
        <v/>
      </c>
    </row>
    <row r="258" spans="1:19" x14ac:dyDescent="0.25">
      <c r="A258" s="42"/>
      <c r="B258" s="42"/>
      <c r="C258" s="34" t="str">
        <f t="shared" si="15"/>
        <v/>
      </c>
      <c r="E258" s="42"/>
      <c r="F258" s="42"/>
      <c r="G258" s="34" t="str">
        <f t="shared" si="16"/>
        <v/>
      </c>
      <c r="I258" s="42"/>
      <c r="J258" s="42"/>
      <c r="K258" s="34" t="str">
        <f t="shared" si="17"/>
        <v/>
      </c>
      <c r="M258" s="42"/>
      <c r="N258" s="42"/>
      <c r="O258" s="34" t="str">
        <f t="shared" si="18"/>
        <v/>
      </c>
      <c r="Q258" s="42"/>
      <c r="R258" s="42"/>
      <c r="S258" s="34" t="str">
        <f t="shared" si="19"/>
        <v/>
      </c>
    </row>
    <row r="259" spans="1:19" x14ac:dyDescent="0.25">
      <c r="A259" s="42"/>
      <c r="B259" s="42"/>
      <c r="C259" s="34" t="str">
        <f t="shared" si="15"/>
        <v/>
      </c>
      <c r="E259" s="42"/>
      <c r="F259" s="42"/>
      <c r="G259" s="34" t="str">
        <f t="shared" si="16"/>
        <v/>
      </c>
      <c r="I259" s="42"/>
      <c r="J259" s="42"/>
      <c r="K259" s="34" t="str">
        <f t="shared" si="17"/>
        <v/>
      </c>
      <c r="M259" s="42"/>
      <c r="N259" s="42"/>
      <c r="O259" s="34" t="str">
        <f t="shared" si="18"/>
        <v/>
      </c>
      <c r="Q259" s="42"/>
      <c r="R259" s="42"/>
      <c r="S259" s="34" t="str">
        <f t="shared" si="19"/>
        <v/>
      </c>
    </row>
    <row r="260" spans="1:19" x14ac:dyDescent="0.25">
      <c r="A260" s="42"/>
      <c r="B260" s="42"/>
      <c r="C260" s="34" t="str">
        <f t="shared" si="15"/>
        <v/>
      </c>
      <c r="E260" s="42"/>
      <c r="F260" s="42"/>
      <c r="G260" s="34" t="str">
        <f t="shared" si="16"/>
        <v/>
      </c>
      <c r="I260" s="42"/>
      <c r="J260" s="42"/>
      <c r="K260" s="34" t="str">
        <f t="shared" si="17"/>
        <v/>
      </c>
      <c r="M260" s="42"/>
      <c r="N260" s="42"/>
      <c r="O260" s="34" t="str">
        <f t="shared" si="18"/>
        <v/>
      </c>
      <c r="Q260" s="42"/>
      <c r="R260" s="42"/>
      <c r="S260" s="34" t="str">
        <f t="shared" si="19"/>
        <v/>
      </c>
    </row>
    <row r="261" spans="1:19" x14ac:dyDescent="0.25">
      <c r="A261" s="42"/>
      <c r="B261" s="42"/>
      <c r="C261" s="34" t="str">
        <f t="shared" si="15"/>
        <v/>
      </c>
      <c r="E261" s="42"/>
      <c r="F261" s="42"/>
      <c r="G261" s="34" t="str">
        <f t="shared" si="16"/>
        <v/>
      </c>
      <c r="I261" s="42"/>
      <c r="J261" s="42"/>
      <c r="K261" s="34" t="str">
        <f t="shared" si="17"/>
        <v/>
      </c>
      <c r="M261" s="42"/>
      <c r="N261" s="42"/>
      <c r="O261" s="34" t="str">
        <f t="shared" si="18"/>
        <v/>
      </c>
      <c r="Q261" s="42"/>
      <c r="R261" s="42"/>
      <c r="S261" s="34" t="str">
        <f t="shared" si="19"/>
        <v/>
      </c>
    </row>
    <row r="262" spans="1:19" x14ac:dyDescent="0.25">
      <c r="A262" s="42"/>
      <c r="B262" s="42"/>
      <c r="C262" s="34" t="str">
        <f t="shared" si="15"/>
        <v/>
      </c>
      <c r="E262" s="42"/>
      <c r="F262" s="42"/>
      <c r="G262" s="34" t="str">
        <f t="shared" si="16"/>
        <v/>
      </c>
      <c r="I262" s="42"/>
      <c r="J262" s="42"/>
      <c r="K262" s="34" t="str">
        <f t="shared" si="17"/>
        <v/>
      </c>
      <c r="M262" s="42"/>
      <c r="N262" s="42"/>
      <c r="O262" s="34" t="str">
        <f t="shared" si="18"/>
        <v/>
      </c>
      <c r="Q262" s="42"/>
      <c r="R262" s="42"/>
      <c r="S262" s="34" t="str">
        <f t="shared" si="19"/>
        <v/>
      </c>
    </row>
    <row r="263" spans="1:19" x14ac:dyDescent="0.25">
      <c r="A263" s="42"/>
      <c r="B263" s="42"/>
      <c r="C263" s="34" t="str">
        <f t="shared" si="15"/>
        <v/>
      </c>
      <c r="E263" s="42"/>
      <c r="F263" s="42"/>
      <c r="G263" s="34" t="str">
        <f t="shared" si="16"/>
        <v/>
      </c>
      <c r="I263" s="42"/>
      <c r="J263" s="42"/>
      <c r="K263" s="34" t="str">
        <f t="shared" si="17"/>
        <v/>
      </c>
      <c r="M263" s="42"/>
      <c r="N263" s="42"/>
      <c r="O263" s="34" t="str">
        <f t="shared" si="18"/>
        <v/>
      </c>
      <c r="Q263" s="42"/>
      <c r="R263" s="42"/>
      <c r="S263" s="34" t="str">
        <f t="shared" si="19"/>
        <v/>
      </c>
    </row>
    <row r="264" spans="1:19" x14ac:dyDescent="0.25">
      <c r="A264" s="42"/>
      <c r="B264" s="42"/>
      <c r="C264" s="34" t="str">
        <f t="shared" si="15"/>
        <v/>
      </c>
      <c r="E264" s="42"/>
      <c r="F264" s="42"/>
      <c r="G264" s="34" t="str">
        <f t="shared" si="16"/>
        <v/>
      </c>
      <c r="I264" s="42"/>
      <c r="J264" s="42"/>
      <c r="K264" s="34" t="str">
        <f t="shared" si="17"/>
        <v/>
      </c>
      <c r="M264" s="42"/>
      <c r="N264" s="42"/>
      <c r="O264" s="34" t="str">
        <f t="shared" si="18"/>
        <v/>
      </c>
      <c r="Q264" s="42"/>
      <c r="R264" s="42"/>
      <c r="S264" s="34" t="str">
        <f t="shared" si="19"/>
        <v/>
      </c>
    </row>
    <row r="265" spans="1:19" x14ac:dyDescent="0.25">
      <c r="A265" s="42"/>
      <c r="B265" s="42"/>
      <c r="C265" s="34" t="str">
        <f t="shared" si="15"/>
        <v/>
      </c>
      <c r="E265" s="42"/>
      <c r="F265" s="42"/>
      <c r="G265" s="34" t="str">
        <f t="shared" si="16"/>
        <v/>
      </c>
      <c r="I265" s="42"/>
      <c r="J265" s="42"/>
      <c r="K265" s="34" t="str">
        <f t="shared" si="17"/>
        <v/>
      </c>
      <c r="M265" s="42"/>
      <c r="N265" s="42"/>
      <c r="O265" s="34" t="str">
        <f t="shared" si="18"/>
        <v/>
      </c>
      <c r="Q265" s="42"/>
      <c r="R265" s="42"/>
      <c r="S265" s="34" t="str">
        <f t="shared" si="19"/>
        <v/>
      </c>
    </row>
    <row r="266" spans="1:19" x14ac:dyDescent="0.25">
      <c r="A266" s="42"/>
      <c r="B266" s="42"/>
      <c r="C266" s="34" t="str">
        <f t="shared" ref="C266:C329" si="20">IF(OR(B266="",B$4=""),"",B266/B$4)</f>
        <v/>
      </c>
      <c r="E266" s="42"/>
      <c r="F266" s="42"/>
      <c r="G266" s="34" t="str">
        <f t="shared" ref="G266:G329" si="21">IF(OR(F266="",F$4=""),"",F266/F$4)</f>
        <v/>
      </c>
      <c r="I266" s="42"/>
      <c r="J266" s="42"/>
      <c r="K266" s="34" t="str">
        <f t="shared" ref="K266:K329" si="22">IF(OR(J266="",J$4=""),"",J266/J$4)</f>
        <v/>
      </c>
      <c r="M266" s="42"/>
      <c r="N266" s="42"/>
      <c r="O266" s="34" t="str">
        <f t="shared" ref="O266:O329" si="23">IF(OR(N266="",N$4=""),"",N266/N$4)</f>
        <v/>
      </c>
      <c r="Q266" s="42"/>
      <c r="R266" s="42"/>
      <c r="S266" s="34" t="str">
        <f t="shared" ref="S266:S329" si="24">IF(OR(R266="",R$4=""),"",R266/R$4)</f>
        <v/>
      </c>
    </row>
    <row r="267" spans="1:19" x14ac:dyDescent="0.25">
      <c r="A267" s="42"/>
      <c r="B267" s="42"/>
      <c r="C267" s="34" t="str">
        <f t="shared" si="20"/>
        <v/>
      </c>
      <c r="E267" s="42"/>
      <c r="F267" s="42"/>
      <c r="G267" s="34" t="str">
        <f t="shared" si="21"/>
        <v/>
      </c>
      <c r="I267" s="42"/>
      <c r="J267" s="42"/>
      <c r="K267" s="34" t="str">
        <f t="shared" si="22"/>
        <v/>
      </c>
      <c r="M267" s="42"/>
      <c r="N267" s="42"/>
      <c r="O267" s="34" t="str">
        <f t="shared" si="23"/>
        <v/>
      </c>
      <c r="Q267" s="42"/>
      <c r="R267" s="42"/>
      <c r="S267" s="34" t="str">
        <f t="shared" si="24"/>
        <v/>
      </c>
    </row>
    <row r="268" spans="1:19" x14ac:dyDescent="0.25">
      <c r="A268" s="42"/>
      <c r="B268" s="42"/>
      <c r="C268" s="34" t="str">
        <f t="shared" si="20"/>
        <v/>
      </c>
      <c r="E268" s="42"/>
      <c r="F268" s="42"/>
      <c r="G268" s="34" t="str">
        <f t="shared" si="21"/>
        <v/>
      </c>
      <c r="I268" s="42"/>
      <c r="J268" s="42"/>
      <c r="K268" s="34" t="str">
        <f t="shared" si="22"/>
        <v/>
      </c>
      <c r="M268" s="42"/>
      <c r="N268" s="42"/>
      <c r="O268" s="34" t="str">
        <f t="shared" si="23"/>
        <v/>
      </c>
      <c r="Q268" s="42"/>
      <c r="R268" s="42"/>
      <c r="S268" s="34" t="str">
        <f t="shared" si="24"/>
        <v/>
      </c>
    </row>
    <row r="269" spans="1:19" x14ac:dyDescent="0.25">
      <c r="A269" s="42"/>
      <c r="B269" s="42"/>
      <c r="C269" s="34" t="str">
        <f t="shared" si="20"/>
        <v/>
      </c>
      <c r="E269" s="42"/>
      <c r="F269" s="42"/>
      <c r="G269" s="34" t="str">
        <f t="shared" si="21"/>
        <v/>
      </c>
      <c r="I269" s="42"/>
      <c r="J269" s="42"/>
      <c r="K269" s="34" t="str">
        <f t="shared" si="22"/>
        <v/>
      </c>
      <c r="M269" s="42"/>
      <c r="N269" s="42"/>
      <c r="O269" s="34" t="str">
        <f t="shared" si="23"/>
        <v/>
      </c>
      <c r="Q269" s="42"/>
      <c r="R269" s="42"/>
      <c r="S269" s="34" t="str">
        <f t="shared" si="24"/>
        <v/>
      </c>
    </row>
    <row r="270" spans="1:19" x14ac:dyDescent="0.25">
      <c r="A270" s="42"/>
      <c r="B270" s="42"/>
      <c r="C270" s="34" t="str">
        <f t="shared" si="20"/>
        <v/>
      </c>
      <c r="E270" s="42"/>
      <c r="F270" s="42"/>
      <c r="G270" s="34" t="str">
        <f t="shared" si="21"/>
        <v/>
      </c>
      <c r="I270" s="42"/>
      <c r="J270" s="42"/>
      <c r="K270" s="34" t="str">
        <f t="shared" si="22"/>
        <v/>
      </c>
      <c r="M270" s="42"/>
      <c r="N270" s="42"/>
      <c r="O270" s="34" t="str">
        <f t="shared" si="23"/>
        <v/>
      </c>
      <c r="Q270" s="42"/>
      <c r="R270" s="42"/>
      <c r="S270" s="34" t="str">
        <f t="shared" si="24"/>
        <v/>
      </c>
    </row>
    <row r="271" spans="1:19" x14ac:dyDescent="0.25">
      <c r="A271" s="42"/>
      <c r="B271" s="42"/>
      <c r="C271" s="34" t="str">
        <f t="shared" si="20"/>
        <v/>
      </c>
      <c r="E271" s="42"/>
      <c r="F271" s="42"/>
      <c r="G271" s="34" t="str">
        <f t="shared" si="21"/>
        <v/>
      </c>
      <c r="I271" s="42"/>
      <c r="J271" s="42"/>
      <c r="K271" s="34" t="str">
        <f t="shared" si="22"/>
        <v/>
      </c>
      <c r="M271" s="42"/>
      <c r="N271" s="42"/>
      <c r="O271" s="34" t="str">
        <f t="shared" si="23"/>
        <v/>
      </c>
      <c r="Q271" s="42"/>
      <c r="R271" s="42"/>
      <c r="S271" s="34" t="str">
        <f t="shared" si="24"/>
        <v/>
      </c>
    </row>
    <row r="272" spans="1:19" x14ac:dyDescent="0.25">
      <c r="A272" s="42"/>
      <c r="B272" s="42"/>
      <c r="C272" s="34" t="str">
        <f t="shared" si="20"/>
        <v/>
      </c>
      <c r="E272" s="42"/>
      <c r="F272" s="42"/>
      <c r="G272" s="34" t="str">
        <f t="shared" si="21"/>
        <v/>
      </c>
      <c r="I272" s="42"/>
      <c r="J272" s="42"/>
      <c r="K272" s="34" t="str">
        <f t="shared" si="22"/>
        <v/>
      </c>
      <c r="M272" s="42"/>
      <c r="N272" s="42"/>
      <c r="O272" s="34" t="str">
        <f t="shared" si="23"/>
        <v/>
      </c>
      <c r="Q272" s="42"/>
      <c r="R272" s="42"/>
      <c r="S272" s="34" t="str">
        <f t="shared" si="24"/>
        <v/>
      </c>
    </row>
    <row r="273" spans="1:19" x14ac:dyDescent="0.25">
      <c r="A273" s="42"/>
      <c r="B273" s="42"/>
      <c r="C273" s="34" t="str">
        <f t="shared" si="20"/>
        <v/>
      </c>
      <c r="E273" s="42"/>
      <c r="F273" s="42"/>
      <c r="G273" s="34" t="str">
        <f t="shared" si="21"/>
        <v/>
      </c>
      <c r="I273" s="42"/>
      <c r="J273" s="42"/>
      <c r="K273" s="34" t="str">
        <f t="shared" si="22"/>
        <v/>
      </c>
      <c r="M273" s="42"/>
      <c r="N273" s="42"/>
      <c r="O273" s="34" t="str">
        <f t="shared" si="23"/>
        <v/>
      </c>
      <c r="Q273" s="42"/>
      <c r="R273" s="42"/>
      <c r="S273" s="34" t="str">
        <f t="shared" si="24"/>
        <v/>
      </c>
    </row>
    <row r="274" spans="1:19" x14ac:dyDescent="0.25">
      <c r="A274" s="42"/>
      <c r="B274" s="42"/>
      <c r="C274" s="34" t="str">
        <f t="shared" si="20"/>
        <v/>
      </c>
      <c r="E274" s="42"/>
      <c r="F274" s="42"/>
      <c r="G274" s="34" t="str">
        <f t="shared" si="21"/>
        <v/>
      </c>
      <c r="I274" s="42"/>
      <c r="J274" s="42"/>
      <c r="K274" s="34" t="str">
        <f t="shared" si="22"/>
        <v/>
      </c>
      <c r="M274" s="42"/>
      <c r="N274" s="42"/>
      <c r="O274" s="34" t="str">
        <f t="shared" si="23"/>
        <v/>
      </c>
      <c r="Q274" s="42"/>
      <c r="R274" s="42"/>
      <c r="S274" s="34" t="str">
        <f t="shared" si="24"/>
        <v/>
      </c>
    </row>
    <row r="275" spans="1:19" x14ac:dyDescent="0.25">
      <c r="A275" s="42"/>
      <c r="B275" s="42"/>
      <c r="C275" s="34" t="str">
        <f t="shared" si="20"/>
        <v/>
      </c>
      <c r="E275" s="42"/>
      <c r="F275" s="42"/>
      <c r="G275" s="34" t="str">
        <f t="shared" si="21"/>
        <v/>
      </c>
      <c r="I275" s="42"/>
      <c r="J275" s="42"/>
      <c r="K275" s="34" t="str">
        <f t="shared" si="22"/>
        <v/>
      </c>
      <c r="M275" s="42"/>
      <c r="N275" s="42"/>
      <c r="O275" s="34" t="str">
        <f t="shared" si="23"/>
        <v/>
      </c>
      <c r="Q275" s="42"/>
      <c r="R275" s="42"/>
      <c r="S275" s="34" t="str">
        <f t="shared" si="24"/>
        <v/>
      </c>
    </row>
    <row r="276" spans="1:19" x14ac:dyDescent="0.25">
      <c r="A276" s="42"/>
      <c r="B276" s="42"/>
      <c r="C276" s="34" t="str">
        <f t="shared" si="20"/>
        <v/>
      </c>
      <c r="E276" s="42"/>
      <c r="F276" s="42"/>
      <c r="G276" s="34" t="str">
        <f t="shared" si="21"/>
        <v/>
      </c>
      <c r="I276" s="42"/>
      <c r="J276" s="42"/>
      <c r="K276" s="34" t="str">
        <f t="shared" si="22"/>
        <v/>
      </c>
      <c r="M276" s="42"/>
      <c r="N276" s="42"/>
      <c r="O276" s="34" t="str">
        <f t="shared" si="23"/>
        <v/>
      </c>
      <c r="Q276" s="42"/>
      <c r="R276" s="42"/>
      <c r="S276" s="34" t="str">
        <f t="shared" si="24"/>
        <v/>
      </c>
    </row>
    <row r="277" spans="1:19" x14ac:dyDescent="0.25">
      <c r="A277" s="42"/>
      <c r="B277" s="42"/>
      <c r="C277" s="34" t="str">
        <f t="shared" si="20"/>
        <v/>
      </c>
      <c r="E277" s="42"/>
      <c r="F277" s="42"/>
      <c r="G277" s="34" t="str">
        <f t="shared" si="21"/>
        <v/>
      </c>
      <c r="I277" s="42"/>
      <c r="J277" s="42"/>
      <c r="K277" s="34" t="str">
        <f t="shared" si="22"/>
        <v/>
      </c>
      <c r="M277" s="42"/>
      <c r="N277" s="42"/>
      <c r="O277" s="34" t="str">
        <f t="shared" si="23"/>
        <v/>
      </c>
      <c r="Q277" s="42"/>
      <c r="R277" s="42"/>
      <c r="S277" s="34" t="str">
        <f t="shared" si="24"/>
        <v/>
      </c>
    </row>
    <row r="278" spans="1:19" x14ac:dyDescent="0.25">
      <c r="A278" s="42"/>
      <c r="B278" s="42"/>
      <c r="C278" s="34" t="str">
        <f t="shared" si="20"/>
        <v/>
      </c>
      <c r="E278" s="42"/>
      <c r="F278" s="42"/>
      <c r="G278" s="34" t="str">
        <f t="shared" si="21"/>
        <v/>
      </c>
      <c r="I278" s="42"/>
      <c r="J278" s="42"/>
      <c r="K278" s="34" t="str">
        <f t="shared" si="22"/>
        <v/>
      </c>
      <c r="M278" s="42"/>
      <c r="N278" s="42"/>
      <c r="O278" s="34" t="str">
        <f t="shared" si="23"/>
        <v/>
      </c>
      <c r="Q278" s="42"/>
      <c r="R278" s="42"/>
      <c r="S278" s="34" t="str">
        <f t="shared" si="24"/>
        <v/>
      </c>
    </row>
    <row r="279" spans="1:19" x14ac:dyDescent="0.25">
      <c r="A279" s="42"/>
      <c r="B279" s="42"/>
      <c r="C279" s="34" t="str">
        <f t="shared" si="20"/>
        <v/>
      </c>
      <c r="E279" s="42"/>
      <c r="F279" s="42"/>
      <c r="G279" s="34" t="str">
        <f t="shared" si="21"/>
        <v/>
      </c>
      <c r="I279" s="42"/>
      <c r="J279" s="42"/>
      <c r="K279" s="34" t="str">
        <f t="shared" si="22"/>
        <v/>
      </c>
      <c r="M279" s="42"/>
      <c r="N279" s="42"/>
      <c r="O279" s="34" t="str">
        <f t="shared" si="23"/>
        <v/>
      </c>
      <c r="Q279" s="42"/>
      <c r="R279" s="42"/>
      <c r="S279" s="34" t="str">
        <f t="shared" si="24"/>
        <v/>
      </c>
    </row>
    <row r="280" spans="1:19" x14ac:dyDescent="0.25">
      <c r="A280" s="42"/>
      <c r="B280" s="42"/>
      <c r="C280" s="34" t="str">
        <f t="shared" si="20"/>
        <v/>
      </c>
      <c r="E280" s="42"/>
      <c r="F280" s="42"/>
      <c r="G280" s="34" t="str">
        <f t="shared" si="21"/>
        <v/>
      </c>
      <c r="I280" s="42"/>
      <c r="J280" s="42"/>
      <c r="K280" s="34" t="str">
        <f t="shared" si="22"/>
        <v/>
      </c>
      <c r="M280" s="42"/>
      <c r="N280" s="42"/>
      <c r="O280" s="34" t="str">
        <f t="shared" si="23"/>
        <v/>
      </c>
      <c r="Q280" s="42"/>
      <c r="R280" s="42"/>
      <c r="S280" s="34" t="str">
        <f t="shared" si="24"/>
        <v/>
      </c>
    </row>
    <row r="281" spans="1:19" x14ac:dyDescent="0.25">
      <c r="A281" s="42"/>
      <c r="B281" s="42"/>
      <c r="C281" s="34" t="str">
        <f t="shared" si="20"/>
        <v/>
      </c>
      <c r="E281" s="42"/>
      <c r="F281" s="42"/>
      <c r="G281" s="34" t="str">
        <f t="shared" si="21"/>
        <v/>
      </c>
      <c r="I281" s="42"/>
      <c r="J281" s="42"/>
      <c r="K281" s="34" t="str">
        <f t="shared" si="22"/>
        <v/>
      </c>
      <c r="M281" s="42"/>
      <c r="N281" s="42"/>
      <c r="O281" s="34" t="str">
        <f t="shared" si="23"/>
        <v/>
      </c>
      <c r="Q281" s="42"/>
      <c r="R281" s="42"/>
      <c r="S281" s="34" t="str">
        <f t="shared" si="24"/>
        <v/>
      </c>
    </row>
    <row r="282" spans="1:19" x14ac:dyDescent="0.25">
      <c r="A282" s="42"/>
      <c r="B282" s="42"/>
      <c r="C282" s="34" t="str">
        <f t="shared" si="20"/>
        <v/>
      </c>
      <c r="E282" s="42"/>
      <c r="F282" s="42"/>
      <c r="G282" s="34" t="str">
        <f t="shared" si="21"/>
        <v/>
      </c>
      <c r="I282" s="42"/>
      <c r="J282" s="42"/>
      <c r="K282" s="34" t="str">
        <f t="shared" si="22"/>
        <v/>
      </c>
      <c r="M282" s="42"/>
      <c r="N282" s="42"/>
      <c r="O282" s="34" t="str">
        <f t="shared" si="23"/>
        <v/>
      </c>
      <c r="Q282" s="42"/>
      <c r="R282" s="42"/>
      <c r="S282" s="34" t="str">
        <f t="shared" si="24"/>
        <v/>
      </c>
    </row>
    <row r="283" spans="1:19" x14ac:dyDescent="0.25">
      <c r="A283" s="42"/>
      <c r="B283" s="42"/>
      <c r="C283" s="34" t="str">
        <f t="shared" si="20"/>
        <v/>
      </c>
      <c r="E283" s="42"/>
      <c r="F283" s="42"/>
      <c r="G283" s="34" t="str">
        <f t="shared" si="21"/>
        <v/>
      </c>
      <c r="I283" s="42"/>
      <c r="J283" s="42"/>
      <c r="K283" s="34" t="str">
        <f t="shared" si="22"/>
        <v/>
      </c>
      <c r="M283" s="42"/>
      <c r="N283" s="42"/>
      <c r="O283" s="34" t="str">
        <f t="shared" si="23"/>
        <v/>
      </c>
      <c r="Q283" s="42"/>
      <c r="R283" s="42"/>
      <c r="S283" s="34" t="str">
        <f t="shared" si="24"/>
        <v/>
      </c>
    </row>
    <row r="284" spans="1:19" x14ac:dyDescent="0.25">
      <c r="A284" s="42"/>
      <c r="B284" s="42"/>
      <c r="C284" s="34" t="str">
        <f t="shared" si="20"/>
        <v/>
      </c>
      <c r="E284" s="42"/>
      <c r="F284" s="42"/>
      <c r="G284" s="34" t="str">
        <f t="shared" si="21"/>
        <v/>
      </c>
      <c r="I284" s="42"/>
      <c r="J284" s="42"/>
      <c r="K284" s="34" t="str">
        <f t="shared" si="22"/>
        <v/>
      </c>
      <c r="M284" s="42"/>
      <c r="N284" s="42"/>
      <c r="O284" s="34" t="str">
        <f t="shared" si="23"/>
        <v/>
      </c>
      <c r="Q284" s="42"/>
      <c r="R284" s="42"/>
      <c r="S284" s="34" t="str">
        <f t="shared" si="24"/>
        <v/>
      </c>
    </row>
    <row r="285" spans="1:19" x14ac:dyDescent="0.25">
      <c r="A285" s="42"/>
      <c r="B285" s="42"/>
      <c r="C285" s="34" t="str">
        <f t="shared" si="20"/>
        <v/>
      </c>
      <c r="E285" s="42"/>
      <c r="F285" s="42"/>
      <c r="G285" s="34" t="str">
        <f t="shared" si="21"/>
        <v/>
      </c>
      <c r="I285" s="42"/>
      <c r="J285" s="42"/>
      <c r="K285" s="34" t="str">
        <f t="shared" si="22"/>
        <v/>
      </c>
      <c r="M285" s="42"/>
      <c r="N285" s="42"/>
      <c r="O285" s="34" t="str">
        <f t="shared" si="23"/>
        <v/>
      </c>
      <c r="Q285" s="42"/>
      <c r="R285" s="42"/>
      <c r="S285" s="34" t="str">
        <f t="shared" si="24"/>
        <v/>
      </c>
    </row>
    <row r="286" spans="1:19" x14ac:dyDescent="0.25">
      <c r="A286" s="42"/>
      <c r="B286" s="42"/>
      <c r="C286" s="34" t="str">
        <f t="shared" si="20"/>
        <v/>
      </c>
      <c r="E286" s="42"/>
      <c r="F286" s="42"/>
      <c r="G286" s="34" t="str">
        <f t="shared" si="21"/>
        <v/>
      </c>
      <c r="I286" s="42"/>
      <c r="J286" s="42"/>
      <c r="K286" s="34" t="str">
        <f t="shared" si="22"/>
        <v/>
      </c>
      <c r="M286" s="42"/>
      <c r="N286" s="42"/>
      <c r="O286" s="34" t="str">
        <f t="shared" si="23"/>
        <v/>
      </c>
      <c r="Q286" s="42"/>
      <c r="R286" s="42"/>
      <c r="S286" s="34" t="str">
        <f t="shared" si="24"/>
        <v/>
      </c>
    </row>
    <row r="287" spans="1:19" x14ac:dyDescent="0.25">
      <c r="A287" s="42"/>
      <c r="B287" s="42"/>
      <c r="C287" s="34" t="str">
        <f t="shared" si="20"/>
        <v/>
      </c>
      <c r="E287" s="42"/>
      <c r="F287" s="42"/>
      <c r="G287" s="34" t="str">
        <f t="shared" si="21"/>
        <v/>
      </c>
      <c r="I287" s="42"/>
      <c r="J287" s="42"/>
      <c r="K287" s="34" t="str">
        <f t="shared" si="22"/>
        <v/>
      </c>
      <c r="M287" s="42"/>
      <c r="N287" s="42"/>
      <c r="O287" s="34" t="str">
        <f t="shared" si="23"/>
        <v/>
      </c>
      <c r="Q287" s="42"/>
      <c r="R287" s="42"/>
      <c r="S287" s="34" t="str">
        <f t="shared" si="24"/>
        <v/>
      </c>
    </row>
    <row r="288" spans="1:19" x14ac:dyDescent="0.25">
      <c r="A288" s="42"/>
      <c r="B288" s="42"/>
      <c r="C288" s="34" t="str">
        <f t="shared" si="20"/>
        <v/>
      </c>
      <c r="E288" s="42"/>
      <c r="F288" s="42"/>
      <c r="G288" s="34" t="str">
        <f t="shared" si="21"/>
        <v/>
      </c>
      <c r="I288" s="42"/>
      <c r="J288" s="42"/>
      <c r="K288" s="34" t="str">
        <f t="shared" si="22"/>
        <v/>
      </c>
      <c r="M288" s="42"/>
      <c r="N288" s="42"/>
      <c r="O288" s="34" t="str">
        <f t="shared" si="23"/>
        <v/>
      </c>
      <c r="Q288" s="42"/>
      <c r="R288" s="42"/>
      <c r="S288" s="34" t="str">
        <f t="shared" si="24"/>
        <v/>
      </c>
    </row>
    <row r="289" spans="1:19" x14ac:dyDescent="0.25">
      <c r="A289" s="42"/>
      <c r="B289" s="42"/>
      <c r="C289" s="34" t="str">
        <f t="shared" si="20"/>
        <v/>
      </c>
      <c r="E289" s="42"/>
      <c r="F289" s="42"/>
      <c r="G289" s="34" t="str">
        <f t="shared" si="21"/>
        <v/>
      </c>
      <c r="I289" s="42"/>
      <c r="J289" s="42"/>
      <c r="K289" s="34" t="str">
        <f t="shared" si="22"/>
        <v/>
      </c>
      <c r="M289" s="42"/>
      <c r="N289" s="42"/>
      <c r="O289" s="34" t="str">
        <f t="shared" si="23"/>
        <v/>
      </c>
      <c r="Q289" s="42"/>
      <c r="R289" s="42"/>
      <c r="S289" s="34" t="str">
        <f t="shared" si="24"/>
        <v/>
      </c>
    </row>
    <row r="290" spans="1:19" x14ac:dyDescent="0.25">
      <c r="A290" s="42"/>
      <c r="B290" s="42"/>
      <c r="C290" s="34" t="str">
        <f t="shared" si="20"/>
        <v/>
      </c>
      <c r="E290" s="42"/>
      <c r="F290" s="42"/>
      <c r="G290" s="34" t="str">
        <f t="shared" si="21"/>
        <v/>
      </c>
      <c r="I290" s="42"/>
      <c r="J290" s="42"/>
      <c r="K290" s="34" t="str">
        <f t="shared" si="22"/>
        <v/>
      </c>
      <c r="M290" s="42"/>
      <c r="N290" s="42"/>
      <c r="O290" s="34" t="str">
        <f t="shared" si="23"/>
        <v/>
      </c>
      <c r="Q290" s="42"/>
      <c r="R290" s="42"/>
      <c r="S290" s="34" t="str">
        <f t="shared" si="24"/>
        <v/>
      </c>
    </row>
    <row r="291" spans="1:19" x14ac:dyDescent="0.25">
      <c r="A291" s="42"/>
      <c r="B291" s="42"/>
      <c r="C291" s="34" t="str">
        <f t="shared" si="20"/>
        <v/>
      </c>
      <c r="E291" s="42"/>
      <c r="F291" s="42"/>
      <c r="G291" s="34" t="str">
        <f t="shared" si="21"/>
        <v/>
      </c>
      <c r="I291" s="42"/>
      <c r="J291" s="42"/>
      <c r="K291" s="34" t="str">
        <f t="shared" si="22"/>
        <v/>
      </c>
      <c r="M291" s="42"/>
      <c r="N291" s="42"/>
      <c r="O291" s="34" t="str">
        <f t="shared" si="23"/>
        <v/>
      </c>
      <c r="Q291" s="42"/>
      <c r="R291" s="42"/>
      <c r="S291" s="34" t="str">
        <f t="shared" si="24"/>
        <v/>
      </c>
    </row>
    <row r="292" spans="1:19" x14ac:dyDescent="0.25">
      <c r="A292" s="42"/>
      <c r="B292" s="42"/>
      <c r="C292" s="34" t="str">
        <f t="shared" si="20"/>
        <v/>
      </c>
      <c r="E292" s="42"/>
      <c r="F292" s="42"/>
      <c r="G292" s="34" t="str">
        <f t="shared" si="21"/>
        <v/>
      </c>
      <c r="I292" s="42"/>
      <c r="J292" s="42"/>
      <c r="K292" s="34" t="str">
        <f t="shared" si="22"/>
        <v/>
      </c>
      <c r="M292" s="42"/>
      <c r="N292" s="42"/>
      <c r="O292" s="34" t="str">
        <f t="shared" si="23"/>
        <v/>
      </c>
      <c r="Q292" s="42"/>
      <c r="R292" s="42"/>
      <c r="S292" s="34" t="str">
        <f t="shared" si="24"/>
        <v/>
      </c>
    </row>
    <row r="293" spans="1:19" x14ac:dyDescent="0.25">
      <c r="A293" s="42"/>
      <c r="B293" s="42"/>
      <c r="C293" s="34" t="str">
        <f t="shared" si="20"/>
        <v/>
      </c>
      <c r="E293" s="42"/>
      <c r="F293" s="42"/>
      <c r="G293" s="34" t="str">
        <f t="shared" si="21"/>
        <v/>
      </c>
      <c r="I293" s="42"/>
      <c r="J293" s="42"/>
      <c r="K293" s="34" t="str">
        <f t="shared" si="22"/>
        <v/>
      </c>
      <c r="M293" s="42"/>
      <c r="N293" s="42"/>
      <c r="O293" s="34" t="str">
        <f t="shared" si="23"/>
        <v/>
      </c>
      <c r="Q293" s="42"/>
      <c r="R293" s="42"/>
      <c r="S293" s="34" t="str">
        <f t="shared" si="24"/>
        <v/>
      </c>
    </row>
    <row r="294" spans="1:19" x14ac:dyDescent="0.25">
      <c r="A294" s="42"/>
      <c r="B294" s="42"/>
      <c r="C294" s="34" t="str">
        <f t="shared" si="20"/>
        <v/>
      </c>
      <c r="E294" s="42"/>
      <c r="F294" s="42"/>
      <c r="G294" s="34" t="str">
        <f t="shared" si="21"/>
        <v/>
      </c>
      <c r="I294" s="42"/>
      <c r="J294" s="42"/>
      <c r="K294" s="34" t="str">
        <f t="shared" si="22"/>
        <v/>
      </c>
      <c r="M294" s="42"/>
      <c r="N294" s="42"/>
      <c r="O294" s="34" t="str">
        <f t="shared" si="23"/>
        <v/>
      </c>
      <c r="Q294" s="42"/>
      <c r="R294" s="42"/>
      <c r="S294" s="34" t="str">
        <f t="shared" si="24"/>
        <v/>
      </c>
    </row>
    <row r="295" spans="1:19" x14ac:dyDescent="0.25">
      <c r="A295" s="42"/>
      <c r="B295" s="42"/>
      <c r="C295" s="34" t="str">
        <f t="shared" si="20"/>
        <v/>
      </c>
      <c r="E295" s="42"/>
      <c r="F295" s="42"/>
      <c r="G295" s="34" t="str">
        <f t="shared" si="21"/>
        <v/>
      </c>
      <c r="I295" s="42"/>
      <c r="J295" s="42"/>
      <c r="K295" s="34" t="str">
        <f t="shared" si="22"/>
        <v/>
      </c>
      <c r="M295" s="42"/>
      <c r="N295" s="42"/>
      <c r="O295" s="34" t="str">
        <f t="shared" si="23"/>
        <v/>
      </c>
      <c r="Q295" s="42"/>
      <c r="R295" s="42"/>
      <c r="S295" s="34" t="str">
        <f t="shared" si="24"/>
        <v/>
      </c>
    </row>
    <row r="296" spans="1:19" x14ac:dyDescent="0.25">
      <c r="A296" s="42"/>
      <c r="B296" s="42"/>
      <c r="C296" s="34" t="str">
        <f t="shared" si="20"/>
        <v/>
      </c>
      <c r="E296" s="42"/>
      <c r="F296" s="42"/>
      <c r="G296" s="34" t="str">
        <f t="shared" si="21"/>
        <v/>
      </c>
      <c r="I296" s="42"/>
      <c r="J296" s="42"/>
      <c r="K296" s="34" t="str">
        <f t="shared" si="22"/>
        <v/>
      </c>
      <c r="M296" s="42"/>
      <c r="N296" s="42"/>
      <c r="O296" s="34" t="str">
        <f t="shared" si="23"/>
        <v/>
      </c>
      <c r="Q296" s="42"/>
      <c r="R296" s="42"/>
      <c r="S296" s="34" t="str">
        <f t="shared" si="24"/>
        <v/>
      </c>
    </row>
    <row r="297" spans="1:19" x14ac:dyDescent="0.25">
      <c r="A297" s="42"/>
      <c r="B297" s="42"/>
      <c r="C297" s="34" t="str">
        <f t="shared" si="20"/>
        <v/>
      </c>
      <c r="E297" s="42"/>
      <c r="F297" s="42"/>
      <c r="G297" s="34" t="str">
        <f t="shared" si="21"/>
        <v/>
      </c>
      <c r="I297" s="42"/>
      <c r="J297" s="42"/>
      <c r="K297" s="34" t="str">
        <f t="shared" si="22"/>
        <v/>
      </c>
      <c r="M297" s="42"/>
      <c r="N297" s="42"/>
      <c r="O297" s="34" t="str">
        <f t="shared" si="23"/>
        <v/>
      </c>
      <c r="Q297" s="42"/>
      <c r="R297" s="42"/>
      <c r="S297" s="34" t="str">
        <f t="shared" si="24"/>
        <v/>
      </c>
    </row>
    <row r="298" spans="1:19" x14ac:dyDescent="0.25">
      <c r="A298" s="42"/>
      <c r="B298" s="42"/>
      <c r="C298" s="34" t="str">
        <f t="shared" si="20"/>
        <v/>
      </c>
      <c r="E298" s="42"/>
      <c r="F298" s="42"/>
      <c r="G298" s="34" t="str">
        <f t="shared" si="21"/>
        <v/>
      </c>
      <c r="I298" s="42"/>
      <c r="J298" s="42"/>
      <c r="K298" s="34" t="str">
        <f t="shared" si="22"/>
        <v/>
      </c>
      <c r="M298" s="42"/>
      <c r="N298" s="42"/>
      <c r="O298" s="34" t="str">
        <f t="shared" si="23"/>
        <v/>
      </c>
      <c r="Q298" s="42"/>
      <c r="R298" s="42"/>
      <c r="S298" s="34" t="str">
        <f t="shared" si="24"/>
        <v/>
      </c>
    </row>
    <row r="299" spans="1:19" x14ac:dyDescent="0.25">
      <c r="A299" s="42"/>
      <c r="B299" s="42"/>
      <c r="C299" s="34" t="str">
        <f t="shared" si="20"/>
        <v/>
      </c>
      <c r="E299" s="42"/>
      <c r="F299" s="42"/>
      <c r="G299" s="34" t="str">
        <f t="shared" si="21"/>
        <v/>
      </c>
      <c r="I299" s="42"/>
      <c r="J299" s="42"/>
      <c r="K299" s="34" t="str">
        <f t="shared" si="22"/>
        <v/>
      </c>
      <c r="M299" s="42"/>
      <c r="N299" s="42"/>
      <c r="O299" s="34" t="str">
        <f t="shared" si="23"/>
        <v/>
      </c>
      <c r="Q299" s="42"/>
      <c r="R299" s="42"/>
      <c r="S299" s="34" t="str">
        <f t="shared" si="24"/>
        <v/>
      </c>
    </row>
    <row r="300" spans="1:19" x14ac:dyDescent="0.25">
      <c r="A300" s="42"/>
      <c r="B300" s="42"/>
      <c r="C300" s="34" t="str">
        <f t="shared" si="20"/>
        <v/>
      </c>
      <c r="E300" s="42"/>
      <c r="F300" s="42"/>
      <c r="G300" s="34" t="str">
        <f t="shared" si="21"/>
        <v/>
      </c>
      <c r="I300" s="42"/>
      <c r="J300" s="42"/>
      <c r="K300" s="34" t="str">
        <f t="shared" si="22"/>
        <v/>
      </c>
      <c r="M300" s="42"/>
      <c r="N300" s="42"/>
      <c r="O300" s="34" t="str">
        <f t="shared" si="23"/>
        <v/>
      </c>
      <c r="Q300" s="42"/>
      <c r="R300" s="42"/>
      <c r="S300" s="34" t="str">
        <f t="shared" si="24"/>
        <v/>
      </c>
    </row>
    <row r="301" spans="1:19" x14ac:dyDescent="0.25">
      <c r="A301" s="42"/>
      <c r="B301" s="42"/>
      <c r="C301" s="34" t="str">
        <f t="shared" si="20"/>
        <v/>
      </c>
      <c r="E301" s="42"/>
      <c r="F301" s="42"/>
      <c r="G301" s="34" t="str">
        <f t="shared" si="21"/>
        <v/>
      </c>
      <c r="I301" s="42"/>
      <c r="J301" s="42"/>
      <c r="K301" s="34" t="str">
        <f t="shared" si="22"/>
        <v/>
      </c>
      <c r="M301" s="42"/>
      <c r="N301" s="42"/>
      <c r="O301" s="34" t="str">
        <f t="shared" si="23"/>
        <v/>
      </c>
      <c r="Q301" s="42"/>
      <c r="R301" s="42"/>
      <c r="S301" s="34" t="str">
        <f t="shared" si="24"/>
        <v/>
      </c>
    </row>
    <row r="302" spans="1:19" x14ac:dyDescent="0.25">
      <c r="A302" s="42"/>
      <c r="B302" s="42"/>
      <c r="C302" s="34" t="str">
        <f t="shared" si="20"/>
        <v/>
      </c>
      <c r="E302" s="42"/>
      <c r="F302" s="42"/>
      <c r="G302" s="34" t="str">
        <f t="shared" si="21"/>
        <v/>
      </c>
      <c r="I302" s="42"/>
      <c r="J302" s="42"/>
      <c r="K302" s="34" t="str">
        <f t="shared" si="22"/>
        <v/>
      </c>
      <c r="M302" s="42"/>
      <c r="N302" s="42"/>
      <c r="O302" s="34" t="str">
        <f t="shared" si="23"/>
        <v/>
      </c>
      <c r="Q302" s="42"/>
      <c r="R302" s="42"/>
      <c r="S302" s="34" t="str">
        <f t="shared" si="24"/>
        <v/>
      </c>
    </row>
    <row r="303" spans="1:19" x14ac:dyDescent="0.25">
      <c r="A303" s="42"/>
      <c r="B303" s="42"/>
      <c r="C303" s="34" t="str">
        <f t="shared" si="20"/>
        <v/>
      </c>
      <c r="E303" s="42"/>
      <c r="F303" s="42"/>
      <c r="G303" s="34" t="str">
        <f t="shared" si="21"/>
        <v/>
      </c>
      <c r="I303" s="42"/>
      <c r="J303" s="42"/>
      <c r="K303" s="34" t="str">
        <f t="shared" si="22"/>
        <v/>
      </c>
      <c r="M303" s="42"/>
      <c r="N303" s="42"/>
      <c r="O303" s="34" t="str">
        <f t="shared" si="23"/>
        <v/>
      </c>
      <c r="Q303" s="42"/>
      <c r="R303" s="42"/>
      <c r="S303" s="34" t="str">
        <f t="shared" si="24"/>
        <v/>
      </c>
    </row>
    <row r="304" spans="1:19" x14ac:dyDescent="0.25">
      <c r="A304" s="42"/>
      <c r="B304" s="42"/>
      <c r="C304" s="34" t="str">
        <f t="shared" si="20"/>
        <v/>
      </c>
      <c r="E304" s="42"/>
      <c r="F304" s="42"/>
      <c r="G304" s="34" t="str">
        <f t="shared" si="21"/>
        <v/>
      </c>
      <c r="I304" s="42"/>
      <c r="J304" s="42"/>
      <c r="K304" s="34" t="str">
        <f t="shared" si="22"/>
        <v/>
      </c>
      <c r="M304" s="42"/>
      <c r="N304" s="42"/>
      <c r="O304" s="34" t="str">
        <f t="shared" si="23"/>
        <v/>
      </c>
      <c r="Q304" s="42"/>
      <c r="R304" s="42"/>
      <c r="S304" s="34" t="str">
        <f t="shared" si="24"/>
        <v/>
      </c>
    </row>
    <row r="305" spans="1:19" x14ac:dyDescent="0.25">
      <c r="A305" s="42"/>
      <c r="B305" s="42"/>
      <c r="C305" s="34" t="str">
        <f t="shared" si="20"/>
        <v/>
      </c>
      <c r="E305" s="42"/>
      <c r="F305" s="42"/>
      <c r="G305" s="34" t="str">
        <f t="shared" si="21"/>
        <v/>
      </c>
      <c r="I305" s="42"/>
      <c r="J305" s="42"/>
      <c r="K305" s="34" t="str">
        <f t="shared" si="22"/>
        <v/>
      </c>
      <c r="M305" s="42"/>
      <c r="N305" s="42"/>
      <c r="O305" s="34" t="str">
        <f t="shared" si="23"/>
        <v/>
      </c>
      <c r="Q305" s="42"/>
      <c r="R305" s="42"/>
      <c r="S305" s="34" t="str">
        <f t="shared" si="24"/>
        <v/>
      </c>
    </row>
    <row r="306" spans="1:19" x14ac:dyDescent="0.25">
      <c r="A306" s="42"/>
      <c r="B306" s="42"/>
      <c r="C306" s="34" t="str">
        <f t="shared" si="20"/>
        <v/>
      </c>
      <c r="E306" s="42"/>
      <c r="F306" s="42"/>
      <c r="G306" s="34" t="str">
        <f t="shared" si="21"/>
        <v/>
      </c>
      <c r="I306" s="42"/>
      <c r="J306" s="42"/>
      <c r="K306" s="34" t="str">
        <f t="shared" si="22"/>
        <v/>
      </c>
      <c r="M306" s="42"/>
      <c r="N306" s="42"/>
      <c r="O306" s="34" t="str">
        <f t="shared" si="23"/>
        <v/>
      </c>
      <c r="Q306" s="42"/>
      <c r="R306" s="42"/>
      <c r="S306" s="34" t="str">
        <f t="shared" si="24"/>
        <v/>
      </c>
    </row>
    <row r="307" spans="1:19" x14ac:dyDescent="0.25">
      <c r="A307" s="42"/>
      <c r="B307" s="42"/>
      <c r="C307" s="34" t="str">
        <f t="shared" si="20"/>
        <v/>
      </c>
      <c r="E307" s="42"/>
      <c r="F307" s="42"/>
      <c r="G307" s="34" t="str">
        <f t="shared" si="21"/>
        <v/>
      </c>
      <c r="I307" s="42"/>
      <c r="J307" s="42"/>
      <c r="K307" s="34" t="str">
        <f t="shared" si="22"/>
        <v/>
      </c>
      <c r="M307" s="42"/>
      <c r="N307" s="42"/>
      <c r="O307" s="34" t="str">
        <f t="shared" si="23"/>
        <v/>
      </c>
      <c r="Q307" s="42"/>
      <c r="R307" s="42"/>
      <c r="S307" s="34" t="str">
        <f t="shared" si="24"/>
        <v/>
      </c>
    </row>
    <row r="308" spans="1:19" x14ac:dyDescent="0.25">
      <c r="A308" s="42"/>
      <c r="B308" s="42"/>
      <c r="C308" s="34" t="str">
        <f t="shared" si="20"/>
        <v/>
      </c>
      <c r="E308" s="42"/>
      <c r="F308" s="42"/>
      <c r="G308" s="34" t="str">
        <f t="shared" si="21"/>
        <v/>
      </c>
      <c r="I308" s="42"/>
      <c r="J308" s="42"/>
      <c r="K308" s="34" t="str">
        <f t="shared" si="22"/>
        <v/>
      </c>
      <c r="M308" s="42"/>
      <c r="N308" s="42"/>
      <c r="O308" s="34" t="str">
        <f t="shared" si="23"/>
        <v/>
      </c>
      <c r="Q308" s="42"/>
      <c r="R308" s="42"/>
      <c r="S308" s="34" t="str">
        <f t="shared" si="24"/>
        <v/>
      </c>
    </row>
    <row r="309" spans="1:19" x14ac:dyDescent="0.25">
      <c r="A309" s="42"/>
      <c r="B309" s="42"/>
      <c r="C309" s="34" t="str">
        <f t="shared" si="20"/>
        <v/>
      </c>
      <c r="E309" s="42"/>
      <c r="F309" s="42"/>
      <c r="G309" s="34" t="str">
        <f t="shared" si="21"/>
        <v/>
      </c>
      <c r="I309" s="42"/>
      <c r="J309" s="42"/>
      <c r="K309" s="34" t="str">
        <f t="shared" si="22"/>
        <v/>
      </c>
      <c r="M309" s="42"/>
      <c r="N309" s="42"/>
      <c r="O309" s="34" t="str">
        <f t="shared" si="23"/>
        <v/>
      </c>
      <c r="Q309" s="42"/>
      <c r="R309" s="42"/>
      <c r="S309" s="34" t="str">
        <f t="shared" si="24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1000-000002000000}">
            <xm:f>AND(ISNUMBER(A10),A10&gt;H_Parametri!$B$7)</xm:f>
            <x14:dxf>
              <fill>
                <patternFill>
                  <bgColor rgb="FFFCE4D6"/>
                </patternFill>
              </fill>
            </x14:dxf>
          </x14:cfRule>
          <xm:sqref>A10:S309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65911"/>
  </sheetPr>
  <dimension ref="A1:M52"/>
  <sheetViews>
    <sheetView topLeftCell="A21" zoomScaleNormal="100" workbookViewId="0">
      <selection activeCell="H56" sqref="H56"/>
    </sheetView>
  </sheetViews>
  <sheetFormatPr defaultColWidth="8.7109375" defaultRowHeight="15" x14ac:dyDescent="0.25"/>
  <cols>
    <col min="1" max="1" width="18" customWidth="1"/>
    <col min="2" max="13" width="15" customWidth="1"/>
  </cols>
  <sheetData>
    <row r="1" spans="1:13" ht="18" x14ac:dyDescent="0.25">
      <c r="A1" s="2" t="s">
        <v>224</v>
      </c>
    </row>
    <row r="2" spans="1:13" x14ac:dyDescent="0.25">
      <c r="A2" s="3" t="s">
        <v>225</v>
      </c>
    </row>
    <row r="4" spans="1:13" x14ac:dyDescent="0.25">
      <c r="A4" s="22" t="s">
        <v>175</v>
      </c>
    </row>
    <row r="5" spans="1:13" x14ac:dyDescent="0.25">
      <c r="A5" s="16" t="s">
        <v>226</v>
      </c>
      <c r="B5" s="44">
        <f>IF(AND(N(H_CFD_L500!B7)=1,ISNUMBER(H_CFD_L500!B4),ISNUMBER(H_CFD_L500!B5)),H_CFD_L500!B4,0)</f>
        <v>75</v>
      </c>
      <c r="C5" s="44">
        <f>IF(AND(N(H_CFD_L500!F7)=1,ISNUMBER(H_CFD_L500!F4),ISNUMBER(H_CFD_L500!F5)),H_CFD_L500!F4,0)</f>
        <v>125</v>
      </c>
      <c r="D5" s="44">
        <f>IF(AND(N(H_CFD_L500!J7)=1,ISNUMBER(H_CFD_L500!J4),ISNUMBER(H_CFD_L500!J5)),H_CFD_L500!J4,0)</f>
        <v>175</v>
      </c>
      <c r="E5" s="44">
        <f>IF(AND(N(H_CFD_L500!N7)=1,ISNUMBER(H_CFD_L500!N4),ISNUMBER(H_CFD_L500!N5)),H_CFD_L500!N4,0)</f>
        <v>210</v>
      </c>
      <c r="F5" s="44">
        <f>IF(AND(N(H_CFD_L500!R7)=1,ISNUMBER(H_CFD_L500!R4),ISNUMBER(H_CFD_L500!R5)),H_CFD_L500!R4,0)</f>
        <v>0</v>
      </c>
    </row>
    <row r="6" spans="1:13" x14ac:dyDescent="0.25">
      <c r="A6" s="16" t="s">
        <v>227</v>
      </c>
      <c r="B6" s="34">
        <f>IF(B5&gt;0,H_CFD_L500!B5/H_CFD_L500!B4,"")</f>
        <v>3.7096332106666664E-2</v>
      </c>
      <c r="C6" s="34">
        <f>IF(C5&gt;0,H_CFD_L500!F5/H_CFD_L500!F4,"")</f>
        <v>3.8107245335387605E-2</v>
      </c>
      <c r="D6" s="34">
        <f>IF(D5&gt;0,H_CFD_L500!J5/H_CFD_L500!J4,"")</f>
        <v>3.8449856601821826E-2</v>
      </c>
      <c r="E6" s="34">
        <f>IF(E5&gt;0,H_CFD_L500!N5/H_CFD_L500!N4,"")</f>
        <v>3.8777614581029476E-2</v>
      </c>
      <c r="F6" s="34" t="str">
        <f>IF(F5&gt;0,H_CFD_L500!R5/H_CFD_L500!R4,"")</f>
        <v/>
      </c>
    </row>
    <row r="7" spans="1:13" x14ac:dyDescent="0.25">
      <c r="A7" s="4" t="s">
        <v>176</v>
      </c>
      <c r="B7" s="4" t="str">
        <f>IF(B5&gt;0,"v/Q (Q="&amp;B5&amp;")","(non usato)")</f>
        <v>v/Q (Q=75)</v>
      </c>
      <c r="C7" s="4" t="str">
        <f>IF(C5&gt;0,"v/Q (Q="&amp;C5&amp;")","(non usato)")</f>
        <v>v/Q (Q=125)</v>
      </c>
      <c r="D7" s="4" t="str">
        <f>IF(D5&gt;0,"v/Q (Q="&amp;D5&amp;")","(non usato)")</f>
        <v>v/Q (Q=175)</v>
      </c>
      <c r="E7" s="4" t="str">
        <f>IF(E5&gt;0,"v/Q (Q="&amp;E5&amp;")","(non usato)")</f>
        <v>v/Q (Q=210)</v>
      </c>
      <c r="F7" s="4" t="str">
        <f>IF(F5&gt;0,"v/Q (Q="&amp;F5&amp;")","(non usato)")</f>
        <v>(non usato)</v>
      </c>
      <c r="G7" s="4" t="s">
        <v>228</v>
      </c>
      <c r="H7" s="4" t="s">
        <v>229</v>
      </c>
      <c r="I7" s="4" t="s">
        <v>179</v>
      </c>
      <c r="J7" s="4" t="s">
        <v>180</v>
      </c>
      <c r="K7" s="4" t="s">
        <v>181</v>
      </c>
      <c r="L7" s="4" t="s">
        <v>182</v>
      </c>
      <c r="M7" s="4" t="s">
        <v>183</v>
      </c>
    </row>
    <row r="8" spans="1:13" x14ac:dyDescent="0.25">
      <c r="A8" s="9">
        <v>0.5</v>
      </c>
      <c r="B8" s="34">
        <f>IF(I8="","",IFERROR(EXP(LN(INDEX(H_CFD_L500!$C$10:$C$309,I8))+(LN($A8)-LN(INDEX(H_CFD_L500!$A$10:$A$309,I8)))*(LN(INDEX(H_CFD_L500!$C$10:$C$309,I8+1))-LN(INDEX(H_CFD_L500!$C$10:$C$309,I8)))/(LN(INDEX(H_CFD_L500!$A$10:$A$309,I8+1))-LN(INDEX(H_CFD_L500!$A$10:$A$309,I8)))),""))</f>
        <v>6.9072340159409109E-3</v>
      </c>
      <c r="C8" s="34">
        <f>IF(J8="","",IFERROR(EXP(LN(INDEX(H_CFD_L500!$G$10:$G$309,J8))+(LN($A8)-LN(INDEX(H_CFD_L500!$E$10:$E$309,J8)))*(LN(INDEX(H_CFD_L500!$G$10:$G$309,J8+1))-LN(INDEX(H_CFD_L500!$G$10:$G$309,J8)))/(LN(INDEX(H_CFD_L500!$E$10:$E$309,J8+1))-LN(INDEX(H_CFD_L500!$E$10:$E$309,J8)))),""))</f>
        <v>7.6380183054022771E-3</v>
      </c>
      <c r="D8" s="34">
        <f>IF(K8="","",IFERROR(EXP(LN(INDEX(H_CFD_L500!$K$10:$K$309,K8))+(LN($A8)-LN(INDEX(H_CFD_L500!$I$10:$I$309,K8)))*(LN(INDEX(H_CFD_L500!$K$10:$K$309,K8+1))-LN(INDEX(H_CFD_L500!$K$10:$K$309,K8)))/(LN(INDEX(H_CFD_L500!$I$10:$I$309,K8+1))-LN(INDEX(H_CFD_L500!$I$10:$I$309,K8)))),""))</f>
        <v>7.5954709000668431E-3</v>
      </c>
      <c r="E8" s="34">
        <f>IF(L8="","",IFERROR(EXP(LN(INDEX(H_CFD_L500!$O$10:$O$309,L8))+(LN($A8)-LN(INDEX(H_CFD_L500!$M$10:$M$309,L8)))*(LN(INDEX(H_CFD_L500!$O$10:$O$309,L8+1))-LN(INDEX(H_CFD_L500!$O$10:$O$309,L8)))/(LN(INDEX(H_CFD_L500!$M$10:$M$309,L8+1))-LN(INDEX(H_CFD_L500!$M$10:$M$309,L8)))),""))</f>
        <v>7.8787883838018907E-3</v>
      </c>
      <c r="F8" s="34" t="str">
        <f>IF(M8="","",IFERROR(EXP(LN(INDEX(H_CFD_L500!$S$10:$S$309,M8))+(LN($A8)-LN(INDEX(H_CFD_L500!$Q$10:$Q$309,M8)))*(LN(INDEX(H_CFD_L500!$S$10:$S$309,M8+1))-LN(INDEX(H_CFD_L500!$S$10:$S$309,M8)))/(LN(INDEX(H_CFD_L500!$Q$10:$Q$309,M8+1))-LN(INDEX(H_CFD_L500!$Q$10:$Q$309,M8)))),""))</f>
        <v/>
      </c>
      <c r="G8" s="34">
        <f t="shared" ref="G8:G18" si="0">IFERROR(AVERAGE(B8:F8),"")</f>
        <v>7.5048779013029802E-3</v>
      </c>
      <c r="H8" s="45">
        <f t="shared" ref="H8:H18" si="1">IFERROR((MAX(B8:F8)-MIN(B8:F8))/G8,"")</f>
        <v>0.12945638565183062</v>
      </c>
      <c r="I8" s="18">
        <f>IF(OR(B$5&lt;=0,$A8&gt;=MAX(H_CFD_L500!$A$10:$A$309)),"",IFERROR(MATCH($A8,INDEX(H_CFD_L500!$A$10:$A$309,1):INDEX(H_CFD_L500!$A$10:$A$309,COUNT(H_CFD_L500!$A$10:$A$309)),1),""))</f>
        <v>39</v>
      </c>
      <c r="J8" s="18">
        <f>IF(OR(C$5&lt;=0,$A8&gt;=MAX(H_CFD_L500!$E$10:$E$309)),"",IFERROR(MATCH($A8,INDEX(H_CFD_L500!$E$10:$E$309,1):INDEX(H_CFD_L500!$E$10:$E$309,COUNT(H_CFD_L500!$E$10:$E$309)),1),""))</f>
        <v>36</v>
      </c>
      <c r="K8" s="18">
        <f>IF(OR(D$5&lt;=0,$A8&gt;=MAX(H_CFD_L500!$I$10:$I$309)),"",IFERROR(MATCH($A8,INDEX(H_CFD_L500!$I$10:$I$309,1):INDEX(H_CFD_L500!$I$10:$I$309,COUNT(H_CFD_L500!$I$10:$I$309)),1),""))</f>
        <v>38</v>
      </c>
      <c r="L8" s="18">
        <f>IF(OR(E$5&lt;=0,$A8&gt;=MAX(H_CFD_L500!$M$10:$M$309)),"",IFERROR(MATCH($A8,INDEX(H_CFD_L500!$M$10:$M$309,1):INDEX(H_CFD_L500!$M$10:$M$309,COUNT(H_CFD_L500!$M$10:$M$309)),1),""))</f>
        <v>40</v>
      </c>
      <c r="M8" s="18" t="str">
        <f>IF(OR(F$5&lt;=0,$A8&gt;=MAX(H_CFD_L500!$Q$10:$Q$309)),"",IFERROR(MATCH($A8,INDEX(H_CFD_L500!$Q$10:$Q$309,1):INDEX(H_CFD_L500!$Q$10:$Q$309,COUNT(H_CFD_L500!$Q$10:$Q$309)),1),""))</f>
        <v/>
      </c>
    </row>
    <row r="9" spans="1:13" x14ac:dyDescent="0.25">
      <c r="A9" s="9">
        <v>1</v>
      </c>
      <c r="B9" s="34">
        <f>IF(I9="","",IFERROR(EXP(LN(INDEX(H_CFD_L500!$C$10:$C$309,I9))+(LN($A9)-LN(INDEX(H_CFD_L500!$A$10:$A$309,I9)))*(LN(INDEX(H_CFD_L500!$C$10:$C$309,I9+1))-LN(INDEX(H_CFD_L500!$C$10:$C$309,I9)))/(LN(INDEX(H_CFD_L500!$A$10:$A$309,I9+1))-LN(INDEX(H_CFD_L500!$A$10:$A$309,I9)))),""))</f>
        <v>6.4869475606882171E-3</v>
      </c>
      <c r="C9" s="34">
        <f>IF(J9="","",IFERROR(EXP(LN(INDEX(H_CFD_L500!$G$10:$G$309,J9))+(LN($A9)-LN(INDEX(H_CFD_L500!$E$10:$E$309,J9)))*(LN(INDEX(H_CFD_L500!$G$10:$G$309,J9+1))-LN(INDEX(H_CFD_L500!$G$10:$G$309,J9)))/(LN(INDEX(H_CFD_L500!$E$10:$E$309,J9+1))-LN(INDEX(H_CFD_L500!$E$10:$E$309,J9)))),""))</f>
        <v>6.5886335754573545E-3</v>
      </c>
      <c r="D9" s="34">
        <f>IF(K9="","",IFERROR(EXP(LN(INDEX(H_CFD_L500!$K$10:$K$309,K9))+(LN($A9)-LN(INDEX(H_CFD_L500!$I$10:$I$309,K9)))*(LN(INDEX(H_CFD_L500!$K$10:$K$309,K9+1))-LN(INDEX(H_CFD_L500!$K$10:$K$309,K9)))/(LN(INDEX(H_CFD_L500!$I$10:$I$309,K9+1))-LN(INDEX(H_CFD_L500!$I$10:$I$309,K9)))),""))</f>
        <v>6.7010993830561227E-3</v>
      </c>
      <c r="E9" s="34">
        <f>IF(L9="","",IFERROR(EXP(LN(INDEX(H_CFD_L500!$O$10:$O$309,L9))+(LN($A9)-LN(INDEX(H_CFD_L500!$M$10:$M$309,L9)))*(LN(INDEX(H_CFD_L500!$O$10:$O$309,L9+1))-LN(INDEX(H_CFD_L500!$O$10:$O$309,L9)))/(LN(INDEX(H_CFD_L500!$M$10:$M$309,L9+1))-LN(INDEX(H_CFD_L500!$M$10:$M$309,L9)))),""))</f>
        <v>6.8158069216945521E-3</v>
      </c>
      <c r="F9" s="34" t="str">
        <f>IF(M9="","",IFERROR(EXP(LN(INDEX(H_CFD_L500!$S$10:$S$309,M9))+(LN($A9)-LN(INDEX(H_CFD_L500!$Q$10:$Q$309,M9)))*(LN(INDEX(H_CFD_L500!$S$10:$S$309,M9+1))-LN(INDEX(H_CFD_L500!$S$10:$S$309,M9)))/(LN(INDEX(H_CFD_L500!$Q$10:$Q$309,M9+1))-LN(INDEX(H_CFD_L500!$Q$10:$Q$309,M9)))),""))</f>
        <v/>
      </c>
      <c r="G9" s="34">
        <f t="shared" si="0"/>
        <v>6.6481218602240611E-3</v>
      </c>
      <c r="H9" s="45">
        <f t="shared" si="1"/>
        <v>4.9466506168292693E-2</v>
      </c>
      <c r="I9" s="18">
        <f>IF(OR(B$5&lt;=0,$A9&gt;=MAX(H_CFD_L500!$A$10:$A$309)),"",IFERROR(MATCH($A9,INDEX(H_CFD_L500!$A$10:$A$309,1):INDEX(H_CFD_L500!$A$10:$A$309,COUNT(H_CFD_L500!$A$10:$A$309)),1),""))</f>
        <v>42</v>
      </c>
      <c r="J9" s="18">
        <f>IF(OR(C$5&lt;=0,$A9&gt;=MAX(H_CFD_L500!$E$10:$E$309)),"",IFERROR(MATCH($A9,INDEX(H_CFD_L500!$E$10:$E$309,1):INDEX(H_CFD_L500!$E$10:$E$309,COUNT(H_CFD_L500!$E$10:$E$309)),1),""))</f>
        <v>39</v>
      </c>
      <c r="K9" s="18">
        <f>IF(OR(D$5&lt;=0,$A9&gt;=MAX(H_CFD_L500!$I$10:$I$309)),"",IFERROR(MATCH($A9,INDEX(H_CFD_L500!$I$10:$I$309,1):INDEX(H_CFD_L500!$I$10:$I$309,COUNT(H_CFD_L500!$I$10:$I$309)),1),""))</f>
        <v>40</v>
      </c>
      <c r="L9" s="18">
        <f>IF(OR(E$5&lt;=0,$A9&gt;=MAX(H_CFD_L500!$M$10:$M$309)),"",IFERROR(MATCH($A9,INDEX(H_CFD_L500!$M$10:$M$309,1):INDEX(H_CFD_L500!$M$10:$M$309,COUNT(H_CFD_L500!$M$10:$M$309)),1),""))</f>
        <v>41</v>
      </c>
      <c r="M9" s="18" t="str">
        <f>IF(OR(F$5&lt;=0,$A9&gt;=MAX(H_CFD_L500!$Q$10:$Q$309)),"",IFERROR(MATCH($A9,INDEX(H_CFD_L500!$Q$10:$Q$309,1):INDEX(H_CFD_L500!$Q$10:$Q$309,COUNT(H_CFD_L500!$Q$10:$Q$309)),1),""))</f>
        <v/>
      </c>
    </row>
    <row r="10" spans="1:13" x14ac:dyDescent="0.25">
      <c r="A10" s="9">
        <v>1.5</v>
      </c>
      <c r="B10" s="34">
        <f>IF(I10="","",IFERROR(EXP(LN(INDEX(H_CFD_L500!$C$10:$C$309,I10))+(LN($A10)-LN(INDEX(H_CFD_L500!$A$10:$A$309,I10)))*(LN(INDEX(H_CFD_L500!$C$10:$C$309,I10+1))-LN(INDEX(H_CFD_L500!$C$10:$C$309,I10)))/(LN(INDEX(H_CFD_L500!$A$10:$A$309,I10+1))-LN(INDEX(H_CFD_L500!$A$10:$A$309,I10)))),""))</f>
        <v>5.776701913067425E-3</v>
      </c>
      <c r="C10" s="34">
        <f>IF(J10="","",IFERROR(EXP(LN(INDEX(H_CFD_L500!$G$10:$G$309,J10))+(LN($A10)-LN(INDEX(H_CFD_L500!$E$10:$E$309,J10)))*(LN(INDEX(H_CFD_L500!$G$10:$G$309,J10+1))-LN(INDEX(H_CFD_L500!$G$10:$G$309,J10)))/(LN(INDEX(H_CFD_L500!$E$10:$E$309,J10+1))-LN(INDEX(H_CFD_L500!$E$10:$E$309,J10)))),""))</f>
        <v>5.8223024269321386E-3</v>
      </c>
      <c r="D10" s="34">
        <f>IF(K10="","",IFERROR(EXP(LN(INDEX(H_CFD_L500!$K$10:$K$309,K10))+(LN($A10)-LN(INDEX(H_CFD_L500!$I$10:$I$309,K10)))*(LN(INDEX(H_CFD_L500!$K$10:$K$309,K10+1))-LN(INDEX(H_CFD_L500!$K$10:$K$309,K10)))/(LN(INDEX(H_CFD_L500!$I$10:$I$309,K10+1))-LN(INDEX(H_CFD_L500!$I$10:$I$309,K10)))),""))</f>
        <v>5.9771034242852095E-3</v>
      </c>
      <c r="E10" s="34">
        <f>IF(L10="","",IFERROR(EXP(LN(INDEX(H_CFD_L500!$O$10:$O$309,L10))+(LN($A10)-LN(INDEX(H_CFD_L500!$M$10:$M$309,L10)))*(LN(INDEX(H_CFD_L500!$O$10:$O$309,L10+1))-LN(INDEX(H_CFD_L500!$O$10:$O$309,L10)))/(LN(INDEX(H_CFD_L500!$M$10:$M$309,L10+1))-LN(INDEX(H_CFD_L500!$M$10:$M$309,L10)))),""))</f>
        <v>6.0430197478299127E-3</v>
      </c>
      <c r="F10" s="34" t="str">
        <f>IF(M10="","",IFERROR(EXP(LN(INDEX(H_CFD_L500!$S$10:$S$309,M10))+(LN($A10)-LN(INDEX(H_CFD_L500!$Q$10:$Q$309,M10)))*(LN(INDEX(H_CFD_L500!$S$10:$S$309,M10+1))-LN(INDEX(H_CFD_L500!$S$10:$S$309,M10)))/(LN(INDEX(H_CFD_L500!$Q$10:$Q$309,M10+1))-LN(INDEX(H_CFD_L500!$Q$10:$Q$309,M10)))),""))</f>
        <v/>
      </c>
      <c r="G10" s="34">
        <f t="shared" si="0"/>
        <v>5.904781878028671E-3</v>
      </c>
      <c r="H10" s="45">
        <f t="shared" si="1"/>
        <v>4.5102061390860169E-2</v>
      </c>
      <c r="I10" s="18">
        <f>IF(OR(B$5&lt;=0,$A10&gt;=MAX(H_CFD_L500!$A$10:$A$309)),"",IFERROR(MATCH($A10,INDEX(H_CFD_L500!$A$10:$A$309,1):INDEX(H_CFD_L500!$A$10:$A$309,COUNT(H_CFD_L500!$A$10:$A$309)),1),""))</f>
        <v>42</v>
      </c>
      <c r="J10" s="18">
        <f>IF(OR(C$5&lt;=0,$A10&gt;=MAX(H_CFD_L500!$E$10:$E$309)),"",IFERROR(MATCH($A10,INDEX(H_CFD_L500!$E$10:$E$309,1):INDEX(H_CFD_L500!$E$10:$E$309,COUNT(H_CFD_L500!$E$10:$E$309)),1),""))</f>
        <v>40</v>
      </c>
      <c r="K10" s="18">
        <f>IF(OR(D$5&lt;=0,$A10&gt;=MAX(H_CFD_L500!$I$10:$I$309)),"",IFERROR(MATCH($A10,INDEX(H_CFD_L500!$I$10:$I$309,1):INDEX(H_CFD_L500!$I$10:$I$309,COUNT(H_CFD_L500!$I$10:$I$309)),1),""))</f>
        <v>40</v>
      </c>
      <c r="L10" s="18">
        <f>IF(OR(E$5&lt;=0,$A10&gt;=MAX(H_CFD_L500!$M$10:$M$309)),"",IFERROR(MATCH($A10,INDEX(H_CFD_L500!$M$10:$M$309,1):INDEX(H_CFD_L500!$M$10:$M$309,COUNT(H_CFD_L500!$M$10:$M$309)),1),""))</f>
        <v>42</v>
      </c>
      <c r="M10" s="18" t="str">
        <f>IF(OR(F$5&lt;=0,$A10&gt;=MAX(H_CFD_L500!$Q$10:$Q$309)),"",IFERROR(MATCH($A10,INDEX(H_CFD_L500!$Q$10:$Q$309,1):INDEX(H_CFD_L500!$Q$10:$Q$309,COUNT(H_CFD_L500!$Q$10:$Q$309)),1),""))</f>
        <v/>
      </c>
    </row>
    <row r="11" spans="1:13" x14ac:dyDescent="0.25">
      <c r="A11" s="9">
        <v>2</v>
      </c>
      <c r="B11" s="34">
        <f>IF(I11="","",IFERROR(EXP(LN(INDEX(H_CFD_L500!$C$10:$C$309,I11))+(LN($A11)-LN(INDEX(H_CFD_L500!$A$10:$A$309,I11)))*(LN(INDEX(H_CFD_L500!$C$10:$C$309,I11+1))-LN(INDEX(H_CFD_L500!$C$10:$C$309,I11)))/(LN(INDEX(H_CFD_L500!$A$10:$A$309,I11+1))-LN(INDEX(H_CFD_L500!$A$10:$A$309,I11)))),""))</f>
        <v>5.2186760095519957E-3</v>
      </c>
      <c r="C11" s="34">
        <f>IF(J11="","",IFERROR(EXP(LN(INDEX(H_CFD_L500!$G$10:$G$309,J11))+(LN($A11)-LN(INDEX(H_CFD_L500!$E$10:$E$309,J11)))*(LN(INDEX(H_CFD_L500!$G$10:$G$309,J11+1))-LN(INDEX(H_CFD_L500!$G$10:$G$309,J11)))/(LN(INDEX(H_CFD_L500!$E$10:$E$309,J11+1))-LN(INDEX(H_CFD_L500!$E$10:$E$309,J11)))),""))</f>
        <v>5.2787748725404348E-3</v>
      </c>
      <c r="D11" s="34">
        <f>IF(K11="","",IFERROR(EXP(LN(INDEX(H_CFD_L500!$K$10:$K$309,K11))+(LN($A11)-LN(INDEX(H_CFD_L500!$I$10:$I$309,K11)))*(LN(INDEX(H_CFD_L500!$K$10:$K$309,K11+1))-LN(INDEX(H_CFD_L500!$K$10:$K$309,K11)))/(LN(INDEX(H_CFD_L500!$I$10:$I$309,K11+1))-LN(INDEX(H_CFD_L500!$I$10:$I$309,K11)))),""))</f>
        <v>5.4034580610222765E-3</v>
      </c>
      <c r="E11" s="34">
        <f>IF(L11="","",IFERROR(EXP(LN(INDEX(H_CFD_L500!$O$10:$O$309,L11))+(LN($A11)-LN(INDEX(H_CFD_L500!$M$10:$M$309,L11)))*(LN(INDEX(H_CFD_L500!$O$10:$O$309,L11+1))-LN(INDEX(H_CFD_L500!$O$10:$O$309,L11)))/(LN(INDEX(H_CFD_L500!$M$10:$M$309,L11+1))-LN(INDEX(H_CFD_L500!$M$10:$M$309,L11)))),""))</f>
        <v>5.4322615638547423E-3</v>
      </c>
      <c r="F11" s="34" t="str">
        <f>IF(M11="","",IFERROR(EXP(LN(INDEX(H_CFD_L500!$S$10:$S$309,M11))+(LN($A11)-LN(INDEX(H_CFD_L500!$Q$10:$Q$309,M11)))*(LN(INDEX(H_CFD_L500!$S$10:$S$309,M11+1))-LN(INDEX(H_CFD_L500!$S$10:$S$309,M11)))/(LN(INDEX(H_CFD_L500!$Q$10:$Q$309,M11+1))-LN(INDEX(H_CFD_L500!$Q$10:$Q$309,M11)))),""))</f>
        <v/>
      </c>
      <c r="G11" s="34">
        <f t="shared" si="0"/>
        <v>5.3332926267423619E-3</v>
      </c>
      <c r="H11" s="45">
        <f t="shared" si="1"/>
        <v>4.004759709448142E-2</v>
      </c>
      <c r="I11" s="18">
        <f>IF(OR(B$5&lt;=0,$A11&gt;=MAX(H_CFD_L500!$A$10:$A$309)),"",IFERROR(MATCH($A11,INDEX(H_CFD_L500!$A$10:$A$309,1):INDEX(H_CFD_L500!$A$10:$A$309,COUNT(H_CFD_L500!$A$10:$A$309)),1),""))</f>
        <v>43</v>
      </c>
      <c r="J11" s="18">
        <f>IF(OR(C$5&lt;=0,$A11&gt;=MAX(H_CFD_L500!$E$10:$E$309)),"",IFERROR(MATCH($A11,INDEX(H_CFD_L500!$E$10:$E$309,1):INDEX(H_CFD_L500!$E$10:$E$309,COUNT(H_CFD_L500!$E$10:$E$309)),1),""))</f>
        <v>40</v>
      </c>
      <c r="K11" s="18">
        <f>IF(OR(D$5&lt;=0,$A11&gt;=MAX(H_CFD_L500!$I$10:$I$309)),"",IFERROR(MATCH($A11,INDEX(H_CFD_L500!$I$10:$I$309,1):INDEX(H_CFD_L500!$I$10:$I$309,COUNT(H_CFD_L500!$I$10:$I$309)),1),""))</f>
        <v>41</v>
      </c>
      <c r="L11" s="18">
        <f>IF(OR(E$5&lt;=0,$A11&gt;=MAX(H_CFD_L500!$M$10:$M$309)),"",IFERROR(MATCH($A11,INDEX(H_CFD_L500!$M$10:$M$309,1):INDEX(H_CFD_L500!$M$10:$M$309,COUNT(H_CFD_L500!$M$10:$M$309)),1),""))</f>
        <v>43</v>
      </c>
      <c r="M11" s="18" t="str">
        <f>IF(OR(F$5&lt;=0,$A11&gt;=MAX(H_CFD_L500!$Q$10:$Q$309)),"",IFERROR(MATCH($A11,INDEX(H_CFD_L500!$Q$10:$Q$309,1):INDEX(H_CFD_L500!$Q$10:$Q$309,COUNT(H_CFD_L500!$Q$10:$Q$309)),1),""))</f>
        <v/>
      </c>
    </row>
    <row r="12" spans="1:13" x14ac:dyDescent="0.25">
      <c r="A12" s="9">
        <v>2.5</v>
      </c>
      <c r="B12" s="34">
        <f>IF(I12="","",IFERROR(EXP(LN(INDEX(H_CFD_L500!$C$10:$C$309,I12))+(LN($A12)-LN(INDEX(H_CFD_L500!$A$10:$A$309,I12)))*(LN(INDEX(H_CFD_L500!$C$10:$C$309,I12+1))-LN(INDEX(H_CFD_L500!$C$10:$C$309,I12)))/(LN(INDEX(H_CFD_L500!$A$10:$A$309,I12+1))-LN(INDEX(H_CFD_L500!$A$10:$A$309,I12)))),""))</f>
        <v>4.7465149824023169E-3</v>
      </c>
      <c r="C12" s="34">
        <f>IF(J12="","",IFERROR(EXP(LN(INDEX(H_CFD_L500!$G$10:$G$309,J12))+(LN($A12)-LN(INDEX(H_CFD_L500!$E$10:$E$309,J12)))*(LN(INDEX(H_CFD_L500!$G$10:$G$309,J12+1))-LN(INDEX(H_CFD_L500!$G$10:$G$309,J12)))/(LN(INDEX(H_CFD_L500!$E$10:$E$309,J12+1))-LN(INDEX(H_CFD_L500!$E$10:$E$309,J12)))),""))</f>
        <v>4.7940900165784591E-3</v>
      </c>
      <c r="D12" s="34">
        <f>IF(K12="","",IFERROR(EXP(LN(INDEX(H_CFD_L500!$K$10:$K$309,K12))+(LN($A12)-LN(INDEX(H_CFD_L500!$I$10:$I$309,K12)))*(LN(INDEX(H_CFD_L500!$K$10:$K$309,K12+1))-LN(INDEX(H_CFD_L500!$K$10:$K$309,K12)))/(LN(INDEX(H_CFD_L500!$I$10:$I$309,K12+1))-LN(INDEX(H_CFD_L500!$I$10:$I$309,K12)))),""))</f>
        <v>4.9606904889214895E-3</v>
      </c>
      <c r="E12" s="34">
        <f>IF(L12="","",IFERROR(EXP(LN(INDEX(H_CFD_L500!$O$10:$O$309,L12))+(LN($A12)-LN(INDEX(H_CFD_L500!$M$10:$M$309,L12)))*(LN(INDEX(H_CFD_L500!$O$10:$O$309,L12+1))-LN(INDEX(H_CFD_L500!$O$10:$O$309,L12)))/(LN(INDEX(H_CFD_L500!$M$10:$M$309,L12+1))-LN(INDEX(H_CFD_L500!$M$10:$M$309,L12)))),""))</f>
        <v>4.9576293325595856E-3</v>
      </c>
      <c r="F12" s="34" t="str">
        <f>IF(M12="","",IFERROR(EXP(LN(INDEX(H_CFD_L500!$S$10:$S$309,M12))+(LN($A12)-LN(INDEX(H_CFD_L500!$Q$10:$Q$309,M12)))*(LN(INDEX(H_CFD_L500!$S$10:$S$309,M12+1))-LN(INDEX(H_CFD_L500!$S$10:$S$309,M12)))/(LN(INDEX(H_CFD_L500!$Q$10:$Q$309,M12+1))-LN(INDEX(H_CFD_L500!$Q$10:$Q$309,M12)))),""))</f>
        <v/>
      </c>
      <c r="G12" s="34">
        <f t="shared" si="0"/>
        <v>4.8647312051154626E-3</v>
      </c>
      <c r="H12" s="45">
        <f t="shared" si="1"/>
        <v>4.4026174826259326E-2</v>
      </c>
      <c r="I12" s="18">
        <f>IF(OR(B$5&lt;=0,$A12&gt;=MAX(H_CFD_L500!$A$10:$A$309)),"",IFERROR(MATCH($A12,INDEX(H_CFD_L500!$A$10:$A$309,1):INDEX(H_CFD_L500!$A$10:$A$309,COUNT(H_CFD_L500!$A$10:$A$309)),1),""))</f>
        <v>43</v>
      </c>
      <c r="J12" s="18">
        <f>IF(OR(C$5&lt;=0,$A12&gt;=MAX(H_CFD_L500!$E$10:$E$309)),"",IFERROR(MATCH($A12,INDEX(H_CFD_L500!$E$10:$E$309,1):INDEX(H_CFD_L500!$E$10:$E$309,COUNT(H_CFD_L500!$E$10:$E$309)),1),""))</f>
        <v>41</v>
      </c>
      <c r="K12" s="18">
        <f>IF(OR(D$5&lt;=0,$A12&gt;=MAX(H_CFD_L500!$I$10:$I$309)),"",IFERROR(MATCH($A12,INDEX(H_CFD_L500!$I$10:$I$309,1):INDEX(H_CFD_L500!$I$10:$I$309,COUNT(H_CFD_L500!$I$10:$I$309)),1),""))</f>
        <v>42</v>
      </c>
      <c r="L12" s="18">
        <f>IF(OR(E$5&lt;=0,$A12&gt;=MAX(H_CFD_L500!$M$10:$M$309)),"",IFERROR(MATCH($A12,INDEX(H_CFD_L500!$M$10:$M$309,1):INDEX(H_CFD_L500!$M$10:$M$309,COUNT(H_CFD_L500!$M$10:$M$309)),1),""))</f>
        <v>43</v>
      </c>
      <c r="M12" s="18" t="str">
        <f>IF(OR(F$5&lt;=0,$A12&gt;=MAX(H_CFD_L500!$Q$10:$Q$309)),"",IFERROR(MATCH($A12,INDEX(H_CFD_L500!$Q$10:$Q$309,1):INDEX(H_CFD_L500!$Q$10:$Q$309,COUNT(H_CFD_L500!$Q$10:$Q$309)),1),""))</f>
        <v/>
      </c>
    </row>
    <row r="13" spans="1:13" x14ac:dyDescent="0.25">
      <c r="A13" s="9">
        <v>3</v>
      </c>
      <c r="B13" s="34">
        <f>IF(I13="","",IFERROR(EXP(LN(INDEX(H_CFD_L500!$C$10:$C$309,I13))+(LN($A13)-LN(INDEX(H_CFD_L500!$A$10:$A$309,I13)))*(LN(INDEX(H_CFD_L500!$C$10:$C$309,I13+1))-LN(INDEX(H_CFD_L500!$C$10:$C$309,I13)))/(LN(INDEX(H_CFD_L500!$A$10:$A$309,I13+1))-LN(INDEX(H_CFD_L500!$A$10:$A$309,I13)))),""))</f>
        <v>4.3724599605856861E-3</v>
      </c>
      <c r="C13" s="34">
        <f>IF(J13="","",IFERROR(EXP(LN(INDEX(H_CFD_L500!$G$10:$G$309,J13))+(LN($A13)-LN(INDEX(H_CFD_L500!$E$10:$E$309,J13)))*(LN(INDEX(H_CFD_L500!$G$10:$G$309,J13+1))-LN(INDEX(H_CFD_L500!$G$10:$G$309,J13)))/(LN(INDEX(H_CFD_L500!$E$10:$E$309,J13+1))-LN(INDEX(H_CFD_L500!$E$10:$E$309,J13)))),""))</f>
        <v>4.4053163620143996E-3</v>
      </c>
      <c r="D13" s="34">
        <f>IF(K13="","",IFERROR(EXP(LN(INDEX(H_CFD_L500!$K$10:$K$309,K13))+(LN($A13)-LN(INDEX(H_CFD_L500!$I$10:$I$309,K13)))*(LN(INDEX(H_CFD_L500!$K$10:$K$309,K13+1))-LN(INDEX(H_CFD_L500!$K$10:$K$309,K13)))/(LN(INDEX(H_CFD_L500!$I$10:$I$309,K13+1))-LN(INDEX(H_CFD_L500!$I$10:$I$309,K13)))),""))</f>
        <v>4.5509542376864481E-3</v>
      </c>
      <c r="E13" s="34">
        <f>IF(L13="","",IFERROR(EXP(LN(INDEX(H_CFD_L500!$O$10:$O$309,L13))+(LN($A13)-LN(INDEX(H_CFD_L500!$M$10:$M$309,L13)))*(LN(INDEX(H_CFD_L500!$O$10:$O$309,L13+1))-LN(INDEX(H_CFD_L500!$O$10:$O$309,L13)))/(LN(INDEX(H_CFD_L500!$M$10:$M$309,L13+1))-LN(INDEX(H_CFD_L500!$M$10:$M$309,L13)))),""))</f>
        <v>4.5524879832431475E-3</v>
      </c>
      <c r="F13" s="34" t="str">
        <f>IF(M13="","",IFERROR(EXP(LN(INDEX(H_CFD_L500!$S$10:$S$309,M13))+(LN($A13)-LN(INDEX(H_CFD_L500!$Q$10:$Q$309,M13)))*(LN(INDEX(H_CFD_L500!$S$10:$S$309,M13+1))-LN(INDEX(H_CFD_L500!$S$10:$S$309,M13)))/(LN(INDEX(H_CFD_L500!$Q$10:$Q$309,M13+1))-LN(INDEX(H_CFD_L500!$Q$10:$Q$309,M13)))),""))</f>
        <v/>
      </c>
      <c r="G13" s="34">
        <f t="shared" si="0"/>
        <v>4.470304635882421E-3</v>
      </c>
      <c r="H13" s="45">
        <f t="shared" si="1"/>
        <v>4.0271980842738385E-2</v>
      </c>
      <c r="I13" s="18">
        <f>IF(OR(B$5&lt;=0,$A13&gt;=MAX(H_CFD_L500!$A$10:$A$309)),"",IFERROR(MATCH($A13,INDEX(H_CFD_L500!$A$10:$A$309,1):INDEX(H_CFD_L500!$A$10:$A$309,COUNT(H_CFD_L500!$A$10:$A$309)),1),""))</f>
        <v>44</v>
      </c>
      <c r="J13" s="18">
        <f>IF(OR(C$5&lt;=0,$A13&gt;=MAX(H_CFD_L500!$E$10:$E$309)),"",IFERROR(MATCH($A13,INDEX(H_CFD_L500!$E$10:$E$309,1):INDEX(H_CFD_L500!$E$10:$E$309,COUNT(H_CFD_L500!$E$10:$E$309)),1),""))</f>
        <v>42</v>
      </c>
      <c r="K13" s="18">
        <f>IF(OR(D$5&lt;=0,$A13&gt;=MAX(H_CFD_L500!$I$10:$I$309)),"",IFERROR(MATCH($A13,INDEX(H_CFD_L500!$I$10:$I$309,1):INDEX(H_CFD_L500!$I$10:$I$309,COUNT(H_CFD_L500!$I$10:$I$309)),1),""))</f>
        <v>43</v>
      </c>
      <c r="L13" s="18">
        <f>IF(OR(E$5&lt;=0,$A13&gt;=MAX(H_CFD_L500!$M$10:$M$309)),"",IFERROR(MATCH($A13,INDEX(H_CFD_L500!$M$10:$M$309,1):INDEX(H_CFD_L500!$M$10:$M$309,COUNT(H_CFD_L500!$M$10:$M$309)),1),""))</f>
        <v>45</v>
      </c>
      <c r="M13" s="18" t="str">
        <f>IF(OR(F$5&lt;=0,$A13&gt;=MAX(H_CFD_L500!$Q$10:$Q$309)),"",IFERROR(MATCH($A13,INDEX(H_CFD_L500!$Q$10:$Q$309,1):INDEX(H_CFD_L500!$Q$10:$Q$309,COUNT(H_CFD_L500!$Q$10:$Q$309)),1),""))</f>
        <v/>
      </c>
    </row>
    <row r="14" spans="1:13" x14ac:dyDescent="0.25">
      <c r="A14" s="9">
        <v>3.5</v>
      </c>
      <c r="B14" s="34">
        <f>IF(I14="","",IFERROR(EXP(LN(INDEX(H_CFD_L500!$C$10:$C$309,I14))+(LN($A14)-LN(INDEX(H_CFD_L500!$A$10:$A$309,I14)))*(LN(INDEX(H_CFD_L500!$C$10:$C$309,I14+1))-LN(INDEX(H_CFD_L500!$C$10:$C$309,I14)))/(LN(INDEX(H_CFD_L500!$A$10:$A$309,I14+1))-LN(INDEX(H_CFD_L500!$A$10:$A$309,I14)))),""))</f>
        <v>4.0359601513807663E-3</v>
      </c>
      <c r="C14" s="34">
        <f>IF(J14="","",IFERROR(EXP(LN(INDEX(H_CFD_L500!$G$10:$G$309,J14))+(LN($A14)-LN(INDEX(H_CFD_L500!$E$10:$E$309,J14)))*(LN(INDEX(H_CFD_L500!$G$10:$G$309,J14+1))-LN(INDEX(H_CFD_L500!$G$10:$G$309,J14)))/(LN(INDEX(H_CFD_L500!$E$10:$E$309,J14+1))-LN(INDEX(H_CFD_L500!$E$10:$E$309,J14)))),""))</f>
        <v>4.0484991615901689E-3</v>
      </c>
      <c r="D14" s="34">
        <f>IF(K14="","",IFERROR(EXP(LN(INDEX(H_CFD_L500!$K$10:$K$309,K14))+(LN($A14)-LN(INDEX(H_CFD_L500!$I$10:$I$309,K14)))*(LN(INDEX(H_CFD_L500!$K$10:$K$309,K14+1))-LN(INDEX(H_CFD_L500!$K$10:$K$309,K14)))/(LN(INDEX(H_CFD_L500!$I$10:$I$309,K14+1))-LN(INDEX(H_CFD_L500!$I$10:$I$309,K14)))),""))</f>
        <v>4.2259581237056136E-3</v>
      </c>
      <c r="E14" s="34">
        <f>IF(L14="","",IFERROR(EXP(LN(INDEX(H_CFD_L500!$O$10:$O$309,L14))+(LN($A14)-LN(INDEX(H_CFD_L500!$M$10:$M$309,L14)))*(LN(INDEX(H_CFD_L500!$O$10:$O$309,L14+1))-LN(INDEX(H_CFD_L500!$O$10:$O$309,L14)))/(LN(INDEX(H_CFD_L500!$M$10:$M$309,L14+1))-LN(INDEX(H_CFD_L500!$M$10:$M$309,L14)))),""))</f>
        <v>4.2178489121588577E-3</v>
      </c>
      <c r="F14" s="34" t="str">
        <f>IF(M14="","",IFERROR(EXP(LN(INDEX(H_CFD_L500!$S$10:$S$309,M14))+(LN($A14)-LN(INDEX(H_CFD_L500!$Q$10:$Q$309,M14)))*(LN(INDEX(H_CFD_L500!$S$10:$S$309,M14+1))-LN(INDEX(H_CFD_L500!$S$10:$S$309,M14)))/(LN(INDEX(H_CFD_L500!$Q$10:$Q$309,M14+1))-LN(INDEX(H_CFD_L500!$Q$10:$Q$309,M14)))),""))</f>
        <v/>
      </c>
      <c r="G14" s="34">
        <f t="shared" si="0"/>
        <v>4.1320665872088521E-3</v>
      </c>
      <c r="H14" s="45">
        <f t="shared" si="1"/>
        <v>4.5981343309665301E-2</v>
      </c>
      <c r="I14" s="18">
        <f>IF(OR(B$5&lt;=0,$A14&gt;=MAX(H_CFD_L500!$A$10:$A$309)),"",IFERROR(MATCH($A14,INDEX(H_CFD_L500!$A$10:$A$309,1):INDEX(H_CFD_L500!$A$10:$A$309,COUNT(H_CFD_L500!$A$10:$A$309)),1),""))</f>
        <v>44</v>
      </c>
      <c r="J14" s="18">
        <f>IF(OR(C$5&lt;=0,$A14&gt;=MAX(H_CFD_L500!$E$10:$E$309)),"",IFERROR(MATCH($A14,INDEX(H_CFD_L500!$E$10:$E$309,1):INDEX(H_CFD_L500!$E$10:$E$309,COUNT(H_CFD_L500!$E$10:$E$309)),1),""))</f>
        <v>42</v>
      </c>
      <c r="K14" s="18">
        <f>IF(OR(D$5&lt;=0,$A14&gt;=MAX(H_CFD_L500!$I$10:$I$309)),"",IFERROR(MATCH($A14,INDEX(H_CFD_L500!$I$10:$I$309,1):INDEX(H_CFD_L500!$I$10:$I$309,COUNT(H_CFD_L500!$I$10:$I$309)),1),""))</f>
        <v>43</v>
      </c>
      <c r="L14" s="18">
        <f>IF(OR(E$5&lt;=0,$A14&gt;=MAX(H_CFD_L500!$M$10:$M$309)),"",IFERROR(MATCH($A14,INDEX(H_CFD_L500!$M$10:$M$309,1):INDEX(H_CFD_L500!$M$10:$M$309,COUNT(H_CFD_L500!$M$10:$M$309)),1),""))</f>
        <v>45</v>
      </c>
      <c r="M14" s="18" t="str">
        <f>IF(OR(F$5&lt;=0,$A14&gt;=MAX(H_CFD_L500!$Q$10:$Q$309)),"",IFERROR(MATCH($A14,INDEX(H_CFD_L500!$Q$10:$Q$309,1):INDEX(H_CFD_L500!$Q$10:$Q$309,COUNT(H_CFD_L500!$Q$10:$Q$309)),1),""))</f>
        <v/>
      </c>
    </row>
    <row r="15" spans="1:13" x14ac:dyDescent="0.25">
      <c r="A15" s="9">
        <v>4</v>
      </c>
      <c r="B15" s="34">
        <f>IF(I15="","",IFERROR(EXP(LN(INDEX(H_CFD_L500!$C$10:$C$309,I15))+(LN($A15)-LN(INDEX(H_CFD_L500!$A$10:$A$309,I15)))*(LN(INDEX(H_CFD_L500!$C$10:$C$309,I15+1))-LN(INDEX(H_CFD_L500!$C$10:$C$309,I15)))/(LN(INDEX(H_CFD_L500!$A$10:$A$309,I15+1))-LN(INDEX(H_CFD_L500!$A$10:$A$309,I15)))),""))</f>
        <v>3.7385020372691742E-3</v>
      </c>
      <c r="C15" s="34">
        <f>IF(J15="","",IFERROR(EXP(LN(INDEX(H_CFD_L500!$G$10:$G$309,J15))+(LN($A15)-LN(INDEX(H_CFD_L500!$E$10:$E$309,J15)))*(LN(INDEX(H_CFD_L500!$G$10:$G$309,J15+1))-LN(INDEX(H_CFD_L500!$G$10:$G$309,J15)))/(LN(INDEX(H_CFD_L500!$E$10:$E$309,J15+1))-LN(INDEX(H_CFD_L500!$E$10:$E$309,J15)))),""))</f>
        <v>3.7544283804062605E-3</v>
      </c>
      <c r="D15" s="34">
        <f>IF(K15="","",IFERROR(EXP(LN(INDEX(H_CFD_L500!$K$10:$K$309,K15))+(LN($A15)-LN(INDEX(H_CFD_L500!$I$10:$I$309,K15)))*(LN(INDEX(H_CFD_L500!$K$10:$K$309,K15+1))-LN(INDEX(H_CFD_L500!$K$10:$K$309,K15)))/(LN(INDEX(H_CFD_L500!$I$10:$I$309,K15+1))-LN(INDEX(H_CFD_L500!$I$10:$I$309,K15)))),""))</f>
        <v>3.9581927672479424E-3</v>
      </c>
      <c r="E15" s="34">
        <f>IF(L15="","",IFERROR(EXP(LN(INDEX(H_CFD_L500!$O$10:$O$309,L15))+(LN($A15)-LN(INDEX(H_CFD_L500!$M$10:$M$309,L15)))*(LN(INDEX(H_CFD_L500!$O$10:$O$309,L15+1))-LN(INDEX(H_CFD_L500!$O$10:$O$309,L15)))/(LN(INDEX(H_CFD_L500!$M$10:$M$309,L15+1))-LN(INDEX(H_CFD_L500!$M$10:$M$309,L15)))),""))</f>
        <v>3.942690450528882E-3</v>
      </c>
      <c r="F15" s="34" t="str">
        <f>IF(M15="","",IFERROR(EXP(LN(INDEX(H_CFD_L500!$S$10:$S$309,M15))+(LN($A15)-LN(INDEX(H_CFD_L500!$Q$10:$Q$309,M15)))*(LN(INDEX(H_CFD_L500!$S$10:$S$309,M15+1))-LN(INDEX(H_CFD_L500!$S$10:$S$309,M15)))/(LN(INDEX(H_CFD_L500!$Q$10:$Q$309,M15+1))-LN(INDEX(H_CFD_L500!$Q$10:$Q$309,M15)))),""))</f>
        <v/>
      </c>
      <c r="G15" s="34">
        <f t="shared" si="0"/>
        <v>3.8484534088630644E-3</v>
      </c>
      <c r="H15" s="45">
        <f t="shared" si="1"/>
        <v>5.7085459180255663E-2</v>
      </c>
      <c r="I15" s="18">
        <f>IF(OR(B$5&lt;=0,$A15&gt;=MAX(H_CFD_L500!$A$10:$A$309)),"",IFERROR(MATCH($A15,INDEX(H_CFD_L500!$A$10:$A$309,1):INDEX(H_CFD_L500!$A$10:$A$309,COUNT(H_CFD_L500!$A$10:$A$309)),1),""))</f>
        <v>45</v>
      </c>
      <c r="J15" s="18">
        <f>IF(OR(C$5&lt;=0,$A15&gt;=MAX(H_CFD_L500!$E$10:$E$309)),"",IFERROR(MATCH($A15,INDEX(H_CFD_L500!$E$10:$E$309,1):INDEX(H_CFD_L500!$E$10:$E$309,COUNT(H_CFD_L500!$E$10:$E$309)),1),""))</f>
        <v>43</v>
      </c>
      <c r="K15" s="18">
        <f>IF(OR(D$5&lt;=0,$A15&gt;=MAX(H_CFD_L500!$I$10:$I$309)),"",IFERROR(MATCH($A15,INDEX(H_CFD_L500!$I$10:$I$309,1):INDEX(H_CFD_L500!$I$10:$I$309,COUNT(H_CFD_L500!$I$10:$I$309)),1),""))</f>
        <v>44</v>
      </c>
      <c r="L15" s="18">
        <f>IF(OR(E$5&lt;=0,$A15&gt;=MAX(H_CFD_L500!$M$10:$M$309)),"",IFERROR(MATCH($A15,INDEX(H_CFD_L500!$M$10:$M$309,1):INDEX(H_CFD_L500!$M$10:$M$309,COUNT(H_CFD_L500!$M$10:$M$309)),1),""))</f>
        <v>46</v>
      </c>
      <c r="M15" s="18" t="str">
        <f>IF(OR(F$5&lt;=0,$A15&gt;=MAX(H_CFD_L500!$Q$10:$Q$309)),"",IFERROR(MATCH($A15,INDEX(H_CFD_L500!$Q$10:$Q$309,1):INDEX(H_CFD_L500!$Q$10:$Q$309,COUNT(H_CFD_L500!$Q$10:$Q$309)),1),""))</f>
        <v/>
      </c>
    </row>
    <row r="16" spans="1:13" x14ac:dyDescent="0.25">
      <c r="A16" s="9">
        <v>4.5</v>
      </c>
      <c r="B16" s="34">
        <f>IF(I16="","",IFERROR(EXP(LN(INDEX(H_CFD_L500!$C$10:$C$309,I16))+(LN($A16)-LN(INDEX(H_CFD_L500!$A$10:$A$309,I16)))*(LN(INDEX(H_CFD_L500!$C$10:$C$309,I16+1))-LN(INDEX(H_CFD_L500!$C$10:$C$309,I16)))/(LN(INDEX(H_CFD_L500!$A$10:$A$309,I16+1))-LN(INDEX(H_CFD_L500!$A$10:$A$309,I16)))),""))</f>
        <v>3.4527786379522137E-3</v>
      </c>
      <c r="C16" s="34">
        <f>IF(J16="","",IFERROR(EXP(LN(INDEX(H_CFD_L500!$G$10:$G$309,J16))+(LN($A16)-LN(INDEX(H_CFD_L500!$E$10:$E$309,J16)))*(LN(INDEX(H_CFD_L500!$G$10:$G$309,J16+1))-LN(INDEX(H_CFD_L500!$G$10:$G$309,J16)))/(LN(INDEX(H_CFD_L500!$E$10:$E$309,J16+1))-LN(INDEX(H_CFD_L500!$E$10:$E$309,J16)))),""))</f>
        <v>3.4686700826554108E-3</v>
      </c>
      <c r="D16" s="34">
        <f>IF(K16="","",IFERROR(EXP(LN(INDEX(H_CFD_L500!$K$10:$K$309,K16))+(LN($A16)-LN(INDEX(H_CFD_L500!$I$10:$I$309,K16)))*(LN(INDEX(H_CFD_L500!$K$10:$K$309,K16+1))-LN(INDEX(H_CFD_L500!$K$10:$K$309,K16)))/(LN(INDEX(H_CFD_L500!$I$10:$I$309,K16+1))-LN(INDEX(H_CFD_L500!$I$10:$I$309,K16)))),""))</f>
        <v>3.6608694221632572E-3</v>
      </c>
      <c r="E16" s="34">
        <f>IF(L16="","",IFERROR(EXP(LN(INDEX(H_CFD_L500!$O$10:$O$309,L16))+(LN($A16)-LN(INDEX(H_CFD_L500!$M$10:$M$309,L16)))*(LN(INDEX(H_CFD_L500!$O$10:$O$309,L16+1))-LN(INDEX(H_CFD_L500!$O$10:$O$309,L16)))/(LN(INDEX(H_CFD_L500!$M$10:$M$309,L16+1))-LN(INDEX(H_CFD_L500!$M$10:$M$309,L16)))),""))</f>
        <v>3.6373273391026766E-3</v>
      </c>
      <c r="F16" s="34" t="str">
        <f>IF(M16="","",IFERROR(EXP(LN(INDEX(H_CFD_L500!$S$10:$S$309,M16))+(LN($A16)-LN(INDEX(H_CFD_L500!$Q$10:$Q$309,M16)))*(LN(INDEX(H_CFD_L500!$S$10:$S$309,M16+1))-LN(INDEX(H_CFD_L500!$S$10:$S$309,M16)))/(LN(INDEX(H_CFD_L500!$Q$10:$Q$309,M16+1))-LN(INDEX(H_CFD_L500!$Q$10:$Q$309,M16)))),""))</f>
        <v/>
      </c>
      <c r="G16" s="34">
        <f t="shared" si="0"/>
        <v>3.5549113704683895E-3</v>
      </c>
      <c r="H16" s="45">
        <f t="shared" si="1"/>
        <v>5.8536138464578877E-2</v>
      </c>
      <c r="I16" s="18">
        <f>IF(OR(B$5&lt;=0,$A16&gt;=MAX(H_CFD_L500!$A$10:$A$309)),"",IFERROR(MATCH($A16,INDEX(H_CFD_L500!$A$10:$A$309,1):INDEX(H_CFD_L500!$A$10:$A$309,COUNT(H_CFD_L500!$A$10:$A$309)),1),""))</f>
        <v>45</v>
      </c>
      <c r="J16" s="18">
        <f>IF(OR(C$5&lt;=0,$A16&gt;=MAX(H_CFD_L500!$E$10:$E$309)),"",IFERROR(MATCH($A16,INDEX(H_CFD_L500!$E$10:$E$309,1):INDEX(H_CFD_L500!$E$10:$E$309,COUNT(H_CFD_L500!$E$10:$E$309)),1),""))</f>
        <v>43</v>
      </c>
      <c r="K16" s="18">
        <f>IF(OR(D$5&lt;=0,$A16&gt;=MAX(H_CFD_L500!$I$10:$I$309)),"",IFERROR(MATCH($A16,INDEX(H_CFD_L500!$I$10:$I$309,1):INDEX(H_CFD_L500!$I$10:$I$309,COUNT(H_CFD_L500!$I$10:$I$309)),1),""))</f>
        <v>44</v>
      </c>
      <c r="L16" s="18">
        <f>IF(OR(E$5&lt;=0,$A16&gt;=MAX(H_CFD_L500!$M$10:$M$309)),"",IFERROR(MATCH($A16,INDEX(H_CFD_L500!$M$10:$M$309,1):INDEX(H_CFD_L500!$M$10:$M$309,COUNT(H_CFD_L500!$M$10:$M$309)),1),""))</f>
        <v>46</v>
      </c>
      <c r="M16" s="18" t="str">
        <f>IF(OR(F$5&lt;=0,$A16&gt;=MAX(H_CFD_L500!$Q$10:$Q$309)),"",IFERROR(MATCH($A16,INDEX(H_CFD_L500!$Q$10:$Q$309,1):INDEX(H_CFD_L500!$Q$10:$Q$309,COUNT(H_CFD_L500!$Q$10:$Q$309)),1),""))</f>
        <v/>
      </c>
    </row>
    <row r="17" spans="1:13" x14ac:dyDescent="0.25">
      <c r="A17" s="9">
        <v>5</v>
      </c>
      <c r="B17" s="34">
        <f>IF(I17="","",IFERROR(EXP(LN(INDEX(H_CFD_L500!$C$10:$C$309,I17))+(LN($A17)-LN(INDEX(H_CFD_L500!$A$10:$A$309,I17)))*(LN(INDEX(H_CFD_L500!$C$10:$C$309,I17+1))-LN(INDEX(H_CFD_L500!$C$10:$C$309,I17)))/(LN(INDEX(H_CFD_L500!$A$10:$A$309,I17+1))-LN(INDEX(H_CFD_L500!$A$10:$A$309,I17)))),""))</f>
        <v>3.2157449434218159E-3</v>
      </c>
      <c r="C17" s="34">
        <f>IF(J17="","",IFERROR(EXP(LN(INDEX(H_CFD_L500!$G$10:$G$309,J17))+(LN($A17)-LN(INDEX(H_CFD_L500!$E$10:$E$309,J17)))*(LN(INDEX(H_CFD_L500!$G$10:$G$309,J17+1))-LN(INDEX(H_CFD_L500!$G$10:$G$309,J17)))/(LN(INDEX(H_CFD_L500!$E$10:$E$309,J17+1))-LN(INDEX(H_CFD_L500!$E$10:$E$309,J17)))),""))</f>
        <v>3.2315307620413881E-3</v>
      </c>
      <c r="D17" s="34">
        <f>IF(K17="","",IFERROR(EXP(LN(INDEX(H_CFD_L500!$K$10:$K$309,K17))+(LN($A17)-LN(INDEX(H_CFD_L500!$I$10:$I$309,K17)))*(LN(INDEX(H_CFD_L500!$K$10:$K$309,K17+1))-LN(INDEX(H_CFD_L500!$K$10:$K$309,K17)))/(LN(INDEX(H_CFD_L500!$I$10:$I$309,K17+1))-LN(INDEX(H_CFD_L500!$I$10:$I$309,K17)))),""))</f>
        <v>3.4138803237441606E-3</v>
      </c>
      <c r="E17" s="34">
        <f>IF(L17="","",IFERROR(EXP(LN(INDEX(H_CFD_L500!$O$10:$O$309,L17))+(LN($A17)-LN(INDEX(H_CFD_L500!$M$10:$M$309,L17)))*(LN(INDEX(H_CFD_L500!$O$10:$O$309,L17+1))-LN(INDEX(H_CFD_L500!$O$10:$O$309,L17)))/(LN(INDEX(H_CFD_L500!$M$10:$M$309,L17+1))-LN(INDEX(H_CFD_L500!$M$10:$M$309,L17)))),""))</f>
        <v>3.3842669413948379E-3</v>
      </c>
      <c r="F17" s="34" t="str">
        <f>IF(M17="","",IFERROR(EXP(LN(INDEX(H_CFD_L500!$S$10:$S$309,M17))+(LN($A17)-LN(INDEX(H_CFD_L500!$Q$10:$Q$309,M17)))*(LN(INDEX(H_CFD_L500!$S$10:$S$309,M17+1))-LN(INDEX(H_CFD_L500!$S$10:$S$309,M17)))/(LN(INDEX(H_CFD_L500!$Q$10:$Q$309,M17+1))-LN(INDEX(H_CFD_L500!$Q$10:$Q$309,M17)))),""))</f>
        <v/>
      </c>
      <c r="G17" s="34">
        <f t="shared" si="0"/>
        <v>3.3113557426505506E-3</v>
      </c>
      <c r="H17" s="45">
        <f t="shared" si="1"/>
        <v>5.9835123653536743E-2</v>
      </c>
      <c r="I17" s="18">
        <f>IF(OR(B$5&lt;=0,$A17&gt;=MAX(H_CFD_L500!$A$10:$A$309)),"",IFERROR(MATCH($A17,INDEX(H_CFD_L500!$A$10:$A$309,1):INDEX(H_CFD_L500!$A$10:$A$309,COUNT(H_CFD_L500!$A$10:$A$309)),1),""))</f>
        <v>45</v>
      </c>
      <c r="J17" s="18">
        <f>IF(OR(C$5&lt;=0,$A17&gt;=MAX(H_CFD_L500!$E$10:$E$309)),"",IFERROR(MATCH($A17,INDEX(H_CFD_L500!$E$10:$E$309,1):INDEX(H_CFD_L500!$E$10:$E$309,COUNT(H_CFD_L500!$E$10:$E$309)),1),""))</f>
        <v>43</v>
      </c>
      <c r="K17" s="18">
        <f>IF(OR(D$5&lt;=0,$A17&gt;=MAX(H_CFD_L500!$I$10:$I$309)),"",IFERROR(MATCH($A17,INDEX(H_CFD_L500!$I$10:$I$309,1):INDEX(H_CFD_L500!$I$10:$I$309,COUNT(H_CFD_L500!$I$10:$I$309)),1),""))</f>
        <v>44</v>
      </c>
      <c r="L17" s="18">
        <f>IF(OR(E$5&lt;=0,$A17&gt;=MAX(H_CFD_L500!$M$10:$M$309)),"",IFERROR(MATCH($A17,INDEX(H_CFD_L500!$M$10:$M$309,1):INDEX(H_CFD_L500!$M$10:$M$309,COUNT(H_CFD_L500!$M$10:$M$309)),1),""))</f>
        <v>46</v>
      </c>
      <c r="M17" s="18" t="str">
        <f>IF(OR(F$5&lt;=0,$A17&gt;=MAX(H_CFD_L500!$Q$10:$Q$309)),"",IFERROR(MATCH($A17,INDEX(H_CFD_L500!$Q$10:$Q$309,1):INDEX(H_CFD_L500!$Q$10:$Q$309,COUNT(H_CFD_L500!$Q$10:$Q$309)),1),""))</f>
        <v/>
      </c>
    </row>
    <row r="18" spans="1:13" x14ac:dyDescent="0.25">
      <c r="A18" s="9">
        <v>5.5</v>
      </c>
      <c r="B18" s="34">
        <f>IF(I18="","",IFERROR(EXP(LN(INDEX(H_CFD_L500!$C$10:$C$309,I18))+(LN($A18)-LN(INDEX(H_CFD_L500!$A$10:$A$309,I18)))*(LN(INDEX(H_CFD_L500!$C$10:$C$309,I18+1))-LN(INDEX(H_CFD_L500!$C$10:$C$309,I18)))/(LN(INDEX(H_CFD_L500!$A$10:$A$309,I18+1))-LN(INDEX(H_CFD_L500!$A$10:$A$309,I18)))),""))</f>
        <v>2.5309276747993601E-3</v>
      </c>
      <c r="C18" s="34">
        <f>IF(J18="","",IFERROR(EXP(LN(INDEX(H_CFD_L500!$G$10:$G$309,J18))+(LN($A18)-LN(INDEX(H_CFD_L500!$E$10:$E$309,J18)))*(LN(INDEX(H_CFD_L500!$G$10:$G$309,J18+1))-LN(INDEX(H_CFD_L500!$G$10:$G$309,J18)))/(LN(INDEX(H_CFD_L500!$E$10:$E$309,J18+1))-LN(INDEX(H_CFD_L500!$E$10:$E$309,J18)))),""))</f>
        <v>2.6401386068136867E-3</v>
      </c>
      <c r="D18" s="34">
        <f>IF(K18="","",IFERROR(EXP(LN(INDEX(H_CFD_L500!$K$10:$K$309,K18))+(LN($A18)-LN(INDEX(H_CFD_L500!$I$10:$I$309,K18)))*(LN(INDEX(H_CFD_L500!$K$10:$K$309,K18+1))-LN(INDEX(H_CFD_L500!$K$10:$K$309,K18)))/(LN(INDEX(H_CFD_L500!$I$10:$I$309,K18+1))-LN(INDEX(H_CFD_L500!$I$10:$I$309,K18)))),""))</f>
        <v>2.6548164147937605E-3</v>
      </c>
      <c r="E18" s="34">
        <f>IF(L18="","",IFERROR(EXP(LN(INDEX(H_CFD_L500!$O$10:$O$309,L18))+(LN($A18)-LN(INDEX(H_CFD_L500!$M$10:$M$309,L18)))*(LN(INDEX(H_CFD_L500!$O$10:$O$309,L18+1))-LN(INDEX(H_CFD_L500!$O$10:$O$309,L18)))/(LN(INDEX(H_CFD_L500!$M$10:$M$309,L18+1))-LN(INDEX(H_CFD_L500!$M$10:$M$309,L18)))),""))</f>
        <v>2.6455830921563658E-3</v>
      </c>
      <c r="F18" s="34" t="str">
        <f>IF(M18="","",IFERROR(EXP(LN(INDEX(H_CFD_L500!$S$10:$S$309,M18))+(LN($A18)-LN(INDEX(H_CFD_L500!$Q$10:$Q$309,M18)))*(LN(INDEX(H_CFD_L500!$S$10:$S$309,M18+1))-LN(INDEX(H_CFD_L500!$S$10:$S$309,M18)))/(LN(INDEX(H_CFD_L500!$Q$10:$Q$309,M18+1))-LN(INDEX(H_CFD_L500!$Q$10:$Q$309,M18)))),""))</f>
        <v/>
      </c>
      <c r="G18" s="34">
        <f t="shared" si="0"/>
        <v>2.6178664471407935E-3</v>
      </c>
      <c r="H18" s="45">
        <f t="shared" si="1"/>
        <v>4.732431638356125E-2</v>
      </c>
      <c r="I18" s="18">
        <f>IF(OR(B$5&lt;=0,$A18&gt;=MAX(H_CFD_L500!$A$10:$A$309)),"",IFERROR(MATCH($A18,INDEX(H_CFD_L500!$A$10:$A$309,1):INDEX(H_CFD_L500!$A$10:$A$309,COUNT(H_CFD_L500!$A$10:$A$309)),1),""))</f>
        <v>47</v>
      </c>
      <c r="J18" s="18">
        <f>IF(OR(C$5&lt;=0,$A18&gt;=MAX(H_CFD_L500!$E$10:$E$309)),"",IFERROR(MATCH($A18,INDEX(H_CFD_L500!$E$10:$E$309,1):INDEX(H_CFD_L500!$E$10:$E$309,COUNT(H_CFD_L500!$E$10:$E$309)),1),""))</f>
        <v>45</v>
      </c>
      <c r="K18" s="18">
        <f>IF(OR(D$5&lt;=0,$A18&gt;=MAX(H_CFD_L500!$I$10:$I$309)),"",IFERROR(MATCH($A18,INDEX(H_CFD_L500!$I$10:$I$309,1):INDEX(H_CFD_L500!$I$10:$I$309,COUNT(H_CFD_L500!$I$10:$I$309)),1),""))</f>
        <v>47</v>
      </c>
      <c r="L18" s="18">
        <f>IF(OR(E$5&lt;=0,$A18&gt;=MAX(H_CFD_L500!$M$10:$M$309)),"",IFERROR(MATCH($A18,INDEX(H_CFD_L500!$M$10:$M$309,1):INDEX(H_CFD_L500!$M$10:$M$309,COUNT(H_CFD_L500!$M$10:$M$309)),1),""))</f>
        <v>48</v>
      </c>
      <c r="M18" s="18" t="str">
        <f>IF(OR(F$5&lt;=0,$A18&gt;=MAX(H_CFD_L500!$Q$10:$Q$309)),"",IFERROR(MATCH($A18,INDEX(H_CFD_L500!$Q$10:$Q$309,1):INDEX(H_CFD_L500!$Q$10:$Q$309,COUNT(H_CFD_L500!$Q$10:$Q$309)),1),""))</f>
        <v/>
      </c>
    </row>
    <row r="21" spans="1:13" x14ac:dyDescent="0.25">
      <c r="A21" s="22" t="s">
        <v>184</v>
      </c>
    </row>
    <row r="22" spans="1:13" x14ac:dyDescent="0.25">
      <c r="A22" s="16" t="s">
        <v>226</v>
      </c>
      <c r="B22" s="44">
        <f>IF(AND(N(H_CFD_L1000!B7)=1,ISNUMBER(H_CFD_L1000!B4),ISNUMBER(H_CFD_L1000!B5)),H_CFD_L1000!B4,0)</f>
        <v>80</v>
      </c>
      <c r="C22" s="44">
        <f>IF(AND(N(H_CFD_L1000!F7)=1,ISNUMBER(H_CFD_L1000!F4),ISNUMBER(H_CFD_L1000!F5)),H_CFD_L1000!F4,0)</f>
        <v>150</v>
      </c>
      <c r="D22" s="44">
        <f>IF(AND(N(H_CFD_L1000!J7)=1,ISNUMBER(H_CFD_L1000!J4),ISNUMBER(H_CFD_L1000!J5)),H_CFD_L1000!J4,0)</f>
        <v>250</v>
      </c>
      <c r="E22" s="44">
        <f>IF(AND(N(H_CFD_L1000!N7)=1,ISNUMBER(H_CFD_L1000!N4),ISNUMBER(H_CFD_L1000!N5)),H_CFD_L1000!N4,0)</f>
        <v>300</v>
      </c>
      <c r="F22" s="44">
        <f>IF(AND(N(H_CFD_L1000!R7)=1,ISNUMBER(H_CFD_L1000!R4),ISNUMBER(H_CFD_L1000!R5)),H_CFD_L1000!R4,0)</f>
        <v>0</v>
      </c>
    </row>
    <row r="23" spans="1:13" x14ac:dyDescent="0.25">
      <c r="A23" s="16" t="s">
        <v>227</v>
      </c>
      <c r="B23" s="34">
        <f>IF(B22&gt;0,H_CFD_L1000!B5/H_CFD_L1000!B4,"")</f>
        <v>1.5192679032033248E-2</v>
      </c>
      <c r="C23" s="34">
        <f>IF(C22&gt;0,H_CFD_L1000!F5/H_CFD_L1000!F4,"")</f>
        <v>1.5850799813508065E-2</v>
      </c>
      <c r="D23" s="34">
        <f>IF(D22&gt;0,H_CFD_L1000!J5/H_CFD_L1000!J4,"")</f>
        <v>1.6410794341974722E-2</v>
      </c>
      <c r="E23" s="34">
        <f>IF(E22&gt;0,H_CFD_L1000!N5/H_CFD_L1000!N4,"")</f>
        <v>1.6609380522250566E-2</v>
      </c>
      <c r="F23" s="34" t="str">
        <f>IF(F22&gt;0,H_CFD_L1000!R5/H_CFD_L1000!R4,"")</f>
        <v/>
      </c>
    </row>
    <row r="24" spans="1:13" x14ac:dyDescent="0.25">
      <c r="A24" s="4" t="s">
        <v>176</v>
      </c>
      <c r="B24" s="4" t="str">
        <f>IF(B22&gt;0,"v/Q (Q="&amp;B22&amp;")","(non usato)")</f>
        <v>v/Q (Q=80)</v>
      </c>
      <c r="C24" s="4" t="str">
        <f>IF(C22&gt;0,"v/Q (Q="&amp;C22&amp;")","(non usato)")</f>
        <v>v/Q (Q=150)</v>
      </c>
      <c r="D24" s="4" t="str">
        <f>IF(D22&gt;0,"v/Q (Q="&amp;D22&amp;")","(non usato)")</f>
        <v>v/Q (Q=250)</v>
      </c>
      <c r="E24" s="4" t="str">
        <f>IF(E22&gt;0,"v/Q (Q="&amp;E22&amp;")","(non usato)")</f>
        <v>v/Q (Q=300)</v>
      </c>
      <c r="F24" s="4" t="str">
        <f>IF(F22&gt;0,"v/Q (Q="&amp;F22&amp;")","(non usato)")</f>
        <v>(non usato)</v>
      </c>
      <c r="G24" s="4" t="s">
        <v>228</v>
      </c>
      <c r="H24" s="4" t="s">
        <v>229</v>
      </c>
      <c r="I24" s="4" t="s">
        <v>179</v>
      </c>
      <c r="J24" s="4" t="s">
        <v>180</v>
      </c>
      <c r="K24" s="4" t="s">
        <v>181</v>
      </c>
      <c r="L24" s="4" t="s">
        <v>182</v>
      </c>
      <c r="M24" s="4" t="s">
        <v>183</v>
      </c>
    </row>
    <row r="25" spans="1:13" x14ac:dyDescent="0.25">
      <c r="A25" s="9">
        <v>0.5</v>
      </c>
      <c r="B25" s="34">
        <f>IF(I25="","",IFERROR(EXP(LN(INDEX(H_CFD_L1000!$C$10:$C$309,I25))+(LN($A25)-LN(INDEX(H_CFD_L1000!$A$10:$A$309,I25)))*(LN(INDEX(H_CFD_L1000!$C$10:$C$309,I25+1))-LN(INDEX(H_CFD_L1000!$C$10:$C$309,I25)))/(LN(INDEX(H_CFD_L1000!$A$10:$A$309,I25+1))-LN(INDEX(H_CFD_L1000!$A$10:$A$309,I25)))),""))</f>
        <v>3.5544910610362667E-3</v>
      </c>
      <c r="C25" s="34">
        <f>IF(J25="","",IFERROR(EXP(LN(INDEX(H_CFD_L1000!$G$10:$G$309,J25))+(LN($A25)-LN(INDEX(H_CFD_L1000!$E$10:$E$309,J25)))*(LN(INDEX(H_CFD_L1000!$G$10:$G$309,J25+1))-LN(INDEX(H_CFD_L1000!$G$10:$G$309,J25)))/(LN(INDEX(H_CFD_L1000!$E$10:$E$309,J25+1))-LN(INDEX(H_CFD_L1000!$E$10:$E$309,J25)))),""))</f>
        <v>3.0713531450618529E-3</v>
      </c>
      <c r="D25" s="34">
        <f>IF(K25="","",IFERROR(EXP(LN(INDEX(H_CFD_L1000!$K$10:$K$309,K25))+(LN($A25)-LN(INDEX(H_CFD_L1000!$I$10:$I$309,K25)))*(LN(INDEX(H_CFD_L1000!$K$10:$K$309,K25+1))-LN(INDEX(H_CFD_L1000!$K$10:$K$309,K25)))/(LN(INDEX(H_CFD_L1000!$I$10:$I$309,K25+1))-LN(INDEX(H_CFD_L1000!$I$10:$I$309,K25)))),""))</f>
        <v>2.5071129134878315E-3</v>
      </c>
      <c r="E25" s="34">
        <f>IF(L25="","",IFERROR(EXP(LN(INDEX(H_CFD_L1000!$O$10:$O$309,L25))+(LN($A25)-LN(INDEX(H_CFD_L1000!$M$10:$M$309,L25)))*(LN(INDEX(H_CFD_L1000!$O$10:$O$309,L25+1))-LN(INDEX(H_CFD_L1000!$O$10:$O$309,L25)))/(LN(INDEX(H_CFD_L1000!$M$10:$M$309,L25+1))-LN(INDEX(H_CFD_L1000!$M$10:$M$309,L25)))),""))</f>
        <v>2.4944186612982444E-3</v>
      </c>
      <c r="F25" s="34" t="str">
        <f>IF(M25="","",IFERROR(EXP(LN(INDEX(H_CFD_L1000!$S$10:$S$309,M25))+(LN($A25)-LN(INDEX(H_CFD_L1000!$Q$10:$Q$309,M25)))*(LN(INDEX(H_CFD_L1000!$S$10:$S$309,M25+1))-LN(INDEX(H_CFD_L1000!$S$10:$S$309,M25)))/(LN(INDEX(H_CFD_L1000!$Q$10:$Q$309,M25+1))-LN(INDEX(H_CFD_L1000!$Q$10:$Q$309,M25)))),""))</f>
        <v/>
      </c>
      <c r="G25" s="34">
        <f t="shared" ref="G25:G35" si="2">IFERROR(AVERAGE(B25:F25),"")</f>
        <v>2.9068439452210491E-3</v>
      </c>
      <c r="H25" s="45">
        <f t="shared" ref="H25:H35" si="3">IFERROR((MAX(B25:F25)-MIN(B25:F25))/G25,"")</f>
        <v>0.36468156520091749</v>
      </c>
      <c r="I25" s="18">
        <f>IF(OR(B$22&lt;=0,$A25&gt;=MAX(H_CFD_L1000!$A$10:$A$309)),"",IFERROR(MATCH($A25,INDEX(H_CFD_L1000!$A$10:$A$309,1):INDEX(H_CFD_L1000!$A$10:$A$309,COUNT(H_CFD_L1000!$A$10:$A$309)),1),""))</f>
        <v>16</v>
      </c>
      <c r="J25" s="18">
        <f>IF(OR(C$22&lt;=0,$A25&gt;=MAX(H_CFD_L1000!$E$10:$E$309)),"",IFERROR(MATCH($A25,INDEX(H_CFD_L1000!$E$10:$E$309,1):INDEX(H_CFD_L1000!$E$10:$E$309,COUNT(H_CFD_L1000!$E$10:$E$309)),1),""))</f>
        <v>15</v>
      </c>
      <c r="K25" s="18">
        <f>IF(OR(D$22&lt;=0,$A25&gt;=MAX(H_CFD_L1000!$I$10:$I$309)),"",IFERROR(MATCH($A25,INDEX(H_CFD_L1000!$I$10:$I$309,1):INDEX(H_CFD_L1000!$I$10:$I$309,COUNT(H_CFD_L1000!$I$10:$I$309)),1),""))</f>
        <v>14</v>
      </c>
      <c r="L25" s="18">
        <f>IF(OR(E$22&lt;=0,$A25&gt;=MAX(H_CFD_L1000!$M$10:$M$309)),"",IFERROR(MATCH($A25,INDEX(H_CFD_L1000!$M$10:$M$309,1):INDEX(H_CFD_L1000!$M$10:$M$309,COUNT(H_CFD_L1000!$M$10:$M$309)),1),""))</f>
        <v>14</v>
      </c>
      <c r="M25" s="18" t="str">
        <f>IF(OR(F$22&lt;=0,$A25&gt;=MAX(H_CFD_L1000!$Q$10:$Q$309)),"",IFERROR(MATCH($A25,INDEX(H_CFD_L1000!$Q$10:$Q$309,1):INDEX(H_CFD_L1000!$Q$10:$Q$309,COUNT(H_CFD_L1000!$Q$10:$Q$309)),1),""))</f>
        <v/>
      </c>
    </row>
    <row r="26" spans="1:13" x14ac:dyDescent="0.25">
      <c r="A26" s="9">
        <v>1</v>
      </c>
      <c r="B26" s="34">
        <f>IF(I26="","",IFERROR(EXP(LN(INDEX(H_CFD_L1000!$C$10:$C$309,I26))+(LN($A26)-LN(INDEX(H_CFD_L1000!$A$10:$A$309,I26)))*(LN(INDEX(H_CFD_L1000!$C$10:$C$309,I26+1))-LN(INDEX(H_CFD_L1000!$C$10:$C$309,I26)))/(LN(INDEX(H_CFD_L1000!$A$10:$A$309,I26+1))-LN(INDEX(H_CFD_L1000!$A$10:$A$309,I26)))),""))</f>
        <v>3.1946961141226236E-3</v>
      </c>
      <c r="C26" s="34">
        <f>IF(J26="","",IFERROR(EXP(LN(INDEX(H_CFD_L1000!$G$10:$G$309,J26))+(LN($A26)-LN(INDEX(H_CFD_L1000!$E$10:$E$309,J26)))*(LN(INDEX(H_CFD_L1000!$G$10:$G$309,J26+1))-LN(INDEX(H_CFD_L1000!$G$10:$G$309,J26)))/(LN(INDEX(H_CFD_L1000!$E$10:$E$309,J26+1))-LN(INDEX(H_CFD_L1000!$E$10:$E$309,J26)))),""))</f>
        <v>3.0087251054611254E-3</v>
      </c>
      <c r="D26" s="34">
        <f>IF(K26="","",IFERROR(EXP(LN(INDEX(H_CFD_L1000!$K$10:$K$309,K26))+(LN($A26)-LN(INDEX(H_CFD_L1000!$I$10:$I$309,K26)))*(LN(INDEX(H_CFD_L1000!$K$10:$K$309,K26+1))-LN(INDEX(H_CFD_L1000!$K$10:$K$309,K26)))/(LN(INDEX(H_CFD_L1000!$I$10:$I$309,K26+1))-LN(INDEX(H_CFD_L1000!$I$10:$I$309,K26)))),""))</f>
        <v>2.9702048844447147E-3</v>
      </c>
      <c r="E26" s="34">
        <f>IF(L26="","",IFERROR(EXP(LN(INDEX(H_CFD_L1000!$O$10:$O$309,L26))+(LN($A26)-LN(INDEX(H_CFD_L1000!$M$10:$M$309,L26)))*(LN(INDEX(H_CFD_L1000!$O$10:$O$309,L26+1))-LN(INDEX(H_CFD_L1000!$O$10:$O$309,L26)))/(LN(INDEX(H_CFD_L1000!$M$10:$M$309,L26+1))-LN(INDEX(H_CFD_L1000!$M$10:$M$309,L26)))),""))</f>
        <v>2.9778702307120043E-3</v>
      </c>
      <c r="F26" s="34" t="str">
        <f>IF(M26="","",IFERROR(EXP(LN(INDEX(H_CFD_L1000!$S$10:$S$309,M26))+(LN($A26)-LN(INDEX(H_CFD_L1000!$Q$10:$Q$309,M26)))*(LN(INDEX(H_CFD_L1000!$S$10:$S$309,M26+1))-LN(INDEX(H_CFD_L1000!$S$10:$S$309,M26)))/(LN(INDEX(H_CFD_L1000!$Q$10:$Q$309,M26+1))-LN(INDEX(H_CFD_L1000!$Q$10:$Q$309,M26)))),""))</f>
        <v/>
      </c>
      <c r="G26" s="34">
        <f t="shared" si="2"/>
        <v>3.0378740836851169E-3</v>
      </c>
      <c r="H26" s="45">
        <f t="shared" si="3"/>
        <v>7.3897476818916757E-2</v>
      </c>
      <c r="I26" s="18">
        <f>IF(OR(B$22&lt;=0,$A26&gt;=MAX(H_CFD_L1000!$A$10:$A$309)),"",IFERROR(MATCH($A26,INDEX(H_CFD_L1000!$A$10:$A$309,1):INDEX(H_CFD_L1000!$A$10:$A$309,COUNT(H_CFD_L1000!$A$10:$A$309)),1),""))</f>
        <v>31</v>
      </c>
      <c r="J26" s="18">
        <f>IF(OR(C$22&lt;=0,$A26&gt;=MAX(H_CFD_L1000!$E$10:$E$309)),"",IFERROR(MATCH($A26,INDEX(H_CFD_L1000!$E$10:$E$309,1):INDEX(H_CFD_L1000!$E$10:$E$309,COUNT(H_CFD_L1000!$E$10:$E$309)),1),""))</f>
        <v>30</v>
      </c>
      <c r="K26" s="18">
        <f>IF(OR(D$22&lt;=0,$A26&gt;=MAX(H_CFD_L1000!$I$10:$I$309)),"",IFERROR(MATCH($A26,INDEX(H_CFD_L1000!$I$10:$I$309,1):INDEX(H_CFD_L1000!$I$10:$I$309,COUNT(H_CFD_L1000!$I$10:$I$309)),1),""))</f>
        <v>27</v>
      </c>
      <c r="L26" s="18">
        <f>IF(OR(E$22&lt;=0,$A26&gt;=MAX(H_CFD_L1000!$M$10:$M$309)),"",IFERROR(MATCH($A26,INDEX(H_CFD_L1000!$M$10:$M$309,1):INDEX(H_CFD_L1000!$M$10:$M$309,COUNT(H_CFD_L1000!$M$10:$M$309)),1),""))</f>
        <v>27</v>
      </c>
      <c r="M26" s="18" t="str">
        <f>IF(OR(F$22&lt;=0,$A26&gt;=MAX(H_CFD_L1000!$Q$10:$Q$309)),"",IFERROR(MATCH($A26,INDEX(H_CFD_L1000!$Q$10:$Q$309,1):INDEX(H_CFD_L1000!$Q$10:$Q$309,COUNT(H_CFD_L1000!$Q$10:$Q$309)),1),""))</f>
        <v/>
      </c>
    </row>
    <row r="27" spans="1:13" x14ac:dyDescent="0.25">
      <c r="A27" s="9">
        <v>1.5</v>
      </c>
      <c r="B27" s="34">
        <f>IF(I27="","",IFERROR(EXP(LN(INDEX(H_CFD_L1000!$C$10:$C$309,I27))+(LN($A27)-LN(INDEX(H_CFD_L1000!$A$10:$A$309,I27)))*(LN(INDEX(H_CFD_L1000!$C$10:$C$309,I27+1))-LN(INDEX(H_CFD_L1000!$C$10:$C$309,I27)))/(LN(INDEX(H_CFD_L1000!$A$10:$A$309,I27+1))-LN(INDEX(H_CFD_L1000!$A$10:$A$309,I27)))),""))</f>
        <v>2.6292832524578316E-3</v>
      </c>
      <c r="C27" s="34">
        <f>IF(J27="","",IFERROR(EXP(LN(INDEX(H_CFD_L1000!$G$10:$G$309,J27))+(LN($A27)-LN(INDEX(H_CFD_L1000!$E$10:$E$309,J27)))*(LN(INDEX(H_CFD_L1000!$G$10:$G$309,J27+1))-LN(INDEX(H_CFD_L1000!$G$10:$G$309,J27)))/(LN(INDEX(H_CFD_L1000!$E$10:$E$309,J27+1))-LN(INDEX(H_CFD_L1000!$E$10:$E$309,J27)))),""))</f>
        <v>2.7079254677826576E-3</v>
      </c>
      <c r="D27" s="34">
        <f>IF(K27="","",IFERROR(EXP(LN(INDEX(H_CFD_L1000!$K$10:$K$309,K27))+(LN($A27)-LN(INDEX(H_CFD_L1000!$I$10:$I$309,K27)))*(LN(INDEX(H_CFD_L1000!$K$10:$K$309,K27+1))-LN(INDEX(H_CFD_L1000!$K$10:$K$309,K27)))/(LN(INDEX(H_CFD_L1000!$I$10:$I$309,K27+1))-LN(INDEX(H_CFD_L1000!$I$10:$I$309,K27)))),""))</f>
        <v>2.8968144765063723E-3</v>
      </c>
      <c r="E27" s="34">
        <f>IF(L27="","",IFERROR(EXP(LN(INDEX(H_CFD_L1000!$O$10:$O$309,L27))+(LN($A27)-LN(INDEX(H_CFD_L1000!$M$10:$M$309,L27)))*(LN(INDEX(H_CFD_L1000!$O$10:$O$309,L27+1))-LN(INDEX(H_CFD_L1000!$O$10:$O$309,L27)))/(LN(INDEX(H_CFD_L1000!$M$10:$M$309,L27+1))-LN(INDEX(H_CFD_L1000!$M$10:$M$309,L27)))),""))</f>
        <v>2.9447090912320551E-3</v>
      </c>
      <c r="F27" s="34" t="str">
        <f>IF(M27="","",IFERROR(EXP(LN(INDEX(H_CFD_L1000!$S$10:$S$309,M27))+(LN($A27)-LN(INDEX(H_CFD_L1000!$Q$10:$Q$309,M27)))*(LN(INDEX(H_CFD_L1000!$S$10:$S$309,M27+1))-LN(INDEX(H_CFD_L1000!$S$10:$S$309,M27)))/(LN(INDEX(H_CFD_L1000!$Q$10:$Q$309,M27+1))-LN(INDEX(H_CFD_L1000!$Q$10:$Q$309,M27)))),""))</f>
        <v/>
      </c>
      <c r="G27" s="34">
        <f t="shared" si="2"/>
        <v>2.7946830719947293E-3</v>
      </c>
      <c r="H27" s="45">
        <f t="shared" si="3"/>
        <v>0.11286640762062712</v>
      </c>
      <c r="I27" s="18">
        <f>IF(OR(B$22&lt;=0,$A27&gt;=MAX(H_CFD_L1000!$A$10:$A$309)),"",IFERROR(MATCH($A27,INDEX(H_CFD_L1000!$A$10:$A$309,1):INDEX(H_CFD_L1000!$A$10:$A$309,COUNT(H_CFD_L1000!$A$10:$A$309)),1),""))</f>
        <v>47</v>
      </c>
      <c r="J27" s="18">
        <f>IF(OR(C$22&lt;=0,$A27&gt;=MAX(H_CFD_L1000!$E$10:$E$309)),"",IFERROR(MATCH($A27,INDEX(H_CFD_L1000!$E$10:$E$309,1):INDEX(H_CFD_L1000!$E$10:$E$309,COUNT(H_CFD_L1000!$E$10:$E$309)),1),""))</f>
        <v>44</v>
      </c>
      <c r="K27" s="18">
        <f>IF(OR(D$22&lt;=0,$A27&gt;=MAX(H_CFD_L1000!$I$10:$I$309)),"",IFERROR(MATCH($A27,INDEX(H_CFD_L1000!$I$10:$I$309,1):INDEX(H_CFD_L1000!$I$10:$I$309,COUNT(H_CFD_L1000!$I$10:$I$309)),1),""))</f>
        <v>40</v>
      </c>
      <c r="L27" s="18">
        <f>IF(OR(E$22&lt;=0,$A27&gt;=MAX(H_CFD_L1000!$M$10:$M$309)),"",IFERROR(MATCH($A27,INDEX(H_CFD_L1000!$M$10:$M$309,1):INDEX(H_CFD_L1000!$M$10:$M$309,COUNT(H_CFD_L1000!$M$10:$M$309)),1),""))</f>
        <v>40</v>
      </c>
      <c r="M27" s="18" t="str">
        <f>IF(OR(F$22&lt;=0,$A27&gt;=MAX(H_CFD_L1000!$Q$10:$Q$309)),"",IFERROR(MATCH($A27,INDEX(H_CFD_L1000!$Q$10:$Q$309,1):INDEX(H_CFD_L1000!$Q$10:$Q$309,COUNT(H_CFD_L1000!$Q$10:$Q$309)),1),""))</f>
        <v/>
      </c>
    </row>
    <row r="28" spans="1:13" x14ac:dyDescent="0.25">
      <c r="A28" s="9">
        <v>2</v>
      </c>
      <c r="B28" s="34">
        <f>IF(I28="","",IFERROR(EXP(LN(INDEX(H_CFD_L1000!$C$10:$C$309,I28))+(LN($A28)-LN(INDEX(H_CFD_L1000!$A$10:$A$309,I28)))*(LN(INDEX(H_CFD_L1000!$C$10:$C$309,I28+1))-LN(INDEX(H_CFD_L1000!$C$10:$C$309,I28)))/(LN(INDEX(H_CFD_L1000!$A$10:$A$309,I28+1))-LN(INDEX(H_CFD_L1000!$A$10:$A$309,I28)))),""))</f>
        <v>2.1054854778542408E-3</v>
      </c>
      <c r="C28" s="34">
        <f>IF(J28="","",IFERROR(EXP(LN(INDEX(H_CFD_L1000!$G$10:$G$309,J28))+(LN($A28)-LN(INDEX(H_CFD_L1000!$E$10:$E$309,J28)))*(LN(INDEX(H_CFD_L1000!$G$10:$G$309,J28+1))-LN(INDEX(H_CFD_L1000!$G$10:$G$309,J28)))/(LN(INDEX(H_CFD_L1000!$E$10:$E$309,J28+1))-LN(INDEX(H_CFD_L1000!$E$10:$E$309,J28)))),""))</f>
        <v>2.3229357315124894E-3</v>
      </c>
      <c r="D28" s="34">
        <f>IF(K28="","",IFERROR(EXP(LN(INDEX(H_CFD_L1000!$K$10:$K$309,K28))+(LN($A28)-LN(INDEX(H_CFD_L1000!$I$10:$I$309,K28)))*(LN(INDEX(H_CFD_L1000!$K$10:$K$309,K28+1))-LN(INDEX(H_CFD_L1000!$K$10:$K$309,K28)))/(LN(INDEX(H_CFD_L1000!$I$10:$I$309,K28+1))-LN(INDEX(H_CFD_L1000!$I$10:$I$309,K28)))),""))</f>
        <v>2.5960072260971124E-3</v>
      </c>
      <c r="E28" s="34">
        <f>IF(L28="","",IFERROR(EXP(LN(INDEX(H_CFD_L1000!$O$10:$O$309,L28))+(LN($A28)-LN(INDEX(H_CFD_L1000!$M$10:$M$309,L28)))*(LN(INDEX(H_CFD_L1000!$O$10:$O$309,L28+1))-LN(INDEX(H_CFD_L1000!$O$10:$O$309,L28)))/(LN(INDEX(H_CFD_L1000!$M$10:$M$309,L28+1))-LN(INDEX(H_CFD_L1000!$M$10:$M$309,L28)))),""))</f>
        <v>2.6858327140964317E-3</v>
      </c>
      <c r="F28" s="34" t="str">
        <f>IF(M28="","",IFERROR(EXP(LN(INDEX(H_CFD_L1000!$S$10:$S$309,M28))+(LN($A28)-LN(INDEX(H_CFD_L1000!$Q$10:$Q$309,M28)))*(LN(INDEX(H_CFD_L1000!$S$10:$S$309,M28+1))-LN(INDEX(H_CFD_L1000!$S$10:$S$309,M28)))/(LN(INDEX(H_CFD_L1000!$Q$10:$Q$309,M28+1))-LN(INDEX(H_CFD_L1000!$Q$10:$Q$309,M28)))),""))</f>
        <v/>
      </c>
      <c r="G28" s="34">
        <f t="shared" si="2"/>
        <v>2.4275652873900688E-3</v>
      </c>
      <c r="H28" s="45">
        <f t="shared" si="3"/>
        <v>0.23906555232800167</v>
      </c>
      <c r="I28" s="18">
        <f>IF(OR(B$22&lt;=0,$A28&gt;=MAX(H_CFD_L1000!$A$10:$A$309)),"",IFERROR(MATCH($A28,INDEX(H_CFD_L1000!$A$10:$A$309,1):INDEX(H_CFD_L1000!$A$10:$A$309,COUNT(H_CFD_L1000!$A$10:$A$309)),1),""))</f>
        <v>62</v>
      </c>
      <c r="J28" s="18">
        <f>IF(OR(C$22&lt;=0,$A28&gt;=MAX(H_CFD_L1000!$E$10:$E$309)),"",IFERROR(MATCH($A28,INDEX(H_CFD_L1000!$E$10:$E$309,1):INDEX(H_CFD_L1000!$E$10:$E$309,COUNT(H_CFD_L1000!$E$10:$E$309)),1),""))</f>
        <v>59</v>
      </c>
      <c r="K28" s="18">
        <f>IF(OR(D$22&lt;=0,$A28&gt;=MAX(H_CFD_L1000!$I$10:$I$309)),"",IFERROR(MATCH($A28,INDEX(H_CFD_L1000!$I$10:$I$309,1):INDEX(H_CFD_L1000!$I$10:$I$309,COUNT(H_CFD_L1000!$I$10:$I$309)),1),""))</f>
        <v>53</v>
      </c>
      <c r="L28" s="18">
        <f>IF(OR(E$22&lt;=0,$A28&gt;=MAX(H_CFD_L1000!$M$10:$M$309)),"",IFERROR(MATCH($A28,INDEX(H_CFD_L1000!$M$10:$M$309,1):INDEX(H_CFD_L1000!$M$10:$M$309,COUNT(H_CFD_L1000!$M$10:$M$309)),1),""))</f>
        <v>53</v>
      </c>
      <c r="M28" s="18" t="str">
        <f>IF(OR(F$22&lt;=0,$A28&gt;=MAX(H_CFD_L1000!$Q$10:$Q$309)),"",IFERROR(MATCH($A28,INDEX(H_CFD_L1000!$Q$10:$Q$309,1):INDEX(H_CFD_L1000!$Q$10:$Q$309,COUNT(H_CFD_L1000!$Q$10:$Q$309)),1),""))</f>
        <v/>
      </c>
    </row>
    <row r="29" spans="1:13" x14ac:dyDescent="0.25">
      <c r="A29" s="9">
        <v>2.5</v>
      </c>
      <c r="B29" s="34">
        <f>IF(I29="","",IFERROR(EXP(LN(INDEX(H_CFD_L1000!$C$10:$C$309,I29))+(LN($A29)-LN(INDEX(H_CFD_L1000!$A$10:$A$309,I29)))*(LN(INDEX(H_CFD_L1000!$C$10:$C$309,I29+1))-LN(INDEX(H_CFD_L1000!$C$10:$C$309,I29)))/(LN(INDEX(H_CFD_L1000!$A$10:$A$309,I29+1))-LN(INDEX(H_CFD_L1000!$A$10:$A$309,I29)))),""))</f>
        <v>1.706233049713894E-3</v>
      </c>
      <c r="C29" s="34">
        <f>IF(J29="","",IFERROR(EXP(LN(INDEX(H_CFD_L1000!$G$10:$G$309,J29))+(LN($A29)-LN(INDEX(H_CFD_L1000!$E$10:$E$309,J29)))*(LN(INDEX(H_CFD_L1000!$G$10:$G$309,J29+1))-LN(INDEX(H_CFD_L1000!$G$10:$G$309,J29)))/(LN(INDEX(H_CFD_L1000!$E$10:$E$309,J29+1))-LN(INDEX(H_CFD_L1000!$E$10:$E$309,J29)))),""))</f>
        <v>2.1183357236256571E-3</v>
      </c>
      <c r="D29" s="34">
        <f>IF(K29="","",IFERROR(EXP(LN(INDEX(H_CFD_L1000!$K$10:$K$309,K29))+(LN($A29)-LN(INDEX(H_CFD_L1000!$I$10:$I$309,K29)))*(LN(INDEX(H_CFD_L1000!$K$10:$K$309,K29+1))-LN(INDEX(H_CFD_L1000!$K$10:$K$309,K29)))/(LN(INDEX(H_CFD_L1000!$I$10:$I$309,K29+1))-LN(INDEX(H_CFD_L1000!$I$10:$I$309,K29)))),""))</f>
        <v>2.3109362939638966E-3</v>
      </c>
      <c r="E29" s="34">
        <f>IF(L29="","",IFERROR(EXP(LN(INDEX(H_CFD_L1000!$O$10:$O$309,L29))+(LN($A29)-LN(INDEX(H_CFD_L1000!$M$10:$M$309,L29)))*(LN(INDEX(H_CFD_L1000!$O$10:$O$309,L29+1))-LN(INDEX(H_CFD_L1000!$O$10:$O$309,L29)))/(LN(INDEX(H_CFD_L1000!$M$10:$M$309,L29+1))-LN(INDEX(H_CFD_L1000!$M$10:$M$309,L29)))),""))</f>
        <v>2.4161634594745962E-3</v>
      </c>
      <c r="F29" s="34" t="str">
        <f>IF(M29="","",IFERROR(EXP(LN(INDEX(H_CFD_L1000!$S$10:$S$309,M29))+(LN($A29)-LN(INDEX(H_CFD_L1000!$Q$10:$Q$309,M29)))*(LN(INDEX(H_CFD_L1000!$S$10:$S$309,M29+1))-LN(INDEX(H_CFD_L1000!$S$10:$S$309,M29)))/(LN(INDEX(H_CFD_L1000!$Q$10:$Q$309,M29+1))-LN(INDEX(H_CFD_L1000!$Q$10:$Q$309,M29)))),""))</f>
        <v/>
      </c>
      <c r="G29" s="34">
        <f t="shared" si="2"/>
        <v>2.1379171316945108E-3</v>
      </c>
      <c r="H29" s="45">
        <f t="shared" si="3"/>
        <v>0.33206638332048549</v>
      </c>
      <c r="I29" s="18">
        <f>IF(OR(B$22&lt;=0,$A29&gt;=MAX(H_CFD_L1000!$A$10:$A$309)),"",IFERROR(MATCH($A29,INDEX(H_CFD_L1000!$A$10:$A$309,1):INDEX(H_CFD_L1000!$A$10:$A$309,COUNT(H_CFD_L1000!$A$10:$A$309)),1),""))</f>
        <v>77</v>
      </c>
      <c r="J29" s="18">
        <f>IF(OR(C$22&lt;=0,$A29&gt;=MAX(H_CFD_L1000!$E$10:$E$309)),"",IFERROR(MATCH($A29,INDEX(H_CFD_L1000!$E$10:$E$309,1):INDEX(H_CFD_L1000!$E$10:$E$309,COUNT(H_CFD_L1000!$E$10:$E$309)),1),""))</f>
        <v>74</v>
      </c>
      <c r="K29" s="18">
        <f>IF(OR(D$22&lt;=0,$A29&gt;=MAX(H_CFD_L1000!$I$10:$I$309)),"",IFERROR(MATCH($A29,INDEX(H_CFD_L1000!$I$10:$I$309,1):INDEX(H_CFD_L1000!$I$10:$I$309,COUNT(H_CFD_L1000!$I$10:$I$309)),1),""))</f>
        <v>66</v>
      </c>
      <c r="L29" s="18">
        <f>IF(OR(E$22&lt;=0,$A29&gt;=MAX(H_CFD_L1000!$M$10:$M$309)),"",IFERROR(MATCH($A29,INDEX(H_CFD_L1000!$M$10:$M$309,1):INDEX(H_CFD_L1000!$M$10:$M$309,COUNT(H_CFD_L1000!$M$10:$M$309)),1),""))</f>
        <v>66</v>
      </c>
      <c r="M29" s="18" t="str">
        <f>IF(OR(F$22&lt;=0,$A29&gt;=MAX(H_CFD_L1000!$Q$10:$Q$309)),"",IFERROR(MATCH($A29,INDEX(H_CFD_L1000!$Q$10:$Q$309,1):INDEX(H_CFD_L1000!$Q$10:$Q$309,COUNT(H_CFD_L1000!$Q$10:$Q$309)),1),""))</f>
        <v/>
      </c>
    </row>
    <row r="30" spans="1:13" x14ac:dyDescent="0.25">
      <c r="A30" s="9">
        <v>3</v>
      </c>
      <c r="B30" s="34">
        <f>IF(I30="","",IFERROR(EXP(LN(INDEX(H_CFD_L1000!$C$10:$C$309,I30))+(LN($A30)-LN(INDEX(H_CFD_L1000!$A$10:$A$309,I30)))*(LN(INDEX(H_CFD_L1000!$C$10:$C$309,I30+1))-LN(INDEX(H_CFD_L1000!$C$10:$C$309,I30)))/(LN(INDEX(H_CFD_L1000!$A$10:$A$309,I30+1))-LN(INDEX(H_CFD_L1000!$A$10:$A$309,I30)))),""))</f>
        <v>1.4603097155902567E-3</v>
      </c>
      <c r="C30" s="34">
        <f>IF(J30="","",IFERROR(EXP(LN(INDEX(H_CFD_L1000!$G$10:$G$309,J30))+(LN($A30)-LN(INDEX(H_CFD_L1000!$E$10:$E$309,J30)))*(LN(INDEX(H_CFD_L1000!$G$10:$G$309,J30+1))-LN(INDEX(H_CFD_L1000!$G$10:$G$309,J30)))/(LN(INDEX(H_CFD_L1000!$E$10:$E$309,J30+1))-LN(INDEX(H_CFD_L1000!$E$10:$E$309,J30)))),""))</f>
        <v>1.9535089375084308E-3</v>
      </c>
      <c r="D30" s="34">
        <f>IF(K30="","",IFERROR(EXP(LN(INDEX(H_CFD_L1000!$K$10:$K$309,K30))+(LN($A30)-LN(INDEX(H_CFD_L1000!$I$10:$I$309,K30)))*(LN(INDEX(H_CFD_L1000!$K$10:$K$309,K30+1))-LN(INDEX(H_CFD_L1000!$K$10:$K$309,K30)))/(LN(INDEX(H_CFD_L1000!$I$10:$I$309,K30+1))-LN(INDEX(H_CFD_L1000!$I$10:$I$309,K30)))),""))</f>
        <v>2.0711336841044651E-3</v>
      </c>
      <c r="E30" s="34">
        <f>IF(L30="","",IFERROR(EXP(LN(INDEX(H_CFD_L1000!$O$10:$O$309,L30))+(LN($A30)-LN(INDEX(H_CFD_L1000!$M$10:$M$309,L30)))*(LN(INDEX(H_CFD_L1000!$O$10:$O$309,L30+1))-LN(INDEX(H_CFD_L1000!$O$10:$O$309,L30)))/(LN(INDEX(H_CFD_L1000!$M$10:$M$309,L30+1))-LN(INDEX(H_CFD_L1000!$M$10:$M$309,L30)))),""))</f>
        <v>2.1718923143481663E-3</v>
      </c>
      <c r="F30" s="34" t="str">
        <f>IF(M30="","",IFERROR(EXP(LN(INDEX(H_CFD_L1000!$S$10:$S$309,M30))+(LN($A30)-LN(INDEX(H_CFD_L1000!$Q$10:$Q$309,M30)))*(LN(INDEX(H_CFD_L1000!$S$10:$S$309,M30+1))-LN(INDEX(H_CFD_L1000!$S$10:$S$309,M30)))/(LN(INDEX(H_CFD_L1000!$Q$10:$Q$309,M30+1))-LN(INDEX(H_CFD_L1000!$Q$10:$Q$309,M30)))),""))</f>
        <v/>
      </c>
      <c r="G30" s="34">
        <f t="shared" si="2"/>
        <v>1.9142111628878296E-3</v>
      </c>
      <c r="H30" s="45">
        <f t="shared" si="3"/>
        <v>0.37173673028026716</v>
      </c>
      <c r="I30" s="18">
        <f>IF(OR(B$22&lt;=0,$A30&gt;=MAX(H_CFD_L1000!$A$10:$A$309)),"",IFERROR(MATCH($A30,INDEX(H_CFD_L1000!$A$10:$A$309,1):INDEX(H_CFD_L1000!$A$10:$A$309,COUNT(H_CFD_L1000!$A$10:$A$309)),1),""))</f>
        <v>93</v>
      </c>
      <c r="J30" s="18">
        <f>IF(OR(C$22&lt;=0,$A30&gt;=MAX(H_CFD_L1000!$E$10:$E$309)),"",IFERROR(MATCH($A30,INDEX(H_CFD_L1000!$E$10:$E$309,1):INDEX(H_CFD_L1000!$E$10:$E$309,COUNT(H_CFD_L1000!$E$10:$E$309)),1),""))</f>
        <v>88</v>
      </c>
      <c r="K30" s="18">
        <f>IF(OR(D$22&lt;=0,$A30&gt;=MAX(H_CFD_L1000!$I$10:$I$309)),"",IFERROR(MATCH($A30,INDEX(H_CFD_L1000!$I$10:$I$309,1):INDEX(H_CFD_L1000!$I$10:$I$309,COUNT(H_CFD_L1000!$I$10:$I$309)),1),""))</f>
        <v>79</v>
      </c>
      <c r="L30" s="18">
        <f>IF(OR(E$22&lt;=0,$A30&gt;=MAX(H_CFD_L1000!$M$10:$M$309)),"",IFERROR(MATCH($A30,INDEX(H_CFD_L1000!$M$10:$M$309,1):INDEX(H_CFD_L1000!$M$10:$M$309,COUNT(H_CFD_L1000!$M$10:$M$309)),1),""))</f>
        <v>79</v>
      </c>
      <c r="M30" s="18" t="str">
        <f>IF(OR(F$22&lt;=0,$A30&gt;=MAX(H_CFD_L1000!$Q$10:$Q$309)),"",IFERROR(MATCH($A30,INDEX(H_CFD_L1000!$Q$10:$Q$309,1):INDEX(H_CFD_L1000!$Q$10:$Q$309,COUNT(H_CFD_L1000!$Q$10:$Q$309)),1),""))</f>
        <v/>
      </c>
    </row>
    <row r="31" spans="1:13" x14ac:dyDescent="0.25">
      <c r="A31" s="9">
        <v>3.5</v>
      </c>
      <c r="B31" s="34">
        <f>IF(I31="","",IFERROR(EXP(LN(INDEX(H_CFD_L1000!$C$10:$C$309,I31))+(LN($A31)-LN(INDEX(H_CFD_L1000!$A$10:$A$309,I31)))*(LN(INDEX(H_CFD_L1000!$C$10:$C$309,I31+1))-LN(INDEX(H_CFD_L1000!$C$10:$C$309,I31)))/(LN(INDEX(H_CFD_L1000!$A$10:$A$309,I31+1))-LN(INDEX(H_CFD_L1000!$A$10:$A$309,I31)))),""))</f>
        <v>1.299855691728696E-3</v>
      </c>
      <c r="C31" s="34">
        <f>IF(J31="","",IFERROR(EXP(LN(INDEX(H_CFD_L1000!$G$10:$G$309,J31))+(LN($A31)-LN(INDEX(H_CFD_L1000!$E$10:$E$309,J31)))*(LN(INDEX(H_CFD_L1000!$G$10:$G$309,J31+1))-LN(INDEX(H_CFD_L1000!$G$10:$G$309,J31)))/(LN(INDEX(H_CFD_L1000!$E$10:$E$309,J31+1))-LN(INDEX(H_CFD_L1000!$E$10:$E$309,J31)))),""))</f>
        <v>1.630968950377121E-3</v>
      </c>
      <c r="D31" s="34">
        <f>IF(K31="","",IFERROR(EXP(LN(INDEX(H_CFD_L1000!$K$10:$K$309,K31))+(LN($A31)-LN(INDEX(H_CFD_L1000!$I$10:$I$309,K31)))*(LN(INDEX(H_CFD_L1000!$K$10:$K$309,K31+1))-LN(INDEX(H_CFD_L1000!$K$10:$K$309,K31)))/(LN(INDEX(H_CFD_L1000!$I$10:$I$309,K31+1))-LN(INDEX(H_CFD_L1000!$I$10:$I$309,K31)))),""))</f>
        <v>1.8849075396361306E-3</v>
      </c>
      <c r="E31" s="34">
        <f>IF(L31="","",IFERROR(EXP(LN(INDEX(H_CFD_L1000!$O$10:$O$309,L31))+(LN($A31)-LN(INDEX(H_CFD_L1000!$M$10:$M$309,L31)))*(LN(INDEX(H_CFD_L1000!$O$10:$O$309,L31+1))-LN(INDEX(H_CFD_L1000!$O$10:$O$309,L31)))/(LN(INDEX(H_CFD_L1000!$M$10:$M$309,L31+1))-LN(INDEX(H_CFD_L1000!$M$10:$M$309,L31)))),""))</f>
        <v>1.9675442563954456E-3</v>
      </c>
      <c r="F31" s="34" t="str">
        <f>IF(M31="","",IFERROR(EXP(LN(INDEX(H_CFD_L1000!$S$10:$S$309,M31))+(LN($A31)-LN(INDEX(H_CFD_L1000!$Q$10:$Q$309,M31)))*(LN(INDEX(H_CFD_L1000!$S$10:$S$309,M31+1))-LN(INDEX(H_CFD_L1000!$S$10:$S$309,M31)))/(LN(INDEX(H_CFD_L1000!$Q$10:$Q$309,M31+1))-LN(INDEX(H_CFD_L1000!$Q$10:$Q$309,M31)))),""))</f>
        <v/>
      </c>
      <c r="G31" s="34">
        <f t="shared" si="2"/>
        <v>1.6958191095343483E-3</v>
      </c>
      <c r="H31" s="45">
        <f t="shared" si="3"/>
        <v>0.39372628891420436</v>
      </c>
      <c r="I31" s="18">
        <f>IF(OR(B$22&lt;=0,$A31&gt;=MAX(H_CFD_L1000!$A$10:$A$309)),"",IFERROR(MATCH($A31,INDEX(H_CFD_L1000!$A$10:$A$309,1):INDEX(H_CFD_L1000!$A$10:$A$309,COUNT(H_CFD_L1000!$A$10:$A$309)),1),""))</f>
        <v>108</v>
      </c>
      <c r="J31" s="18">
        <f>IF(OR(C$22&lt;=0,$A31&gt;=MAX(H_CFD_L1000!$E$10:$E$309)),"",IFERROR(MATCH($A31,INDEX(H_CFD_L1000!$E$10:$E$309,1):INDEX(H_CFD_L1000!$E$10:$E$309,COUNT(H_CFD_L1000!$E$10:$E$309)),1),""))</f>
        <v>103</v>
      </c>
      <c r="K31" s="18">
        <f>IF(OR(D$22&lt;=0,$A31&gt;=MAX(H_CFD_L1000!$I$10:$I$309)),"",IFERROR(MATCH($A31,INDEX(H_CFD_L1000!$I$10:$I$309,1):INDEX(H_CFD_L1000!$I$10:$I$309,COUNT(H_CFD_L1000!$I$10:$I$309)),1),""))</f>
        <v>92</v>
      </c>
      <c r="L31" s="18">
        <f>IF(OR(E$22&lt;=0,$A31&gt;=MAX(H_CFD_L1000!$M$10:$M$309)),"",IFERROR(MATCH($A31,INDEX(H_CFD_L1000!$M$10:$M$309,1):INDEX(H_CFD_L1000!$M$10:$M$309,COUNT(H_CFD_L1000!$M$10:$M$309)),1),""))</f>
        <v>92</v>
      </c>
      <c r="M31" s="18" t="str">
        <f>IF(OR(F$22&lt;=0,$A31&gt;=MAX(H_CFD_L1000!$Q$10:$Q$309)),"",IFERROR(MATCH($A31,INDEX(H_CFD_L1000!$Q$10:$Q$309,1):INDEX(H_CFD_L1000!$Q$10:$Q$309,COUNT(H_CFD_L1000!$Q$10:$Q$309)),1),""))</f>
        <v/>
      </c>
    </row>
    <row r="32" spans="1:13" x14ac:dyDescent="0.25">
      <c r="A32" s="9">
        <v>4</v>
      </c>
      <c r="B32" s="34">
        <f>IF(I32="","",IFERROR(EXP(LN(INDEX(H_CFD_L1000!$C$10:$C$309,I32))+(LN($A32)-LN(INDEX(H_CFD_L1000!$A$10:$A$309,I32)))*(LN(INDEX(H_CFD_L1000!$C$10:$C$309,I32+1))-LN(INDEX(H_CFD_L1000!$C$10:$C$309,I32)))/(LN(INDEX(H_CFD_L1000!$A$10:$A$309,I32+1))-LN(INDEX(H_CFD_L1000!$A$10:$A$309,I32)))),""))</f>
        <v>1.1345810905057819E-3</v>
      </c>
      <c r="C32" s="34">
        <f>IF(J32="","",IFERROR(EXP(LN(INDEX(H_CFD_L1000!$G$10:$G$309,J32))+(LN($A32)-LN(INDEX(H_CFD_L1000!$E$10:$E$309,J32)))*(LN(INDEX(H_CFD_L1000!$G$10:$G$309,J32+1))-LN(INDEX(H_CFD_L1000!$G$10:$G$309,J32)))/(LN(INDEX(H_CFD_L1000!$E$10:$E$309,J32+1))-LN(INDEX(H_CFD_L1000!$E$10:$E$309,J32)))),""))</f>
        <v>1.1399163405331613E-3</v>
      </c>
      <c r="D32" s="34">
        <f>IF(K32="","",IFERROR(EXP(LN(INDEX(H_CFD_L1000!$K$10:$K$309,K32))+(LN($A32)-LN(INDEX(H_CFD_L1000!$I$10:$I$309,K32)))*(LN(INDEX(H_CFD_L1000!$K$10:$K$309,K32+1))-LN(INDEX(H_CFD_L1000!$K$10:$K$309,K32)))/(LN(INDEX(H_CFD_L1000!$I$10:$I$309,K32+1))-LN(INDEX(H_CFD_L1000!$I$10:$I$309,K32)))),""))</f>
        <v>1.7452420112257715E-3</v>
      </c>
      <c r="E32" s="34">
        <f>IF(L32="","",IFERROR(EXP(LN(INDEX(H_CFD_L1000!$O$10:$O$309,L32))+(LN($A32)-LN(INDEX(H_CFD_L1000!$M$10:$M$309,L32)))*(LN(INDEX(H_CFD_L1000!$O$10:$O$309,L32+1))-LN(INDEX(H_CFD_L1000!$O$10:$O$309,L32)))/(LN(INDEX(H_CFD_L1000!$M$10:$M$309,L32+1))-LN(INDEX(H_CFD_L1000!$M$10:$M$309,L32)))),""))</f>
        <v>1.8250506108580743E-3</v>
      </c>
      <c r="F32" s="34" t="str">
        <f>IF(M32="","",IFERROR(EXP(LN(INDEX(H_CFD_L1000!$S$10:$S$309,M32))+(LN($A32)-LN(INDEX(H_CFD_L1000!$Q$10:$Q$309,M32)))*(LN(INDEX(H_CFD_L1000!$S$10:$S$309,M32+1))-LN(INDEX(H_CFD_L1000!$S$10:$S$309,M32)))/(LN(INDEX(H_CFD_L1000!$Q$10:$Q$309,M32+1))-LN(INDEX(H_CFD_L1000!$Q$10:$Q$309,M32)))),""))</f>
        <v/>
      </c>
      <c r="G32" s="34">
        <f t="shared" si="2"/>
        <v>1.4611975132806973E-3</v>
      </c>
      <c r="H32" s="45">
        <f t="shared" si="3"/>
        <v>0.47253674748052538</v>
      </c>
      <c r="I32" s="18">
        <f>IF(OR(B$22&lt;=0,$A32&gt;=MAX(H_CFD_L1000!$A$10:$A$309)),"",IFERROR(MATCH($A32,INDEX(H_CFD_L1000!$A$10:$A$309,1):INDEX(H_CFD_L1000!$A$10:$A$309,COUNT(H_CFD_L1000!$A$10:$A$309)),1),""))</f>
        <v>124</v>
      </c>
      <c r="J32" s="18">
        <f>IF(OR(C$22&lt;=0,$A32&gt;=MAX(H_CFD_L1000!$E$10:$E$309)),"",IFERROR(MATCH($A32,INDEX(H_CFD_L1000!$E$10:$E$309,1):INDEX(H_CFD_L1000!$E$10:$E$309,COUNT(H_CFD_L1000!$E$10:$E$309)),1),""))</f>
        <v>118</v>
      </c>
      <c r="K32" s="18">
        <f>IF(OR(D$22&lt;=0,$A32&gt;=MAX(H_CFD_L1000!$I$10:$I$309)),"",IFERROR(MATCH($A32,INDEX(H_CFD_L1000!$I$10:$I$309,1):INDEX(H_CFD_L1000!$I$10:$I$309,COUNT(H_CFD_L1000!$I$10:$I$309)),1),""))</f>
        <v>105</v>
      </c>
      <c r="L32" s="18">
        <f>IF(OR(E$22&lt;=0,$A32&gt;=MAX(H_CFD_L1000!$M$10:$M$309)),"",IFERROR(MATCH($A32,INDEX(H_CFD_L1000!$M$10:$M$309,1):INDEX(H_CFD_L1000!$M$10:$M$309,COUNT(H_CFD_L1000!$M$10:$M$309)),1),""))</f>
        <v>105</v>
      </c>
      <c r="M32" s="18" t="str">
        <f>IF(OR(F$22&lt;=0,$A32&gt;=MAX(H_CFD_L1000!$Q$10:$Q$309)),"",IFERROR(MATCH($A32,INDEX(H_CFD_L1000!$Q$10:$Q$309,1):INDEX(H_CFD_L1000!$Q$10:$Q$309,COUNT(H_CFD_L1000!$Q$10:$Q$309)),1),""))</f>
        <v/>
      </c>
    </row>
    <row r="33" spans="1:13" x14ac:dyDescent="0.25">
      <c r="A33" s="9">
        <v>4.5</v>
      </c>
      <c r="B33" s="34">
        <f>IF(I33="","",IFERROR(EXP(LN(INDEX(H_CFD_L1000!$C$10:$C$309,I33))+(LN($A33)-LN(INDEX(H_CFD_L1000!$A$10:$A$309,I33)))*(LN(INDEX(H_CFD_L1000!$C$10:$C$309,I33+1))-LN(INDEX(H_CFD_L1000!$C$10:$C$309,I33)))/(LN(INDEX(H_CFD_L1000!$A$10:$A$309,I33+1))-LN(INDEX(H_CFD_L1000!$A$10:$A$309,I33)))),""))</f>
        <v>1.0915334326231747E-3</v>
      </c>
      <c r="C33" s="34">
        <f>IF(J33="","",IFERROR(EXP(LN(INDEX(H_CFD_L1000!$G$10:$G$309,J33))+(LN($A33)-LN(INDEX(H_CFD_L1000!$E$10:$E$309,J33)))*(LN(INDEX(H_CFD_L1000!$G$10:$G$309,J33+1))-LN(INDEX(H_CFD_L1000!$G$10:$G$309,J33)))/(LN(INDEX(H_CFD_L1000!$E$10:$E$309,J33+1))-LN(INDEX(H_CFD_L1000!$E$10:$E$309,J33)))),""))</f>
        <v>8.0432951019173402E-4</v>
      </c>
      <c r="D33" s="34">
        <f>IF(K33="","",IFERROR(EXP(LN(INDEX(H_CFD_L1000!$K$10:$K$309,K33))+(LN($A33)-LN(INDEX(H_CFD_L1000!$I$10:$I$309,K33)))*(LN(INDEX(H_CFD_L1000!$K$10:$K$309,K33+1))-LN(INDEX(H_CFD_L1000!$K$10:$K$309,K33)))/(LN(INDEX(H_CFD_L1000!$I$10:$I$309,K33+1))-LN(INDEX(H_CFD_L1000!$I$10:$I$309,K33)))),""))</f>
        <v>1.6197343661979995E-3</v>
      </c>
      <c r="E33" s="34">
        <f>IF(L33="","",IFERROR(EXP(LN(INDEX(H_CFD_L1000!$O$10:$O$309,L33))+(LN($A33)-LN(INDEX(H_CFD_L1000!$M$10:$M$309,L33)))*(LN(INDEX(H_CFD_L1000!$O$10:$O$309,L33+1))-LN(INDEX(H_CFD_L1000!$O$10:$O$309,L33)))/(LN(INDEX(H_CFD_L1000!$M$10:$M$309,L33+1))-LN(INDEX(H_CFD_L1000!$M$10:$M$309,L33)))),""))</f>
        <v>1.7227950019582912E-3</v>
      </c>
      <c r="F33" s="34" t="str">
        <f>IF(M33="","",IFERROR(EXP(LN(INDEX(H_CFD_L1000!$S$10:$S$309,M33))+(LN($A33)-LN(INDEX(H_CFD_L1000!$Q$10:$Q$309,M33)))*(LN(INDEX(H_CFD_L1000!$S$10:$S$309,M33+1))-LN(INDEX(H_CFD_L1000!$S$10:$S$309,M33)))/(LN(INDEX(H_CFD_L1000!$Q$10:$Q$309,M33+1))-LN(INDEX(H_CFD_L1000!$Q$10:$Q$309,M33)))),""))</f>
        <v/>
      </c>
      <c r="G33" s="34">
        <f t="shared" si="2"/>
        <v>1.3095980777428E-3</v>
      </c>
      <c r="H33" s="45">
        <f t="shared" si="3"/>
        <v>0.70133387287007021</v>
      </c>
      <c r="I33" s="18">
        <f>IF(OR(B$22&lt;=0,$A33&gt;=MAX(H_CFD_L1000!$A$10:$A$309)),"",IFERROR(MATCH($A33,INDEX(H_CFD_L1000!$A$10:$A$309,1):INDEX(H_CFD_L1000!$A$10:$A$309,COUNT(H_CFD_L1000!$A$10:$A$309)),1),""))</f>
        <v>139</v>
      </c>
      <c r="J33" s="18">
        <f>IF(OR(C$22&lt;=0,$A33&gt;=MAX(H_CFD_L1000!$E$10:$E$309)),"",IFERROR(MATCH($A33,INDEX(H_CFD_L1000!$E$10:$E$309,1):INDEX(H_CFD_L1000!$E$10:$E$309,COUNT(H_CFD_L1000!$E$10:$E$309)),1),""))</f>
        <v>132</v>
      </c>
      <c r="K33" s="18">
        <f>IF(OR(D$22&lt;=0,$A33&gt;=MAX(H_CFD_L1000!$I$10:$I$309)),"",IFERROR(MATCH($A33,INDEX(H_CFD_L1000!$I$10:$I$309,1):INDEX(H_CFD_L1000!$I$10:$I$309,COUNT(H_CFD_L1000!$I$10:$I$309)),1),""))</f>
        <v>118</v>
      </c>
      <c r="L33" s="18">
        <f>IF(OR(E$22&lt;=0,$A33&gt;=MAX(H_CFD_L1000!$M$10:$M$309)),"",IFERROR(MATCH($A33,INDEX(H_CFD_L1000!$M$10:$M$309,1):INDEX(H_CFD_L1000!$M$10:$M$309,COUNT(H_CFD_L1000!$M$10:$M$309)),1),""))</f>
        <v>118</v>
      </c>
      <c r="M33" s="18" t="str">
        <f>IF(OR(F$22&lt;=0,$A33&gt;=MAX(H_CFD_L1000!$Q$10:$Q$309)),"",IFERROR(MATCH($A33,INDEX(H_CFD_L1000!$Q$10:$Q$309,1):INDEX(H_CFD_L1000!$Q$10:$Q$309,COUNT(H_CFD_L1000!$Q$10:$Q$309)),1),""))</f>
        <v/>
      </c>
    </row>
    <row r="34" spans="1:13" x14ac:dyDescent="0.25">
      <c r="A34" s="9">
        <v>5</v>
      </c>
      <c r="B34" s="34" t="str">
        <f>IF(I34="","",IFERROR(EXP(LN(INDEX(H_CFD_L1000!$C$10:$C$309,I34))+(LN($A34)-LN(INDEX(H_CFD_L1000!$A$10:$A$309,I34)))*(LN(INDEX(H_CFD_L1000!$C$10:$C$309,I34+1))-LN(INDEX(H_CFD_L1000!$C$10:$C$309,I34)))/(LN(INDEX(H_CFD_L1000!$A$10:$A$309,I34+1))-LN(INDEX(H_CFD_L1000!$A$10:$A$309,I34)))),""))</f>
        <v/>
      </c>
      <c r="C34" s="34">
        <f>IF(J34="","",IFERROR(EXP(LN(INDEX(H_CFD_L1000!$G$10:$G$309,J34))+(LN($A34)-LN(INDEX(H_CFD_L1000!$E$10:$E$309,J34)))*(LN(INDEX(H_CFD_L1000!$G$10:$G$309,J34+1))-LN(INDEX(H_CFD_L1000!$G$10:$G$309,J34)))/(LN(INDEX(H_CFD_L1000!$E$10:$E$309,J34+1))-LN(INDEX(H_CFD_L1000!$E$10:$E$309,J34)))),""))</f>
        <v>5.3636915483610658E-4</v>
      </c>
      <c r="D34" s="34">
        <f>IF(K34="","",IFERROR(EXP(LN(INDEX(H_CFD_L1000!$K$10:$K$309,K34))+(LN($A34)-LN(INDEX(H_CFD_L1000!$I$10:$I$309,K34)))*(LN(INDEX(H_CFD_L1000!$K$10:$K$309,K34+1))-LN(INDEX(H_CFD_L1000!$K$10:$K$309,K34)))/(LN(INDEX(H_CFD_L1000!$I$10:$I$309,K34+1))-LN(INDEX(H_CFD_L1000!$I$10:$I$309,K34)))),""))</f>
        <v>1.45137426414002E-3</v>
      </c>
      <c r="E34" s="34">
        <f>IF(L34="","",IFERROR(EXP(LN(INDEX(H_CFD_L1000!$O$10:$O$309,L34))+(LN($A34)-LN(INDEX(H_CFD_L1000!$M$10:$M$309,L34)))*(LN(INDEX(H_CFD_L1000!$O$10:$O$309,L34+1))-LN(INDEX(H_CFD_L1000!$O$10:$O$309,L34)))/(LN(INDEX(H_CFD_L1000!$M$10:$M$309,L34+1))-LN(INDEX(H_CFD_L1000!$M$10:$M$309,L34)))),""))</f>
        <v>1.5222739039764753E-3</v>
      </c>
      <c r="F34" s="34" t="str">
        <f>IF(M34="","",IFERROR(EXP(LN(INDEX(H_CFD_L1000!$S$10:$S$309,M34))+(LN($A34)-LN(INDEX(H_CFD_L1000!$Q$10:$Q$309,M34)))*(LN(INDEX(H_CFD_L1000!$S$10:$S$309,M34+1))-LN(INDEX(H_CFD_L1000!$S$10:$S$309,M34)))/(LN(INDEX(H_CFD_L1000!$Q$10:$Q$309,M34+1))-LN(INDEX(H_CFD_L1000!$Q$10:$Q$309,M34)))),""))</f>
        <v/>
      </c>
      <c r="G34" s="34">
        <f t="shared" si="2"/>
        <v>1.1700057743175339E-3</v>
      </c>
      <c r="H34" s="45">
        <f t="shared" si="3"/>
        <v>0.84264947300405291</v>
      </c>
      <c r="I34" s="18" t="str">
        <f>IF(OR(B$22&lt;=0,$A34&gt;=MAX(H_CFD_L1000!$A$10:$A$309)),"",IFERROR(MATCH($A34,INDEX(H_CFD_L1000!$A$10:$A$309,1):INDEX(H_CFD_L1000!$A$10:$A$309,COUNT(H_CFD_L1000!$A$10:$A$309)),1),""))</f>
        <v/>
      </c>
      <c r="J34" s="18">
        <f>IF(OR(C$22&lt;=0,$A34&gt;=MAX(H_CFD_L1000!$E$10:$E$309)),"",IFERROR(MATCH($A34,INDEX(H_CFD_L1000!$E$10:$E$309,1):INDEX(H_CFD_L1000!$E$10:$E$309,COUNT(H_CFD_L1000!$E$10:$E$309)),1),""))</f>
        <v>147</v>
      </c>
      <c r="K34" s="18">
        <f>IF(OR(D$22&lt;=0,$A34&gt;=MAX(H_CFD_L1000!$I$10:$I$309)),"",IFERROR(MATCH($A34,INDEX(H_CFD_L1000!$I$10:$I$309,1):INDEX(H_CFD_L1000!$I$10:$I$309,COUNT(H_CFD_L1000!$I$10:$I$309)),1),""))</f>
        <v>131</v>
      </c>
      <c r="L34" s="18">
        <f>IF(OR(E$22&lt;=0,$A34&gt;=MAX(H_CFD_L1000!$M$10:$M$309)),"",IFERROR(MATCH($A34,INDEX(H_CFD_L1000!$M$10:$M$309,1):INDEX(H_CFD_L1000!$M$10:$M$309,COUNT(H_CFD_L1000!$M$10:$M$309)),1),""))</f>
        <v>131</v>
      </c>
      <c r="M34" s="18" t="str">
        <f>IF(OR(F$22&lt;=0,$A34&gt;=MAX(H_CFD_L1000!$Q$10:$Q$309)),"",IFERROR(MATCH($A34,INDEX(H_CFD_L1000!$Q$10:$Q$309,1):INDEX(H_CFD_L1000!$Q$10:$Q$309,COUNT(H_CFD_L1000!$Q$10:$Q$309)),1),""))</f>
        <v/>
      </c>
    </row>
    <row r="35" spans="1:13" x14ac:dyDescent="0.25">
      <c r="A35" s="9">
        <v>5.5</v>
      </c>
      <c r="B35" s="34" t="str">
        <f>IF(I35="","",IFERROR(EXP(LN(INDEX(H_CFD_L1000!$C$10:$C$309,I35))+(LN($A35)-LN(INDEX(H_CFD_L1000!$A$10:$A$309,I35)))*(LN(INDEX(H_CFD_L1000!$C$10:$C$309,I35+1))-LN(INDEX(H_CFD_L1000!$C$10:$C$309,I35)))/(LN(INDEX(H_CFD_L1000!$A$10:$A$309,I35+1))-LN(INDEX(H_CFD_L1000!$A$10:$A$309,I35)))),""))</f>
        <v/>
      </c>
      <c r="C35" s="34" t="str">
        <f>IF(J35="","",IFERROR(EXP(LN(INDEX(H_CFD_L1000!$G$10:$G$309,J35))+(LN($A35)-LN(INDEX(H_CFD_L1000!$E$10:$E$309,J35)))*(LN(INDEX(H_CFD_L1000!$G$10:$G$309,J35+1))-LN(INDEX(H_CFD_L1000!$G$10:$G$309,J35)))/(LN(INDEX(H_CFD_L1000!$E$10:$E$309,J35+1))-LN(INDEX(H_CFD_L1000!$E$10:$E$309,J35)))),""))</f>
        <v/>
      </c>
      <c r="D35" s="34">
        <f>IF(K35="","",IFERROR(EXP(LN(INDEX(H_CFD_L1000!$K$10:$K$309,K35))+(LN($A35)-LN(INDEX(H_CFD_L1000!$I$10:$I$309,K35)))*(LN(INDEX(H_CFD_L1000!$K$10:$K$309,K35+1))-LN(INDEX(H_CFD_L1000!$K$10:$K$309,K35)))/(LN(INDEX(H_CFD_L1000!$I$10:$I$309,K35+1))-LN(INDEX(H_CFD_L1000!$I$10:$I$309,K35)))),""))</f>
        <v>1.0530196945130646E-3</v>
      </c>
      <c r="E35" s="34">
        <f>IF(L35="","",IFERROR(EXP(LN(INDEX(H_CFD_L1000!$O$10:$O$309,L35))+(LN($A35)-LN(INDEX(H_CFD_L1000!$M$10:$M$309,L35)))*(LN(INDEX(H_CFD_L1000!$O$10:$O$309,L35+1))-LN(INDEX(H_CFD_L1000!$O$10:$O$309,L35)))/(LN(INDEX(H_CFD_L1000!$M$10:$M$309,L35+1))-LN(INDEX(H_CFD_L1000!$M$10:$M$309,L35)))),""))</f>
        <v>1.1168778471183068E-3</v>
      </c>
      <c r="F35" s="34" t="str">
        <f>IF(M35="","",IFERROR(EXP(LN(INDEX(H_CFD_L1000!$S$10:$S$309,M35))+(LN($A35)-LN(INDEX(H_CFD_L1000!$Q$10:$Q$309,M35)))*(LN(INDEX(H_CFD_L1000!$S$10:$S$309,M35+1))-LN(INDEX(H_CFD_L1000!$S$10:$S$309,M35)))/(LN(INDEX(H_CFD_L1000!$Q$10:$Q$309,M35+1))-LN(INDEX(H_CFD_L1000!$Q$10:$Q$309,M35)))),""))</f>
        <v/>
      </c>
      <c r="G35" s="34">
        <f t="shared" si="2"/>
        <v>1.0849487708156857E-3</v>
      </c>
      <c r="H35" s="45">
        <f t="shared" si="3"/>
        <v>5.885821922931201E-2</v>
      </c>
      <c r="I35" s="18" t="str">
        <f>IF(OR(B$22&lt;=0,$A35&gt;=MAX(H_CFD_L1000!$A$10:$A$309)),"",IFERROR(MATCH($A35,INDEX(H_CFD_L1000!$A$10:$A$309,1):INDEX(H_CFD_L1000!$A$10:$A$309,COUNT(H_CFD_L1000!$A$10:$A$309)),1),""))</f>
        <v/>
      </c>
      <c r="J35" s="18" t="str">
        <f>IF(OR(C$22&lt;=0,$A35&gt;=MAX(H_CFD_L1000!$E$10:$E$309)),"",IFERROR(MATCH($A35,INDEX(H_CFD_L1000!$E$10:$E$309,1):INDEX(H_CFD_L1000!$E$10:$E$309,COUNT(H_CFD_L1000!$E$10:$E$309)),1),""))</f>
        <v/>
      </c>
      <c r="K35" s="18">
        <f>IF(OR(D$22&lt;=0,$A35&gt;=MAX(H_CFD_L1000!$I$10:$I$309)),"",IFERROR(MATCH($A35,INDEX(H_CFD_L1000!$I$10:$I$309,1):INDEX(H_CFD_L1000!$I$10:$I$309,COUNT(H_CFD_L1000!$I$10:$I$309)),1),""))</f>
        <v>144</v>
      </c>
      <c r="L35" s="18">
        <f>IF(OR(E$22&lt;=0,$A35&gt;=MAX(H_CFD_L1000!$M$10:$M$309)),"",IFERROR(MATCH($A35,INDEX(H_CFD_L1000!$M$10:$M$309,1):INDEX(H_CFD_L1000!$M$10:$M$309,COUNT(H_CFD_L1000!$M$10:$M$309)),1),""))</f>
        <v>144</v>
      </c>
      <c r="M35" s="18" t="str">
        <f>IF(OR(F$22&lt;=0,$A35&gt;=MAX(H_CFD_L1000!$Q$10:$Q$309)),"",IFERROR(MATCH($A35,INDEX(H_CFD_L1000!$Q$10:$Q$309,1):INDEX(H_CFD_L1000!$Q$10:$Q$309,COUNT(H_CFD_L1000!$Q$10:$Q$309)),1),""))</f>
        <v/>
      </c>
    </row>
    <row r="38" spans="1:13" x14ac:dyDescent="0.25">
      <c r="A38" s="22" t="s">
        <v>185</v>
      </c>
    </row>
    <row r="39" spans="1:13" x14ac:dyDescent="0.25">
      <c r="A39" s="16" t="s">
        <v>226</v>
      </c>
      <c r="B39" s="44">
        <f>IF(AND(N(H_CFD_L1500!B7)=1,ISNUMBER(H_CFD_L1500!B4),ISNUMBER(H_CFD_L1500!B5)),H_CFD_L1500!B4,0)</f>
        <v>80</v>
      </c>
      <c r="C39" s="44">
        <f>IF(AND(N(H_CFD_L1500!F7)=1,ISNUMBER(H_CFD_L1500!F4),ISNUMBER(H_CFD_L1500!F5)),H_CFD_L1500!F4,0)</f>
        <v>150</v>
      </c>
      <c r="D39" s="44">
        <f>IF(AND(N(H_CFD_L1500!J7)=1,ISNUMBER(H_CFD_L1500!J4),ISNUMBER(H_CFD_L1500!J5)),H_CFD_L1500!J4,0)</f>
        <v>250</v>
      </c>
      <c r="E39" s="44">
        <f>IF(AND(N(H_CFD_L1500!N7)=1,ISNUMBER(H_CFD_L1500!N4),ISNUMBER(H_CFD_L1500!N5)),H_CFD_L1500!N4,0)</f>
        <v>300</v>
      </c>
      <c r="F39" s="44">
        <f>IF(AND(N(H_CFD_L1500!R7)=1,ISNUMBER(H_CFD_L1500!R4),ISNUMBER(H_CFD_L1500!R5)),H_CFD_L1500!R4,0)</f>
        <v>450</v>
      </c>
    </row>
    <row r="40" spans="1:13" x14ac:dyDescent="0.25">
      <c r="A40" s="16" t="s">
        <v>227</v>
      </c>
      <c r="B40" s="34">
        <f>IF(B39&gt;0,H_CFD_L1500!B5/H_CFD_L1500!B4,"")</f>
        <v>1.2661602034160373E-2</v>
      </c>
      <c r="C40" s="34">
        <f>IF(C39&gt;0,H_CFD_L1500!F5/H_CFD_L1500!F4,"")</f>
        <v>1.20320368211436E-2</v>
      </c>
      <c r="D40" s="34">
        <f>IF(D39&gt;0,H_CFD_L1500!J5/H_CFD_L1500!J4,"")</f>
        <v>1.208743819721772E-2</v>
      </c>
      <c r="E40" s="34">
        <f>IF(E39&gt;0,H_CFD_L1500!N5/H_CFD_L1500!N4,"")</f>
        <v>1.22125684519969E-2</v>
      </c>
      <c r="F40" s="34">
        <f>IF(F39&gt;0,H_CFD_L1500!R5/H_CFD_L1500!R4,"")</f>
        <v>1.251625504482809E-2</v>
      </c>
    </row>
    <row r="41" spans="1:13" x14ac:dyDescent="0.25">
      <c r="A41" s="4" t="s">
        <v>176</v>
      </c>
      <c r="B41" s="4" t="str">
        <f>IF(B39&gt;0,"v/Q (Q="&amp;B39&amp;")","(non usato)")</f>
        <v>v/Q (Q=80)</v>
      </c>
      <c r="C41" s="4" t="str">
        <f>IF(C39&gt;0,"v/Q (Q="&amp;C39&amp;")","(non usato)")</f>
        <v>v/Q (Q=150)</v>
      </c>
      <c r="D41" s="4" t="str">
        <f>IF(D39&gt;0,"v/Q (Q="&amp;D39&amp;")","(non usato)")</f>
        <v>v/Q (Q=250)</v>
      </c>
      <c r="E41" s="4" t="str">
        <f>IF(E39&gt;0,"v/Q (Q="&amp;E39&amp;")","(non usato)")</f>
        <v>v/Q (Q=300)</v>
      </c>
      <c r="F41" s="4" t="str">
        <f>IF(F39&gt;0,"v/Q (Q="&amp;F39&amp;")","(non usato)")</f>
        <v>v/Q (Q=450)</v>
      </c>
      <c r="G41" s="4" t="s">
        <v>228</v>
      </c>
      <c r="H41" s="4" t="s">
        <v>229</v>
      </c>
      <c r="I41" s="4" t="s">
        <v>179</v>
      </c>
      <c r="J41" s="4" t="s">
        <v>180</v>
      </c>
      <c r="K41" s="4" t="s">
        <v>181</v>
      </c>
      <c r="L41" s="4" t="s">
        <v>182</v>
      </c>
      <c r="M41" s="4" t="s">
        <v>183</v>
      </c>
    </row>
    <row r="42" spans="1:13" x14ac:dyDescent="0.25">
      <c r="A42" s="9">
        <v>0.5</v>
      </c>
      <c r="B42" s="34">
        <f>IF(I42="","",IFERROR(EXP(LN(INDEX(H_CFD_L1500!$C$10:$C$309,I42))+(LN($A42)-LN(INDEX(H_CFD_L1500!$A$10:$A$309,I42)))*(LN(INDEX(H_CFD_L1500!$C$10:$C$309,I42+1))-LN(INDEX(H_CFD_L1500!$C$10:$C$309,I42)))/(LN(INDEX(H_CFD_L1500!$A$10:$A$309,I42+1))-LN(INDEX(H_CFD_L1500!$A$10:$A$309,I42)))),""))</f>
        <v>2.0640648966307185E-3</v>
      </c>
      <c r="C42" s="34">
        <f>IF(J42="","",IFERROR(EXP(LN(INDEX(H_CFD_L1500!$G$10:$G$309,J42))+(LN($A42)-LN(INDEX(H_CFD_L1500!$E$10:$E$309,J42)))*(LN(INDEX(H_CFD_L1500!$G$10:$G$309,J42+1))-LN(INDEX(H_CFD_L1500!$G$10:$G$309,J42)))/(LN(INDEX(H_CFD_L1500!$E$10:$E$309,J42+1))-LN(INDEX(H_CFD_L1500!$E$10:$E$309,J42)))),""))</f>
        <v>2.1445842109125189E-3</v>
      </c>
      <c r="D42" s="34">
        <f>IF(K42="","",IFERROR(EXP(LN(INDEX(H_CFD_L1500!$K$10:$K$309,K42))+(LN($A42)-LN(INDEX(H_CFD_L1500!$I$10:$I$309,K42)))*(LN(INDEX(H_CFD_L1500!$K$10:$K$309,K42+1))-LN(INDEX(H_CFD_L1500!$K$10:$K$309,K42)))/(LN(INDEX(H_CFD_L1500!$I$10:$I$309,K42+1))-LN(INDEX(H_CFD_L1500!$I$10:$I$309,K42)))),""))</f>
        <v>1.9931885282963471E-3</v>
      </c>
      <c r="E42" s="34">
        <f>IF(L42="","",IFERROR(EXP(LN(INDEX(H_CFD_L1500!$O$10:$O$309,L42))+(LN($A42)-LN(INDEX(H_CFD_L1500!$M$10:$M$309,L42)))*(LN(INDEX(H_CFD_L1500!$O$10:$O$309,L42+1))-LN(INDEX(H_CFD_L1500!$O$10:$O$309,L42)))/(LN(INDEX(H_CFD_L1500!$M$10:$M$309,L42+1))-LN(INDEX(H_CFD_L1500!$M$10:$M$309,L42)))),""))</f>
        <v>2.1258963286690824E-3</v>
      </c>
      <c r="F42" s="34">
        <f>IF(M42="","",IFERROR(EXP(LN(INDEX(H_CFD_L1500!$S$10:$S$309,M42))+(LN($A42)-LN(INDEX(H_CFD_L1500!$Q$10:$Q$309,M42)))*(LN(INDEX(H_CFD_L1500!$S$10:$S$309,M42+1))-LN(INDEX(H_CFD_L1500!$S$10:$S$309,M42)))/(LN(INDEX(H_CFD_L1500!$Q$10:$Q$309,M42+1))-LN(INDEX(H_CFD_L1500!$Q$10:$Q$309,M42)))),""))</f>
        <v>2.1671078874949683E-3</v>
      </c>
      <c r="G42" s="34">
        <f t="shared" ref="G42:G52" si="4">IFERROR(AVERAGE(B42:F42),"")</f>
        <v>2.0989683704007267E-3</v>
      </c>
      <c r="H42" s="45">
        <f t="shared" ref="H42:H52" si="5">IFERROR((MAX(B42:F42)-MIN(B42:F42))/G42,"")</f>
        <v>8.2859447360522726E-2</v>
      </c>
      <c r="I42" s="18">
        <f>IF(OR(B$39&lt;=0,$A42&gt;=MAX(H_CFD_L1500!$A$10:$A$309)),"",IFERROR(MATCH($A42,INDEX(H_CFD_L1500!$A$10:$A$309,1):INDEX(H_CFD_L1500!$A$10:$A$309,COUNT(H_CFD_L1500!$A$10:$A$309)),1),""))</f>
        <v>13</v>
      </c>
      <c r="J42" s="18">
        <f>IF(OR(C$39&lt;=0,$A42&gt;=MAX(H_CFD_L1500!$E$10:$E$309)),"",IFERROR(MATCH($A42,INDEX(H_CFD_L1500!$E$10:$E$309,1):INDEX(H_CFD_L1500!$E$10:$E$309,COUNT(H_CFD_L1500!$E$10:$E$309)),1),""))</f>
        <v>17</v>
      </c>
      <c r="K42" s="18">
        <f>IF(OR(D$39&lt;=0,$A42&gt;=MAX(H_CFD_L1500!$I$10:$I$309)),"",IFERROR(MATCH($A42,INDEX(H_CFD_L1500!$I$10:$I$309,1):INDEX(H_CFD_L1500!$I$10:$I$309,COUNT(H_CFD_L1500!$I$10:$I$309)),1),""))</f>
        <v>16</v>
      </c>
      <c r="L42" s="18">
        <f>IF(OR(E$39&lt;=0,$A42&gt;=MAX(H_CFD_L1500!$M$10:$M$309)),"",IFERROR(MATCH($A42,INDEX(H_CFD_L1500!$M$10:$M$309,1):INDEX(H_CFD_L1500!$M$10:$M$309,COUNT(H_CFD_L1500!$M$10:$M$309)),1),""))</f>
        <v>14</v>
      </c>
      <c r="M42" s="18">
        <f>IF(OR(F$39&lt;=0,$A42&gt;=MAX(H_CFD_L1500!$Q$10:$Q$309)),"",IFERROR(MATCH($A42,INDEX(H_CFD_L1500!$Q$10:$Q$309,1):INDEX(H_CFD_L1500!$Q$10:$Q$309,COUNT(H_CFD_L1500!$Q$10:$Q$309)),1),""))</f>
        <v>13</v>
      </c>
    </row>
    <row r="43" spans="1:13" x14ac:dyDescent="0.25">
      <c r="A43" s="9">
        <v>1</v>
      </c>
      <c r="B43" s="34">
        <f>IF(I43="","",IFERROR(EXP(LN(INDEX(H_CFD_L1500!$C$10:$C$309,I43))+(LN($A43)-LN(INDEX(H_CFD_L1500!$A$10:$A$309,I43)))*(LN(INDEX(H_CFD_L1500!$C$10:$C$309,I43+1))-LN(INDEX(H_CFD_L1500!$C$10:$C$309,I43)))/(LN(INDEX(H_CFD_L1500!$A$10:$A$309,I43+1))-LN(INDEX(H_CFD_L1500!$A$10:$A$309,I43)))),""))</f>
        <v>1.8829600135881043E-3</v>
      </c>
      <c r="C43" s="34">
        <f>IF(J43="","",IFERROR(EXP(LN(INDEX(H_CFD_L1500!$G$10:$G$309,J43))+(LN($A43)-LN(INDEX(H_CFD_L1500!$E$10:$E$309,J43)))*(LN(INDEX(H_CFD_L1500!$G$10:$G$309,J43+1))-LN(INDEX(H_CFD_L1500!$G$10:$G$309,J43)))/(LN(INDEX(H_CFD_L1500!$E$10:$E$309,J43+1))-LN(INDEX(H_CFD_L1500!$E$10:$E$309,J43)))),""))</f>
        <v>2.2237671714183688E-3</v>
      </c>
      <c r="D43" s="34">
        <f>IF(K43="","",IFERROR(EXP(LN(INDEX(H_CFD_L1500!$K$10:$K$309,K43))+(LN($A43)-LN(INDEX(H_CFD_L1500!$I$10:$I$309,K43)))*(LN(INDEX(H_CFD_L1500!$K$10:$K$309,K43+1))-LN(INDEX(H_CFD_L1500!$K$10:$K$309,K43)))/(LN(INDEX(H_CFD_L1500!$I$10:$I$309,K43+1))-LN(INDEX(H_CFD_L1500!$I$10:$I$309,K43)))),""))</f>
        <v>1.6956460137733053E-3</v>
      </c>
      <c r="E43" s="34">
        <f>IF(L43="","",IFERROR(EXP(LN(INDEX(H_CFD_L1500!$O$10:$O$309,L43))+(LN($A43)-LN(INDEX(H_CFD_L1500!$M$10:$M$309,L43)))*(LN(INDEX(H_CFD_L1500!$O$10:$O$309,L43+1))-LN(INDEX(H_CFD_L1500!$O$10:$O$309,L43)))/(LN(INDEX(H_CFD_L1500!$M$10:$M$309,L43+1))-LN(INDEX(H_CFD_L1500!$M$10:$M$309,L43)))),""))</f>
        <v>1.8082277267540839E-3</v>
      </c>
      <c r="F43" s="34">
        <f>IF(M43="","",IFERROR(EXP(LN(INDEX(H_CFD_L1500!$S$10:$S$309,M43))+(LN($A43)-LN(INDEX(H_CFD_L1500!$Q$10:$Q$309,M43)))*(LN(INDEX(H_CFD_L1500!$S$10:$S$309,M43+1))-LN(INDEX(H_CFD_L1500!$S$10:$S$309,M43)))/(LN(INDEX(H_CFD_L1500!$Q$10:$Q$309,M43+1))-LN(INDEX(H_CFD_L1500!$Q$10:$Q$309,M43)))),""))</f>
        <v>1.913686213792774E-3</v>
      </c>
      <c r="G43" s="34">
        <f t="shared" si="4"/>
        <v>1.9048574278653272E-3</v>
      </c>
      <c r="H43" s="45">
        <f t="shared" si="5"/>
        <v>0.27724970379379049</v>
      </c>
      <c r="I43" s="18">
        <f>IF(OR(B$39&lt;=0,$A43&gt;=MAX(H_CFD_L1500!$A$10:$A$309)),"",IFERROR(MATCH($A43,INDEX(H_CFD_L1500!$A$10:$A$309,1):INDEX(H_CFD_L1500!$A$10:$A$309,COUNT(H_CFD_L1500!$A$10:$A$309)),1),""))</f>
        <v>25</v>
      </c>
      <c r="J43" s="18">
        <f>IF(OR(C$39&lt;=0,$A43&gt;=MAX(H_CFD_L1500!$E$10:$E$309)),"",IFERROR(MATCH($A43,INDEX(H_CFD_L1500!$E$10:$E$309,1):INDEX(H_CFD_L1500!$E$10:$E$309,COUNT(H_CFD_L1500!$E$10:$E$309)),1),""))</f>
        <v>34</v>
      </c>
      <c r="K43" s="18">
        <f>IF(OR(D$39&lt;=0,$A43&gt;=MAX(H_CFD_L1500!$I$10:$I$309)),"",IFERROR(MATCH($A43,INDEX(H_CFD_L1500!$I$10:$I$309,1):INDEX(H_CFD_L1500!$I$10:$I$309,COUNT(H_CFD_L1500!$I$10:$I$309)),1),""))</f>
        <v>31</v>
      </c>
      <c r="L43" s="18">
        <f>IF(OR(E$39&lt;=0,$A43&gt;=MAX(H_CFD_L1500!$M$10:$M$309)),"",IFERROR(MATCH($A43,INDEX(H_CFD_L1500!$M$10:$M$309,1):INDEX(H_CFD_L1500!$M$10:$M$309,COUNT(H_CFD_L1500!$M$10:$M$309)),1),""))</f>
        <v>27</v>
      </c>
      <c r="M43" s="18">
        <f>IF(OR(F$39&lt;=0,$A43&gt;=MAX(H_CFD_L1500!$Q$10:$Q$309)),"",IFERROR(MATCH($A43,INDEX(H_CFD_L1500!$Q$10:$Q$309,1):INDEX(H_CFD_L1500!$Q$10:$Q$309,COUNT(H_CFD_L1500!$Q$10:$Q$309)),1),""))</f>
        <v>26</v>
      </c>
    </row>
    <row r="44" spans="1:13" x14ac:dyDescent="0.25">
      <c r="A44" s="9">
        <v>1.5</v>
      </c>
      <c r="B44" s="34">
        <f>IF(I44="","",IFERROR(EXP(LN(INDEX(H_CFD_L1500!$C$10:$C$309,I44))+(LN($A44)-LN(INDEX(H_CFD_L1500!$A$10:$A$309,I44)))*(LN(INDEX(H_CFD_L1500!$C$10:$C$309,I44+1))-LN(INDEX(H_CFD_L1500!$C$10:$C$309,I44)))/(LN(INDEX(H_CFD_L1500!$A$10:$A$309,I44+1))-LN(INDEX(H_CFD_L1500!$A$10:$A$309,I44)))),""))</f>
        <v>1.9186184676504802E-3</v>
      </c>
      <c r="C44" s="34">
        <f>IF(J44="","",IFERROR(EXP(LN(INDEX(H_CFD_L1500!$G$10:$G$309,J44))+(LN($A44)-LN(INDEX(H_CFD_L1500!$E$10:$E$309,J44)))*(LN(INDEX(H_CFD_L1500!$G$10:$G$309,J44+1))-LN(INDEX(H_CFD_L1500!$G$10:$G$309,J44)))/(LN(INDEX(H_CFD_L1500!$E$10:$E$309,J44+1))-LN(INDEX(H_CFD_L1500!$E$10:$E$309,J44)))),""))</f>
        <v>2.1902463677089131E-3</v>
      </c>
      <c r="D44" s="34">
        <f>IF(K44="","",IFERROR(EXP(LN(INDEX(H_CFD_L1500!$K$10:$K$309,K44))+(LN($A44)-LN(INDEX(H_CFD_L1500!$I$10:$I$309,K44)))*(LN(INDEX(H_CFD_L1500!$K$10:$K$309,K44+1))-LN(INDEX(H_CFD_L1500!$K$10:$K$309,K44)))/(LN(INDEX(H_CFD_L1500!$I$10:$I$309,K44+1))-LN(INDEX(H_CFD_L1500!$I$10:$I$309,K44)))),""))</f>
        <v>1.7379553707696828E-3</v>
      </c>
      <c r="E44" s="34">
        <f>IF(L44="","",IFERROR(EXP(LN(INDEX(H_CFD_L1500!$O$10:$O$309,L44))+(LN($A44)-LN(INDEX(H_CFD_L1500!$M$10:$M$309,L44)))*(LN(INDEX(H_CFD_L1500!$O$10:$O$309,L44+1))-LN(INDEX(H_CFD_L1500!$O$10:$O$309,L44)))/(LN(INDEX(H_CFD_L1500!$M$10:$M$309,L44+1))-LN(INDEX(H_CFD_L1500!$M$10:$M$309,L44)))),""))</f>
        <v>1.8333922718975499E-3</v>
      </c>
      <c r="F44" s="34">
        <f>IF(M44="","",IFERROR(EXP(LN(INDEX(H_CFD_L1500!$S$10:$S$309,M44))+(LN($A44)-LN(INDEX(H_CFD_L1500!$Q$10:$Q$309,M44)))*(LN(INDEX(H_CFD_L1500!$S$10:$S$309,M44+1))-LN(INDEX(H_CFD_L1500!$S$10:$S$309,M44)))/(LN(INDEX(H_CFD_L1500!$Q$10:$Q$309,M44+1))-LN(INDEX(H_CFD_L1500!$Q$10:$Q$309,M44)))),""))</f>
        <v>1.9320781345458335E-3</v>
      </c>
      <c r="G44" s="34">
        <f t="shared" si="4"/>
        <v>1.9224581225144918E-3</v>
      </c>
      <c r="H44" s="45">
        <f t="shared" si="5"/>
        <v>0.23526702175840031</v>
      </c>
      <c r="I44" s="18">
        <f>IF(OR(B$39&lt;=0,$A44&gt;=MAX(H_CFD_L1500!$A$10:$A$309)),"",IFERROR(MATCH($A44,INDEX(H_CFD_L1500!$A$10:$A$309,1):INDEX(H_CFD_L1500!$A$10:$A$309,COUNT(H_CFD_L1500!$A$10:$A$309)),1),""))</f>
        <v>38</v>
      </c>
      <c r="J44" s="18">
        <f>IF(OR(C$39&lt;=0,$A44&gt;=MAX(H_CFD_L1500!$E$10:$E$309)),"",IFERROR(MATCH($A44,INDEX(H_CFD_L1500!$E$10:$E$309,1):INDEX(H_CFD_L1500!$E$10:$E$309,COUNT(H_CFD_L1500!$E$10:$E$309)),1),""))</f>
        <v>51</v>
      </c>
      <c r="K44" s="18">
        <f>IF(OR(D$39&lt;=0,$A44&gt;=MAX(H_CFD_L1500!$I$10:$I$309)),"",IFERROR(MATCH($A44,INDEX(H_CFD_L1500!$I$10:$I$309,1):INDEX(H_CFD_L1500!$I$10:$I$309,COUNT(H_CFD_L1500!$I$10:$I$309)),1),""))</f>
        <v>46</v>
      </c>
      <c r="L44" s="18">
        <f>IF(OR(E$39&lt;=0,$A44&gt;=MAX(H_CFD_L1500!$M$10:$M$309)),"",IFERROR(MATCH($A44,INDEX(H_CFD_L1500!$M$10:$M$309,1):INDEX(H_CFD_L1500!$M$10:$M$309,COUNT(H_CFD_L1500!$M$10:$M$309)),1),""))</f>
        <v>41</v>
      </c>
      <c r="M44" s="18">
        <f>IF(OR(F$39&lt;=0,$A44&gt;=MAX(H_CFD_L1500!$Q$10:$Q$309)),"",IFERROR(MATCH($A44,INDEX(H_CFD_L1500!$Q$10:$Q$309,1):INDEX(H_CFD_L1500!$Q$10:$Q$309,COUNT(H_CFD_L1500!$Q$10:$Q$309)),1),""))</f>
        <v>39</v>
      </c>
    </row>
    <row r="45" spans="1:13" x14ac:dyDescent="0.25">
      <c r="A45" s="9">
        <v>2</v>
      </c>
      <c r="B45" s="34">
        <f>IF(I45="","",IFERROR(EXP(LN(INDEX(H_CFD_L1500!$C$10:$C$309,I45))+(LN($A45)-LN(INDEX(H_CFD_L1500!$A$10:$A$309,I45)))*(LN(INDEX(H_CFD_L1500!$C$10:$C$309,I45+1))-LN(INDEX(H_CFD_L1500!$C$10:$C$309,I45)))/(LN(INDEX(H_CFD_L1500!$A$10:$A$309,I45+1))-LN(INDEX(H_CFD_L1500!$A$10:$A$309,I45)))),""))</f>
        <v>1.9657558387602518E-3</v>
      </c>
      <c r="C45" s="34">
        <f>IF(J45="","",IFERROR(EXP(LN(INDEX(H_CFD_L1500!$G$10:$G$309,J45))+(LN($A45)-LN(INDEX(H_CFD_L1500!$E$10:$E$309,J45)))*(LN(INDEX(H_CFD_L1500!$G$10:$G$309,J45+1))-LN(INDEX(H_CFD_L1500!$G$10:$G$309,J45)))/(LN(INDEX(H_CFD_L1500!$E$10:$E$309,J45+1))-LN(INDEX(H_CFD_L1500!$E$10:$E$309,J45)))),""))</f>
        <v>1.852093831336584E-3</v>
      </c>
      <c r="D45" s="34">
        <f>IF(K45="","",IFERROR(EXP(LN(INDEX(H_CFD_L1500!$K$10:$K$309,K45))+(LN($A45)-LN(INDEX(H_CFD_L1500!$I$10:$I$309,K45)))*(LN(INDEX(H_CFD_L1500!$K$10:$K$309,K45+1))-LN(INDEX(H_CFD_L1500!$K$10:$K$309,K45)))/(LN(INDEX(H_CFD_L1500!$I$10:$I$309,K45+1))-LN(INDEX(H_CFD_L1500!$I$10:$I$309,K45)))),""))</f>
        <v>1.7263405484544735E-3</v>
      </c>
      <c r="E45" s="34">
        <f>IF(L45="","",IFERROR(EXP(LN(INDEX(H_CFD_L1500!$O$10:$O$309,L45))+(LN($A45)-LN(INDEX(H_CFD_L1500!$M$10:$M$309,L45)))*(LN(INDEX(H_CFD_L1500!$O$10:$O$309,L45+1))-LN(INDEX(H_CFD_L1500!$O$10:$O$309,L45)))/(LN(INDEX(H_CFD_L1500!$M$10:$M$309,L45+1))-LN(INDEX(H_CFD_L1500!$M$10:$M$309,L45)))),""))</f>
        <v>1.8659840429572179E-3</v>
      </c>
      <c r="F45" s="34">
        <f>IF(M45="","",IFERROR(EXP(LN(INDEX(H_CFD_L1500!$S$10:$S$309,M45))+(LN($A45)-LN(INDEX(H_CFD_L1500!$Q$10:$Q$309,M45)))*(LN(INDEX(H_CFD_L1500!$S$10:$S$309,M45+1))-LN(INDEX(H_CFD_L1500!$S$10:$S$309,M45)))/(LN(INDEX(H_CFD_L1500!$Q$10:$Q$309,M45+1))-LN(INDEX(H_CFD_L1500!$Q$10:$Q$309,M45)))),""))</f>
        <v>1.9094196332131281E-3</v>
      </c>
      <c r="G45" s="34">
        <f t="shared" si="4"/>
        <v>1.8639187789443311E-3</v>
      </c>
      <c r="H45" s="45">
        <f t="shared" si="5"/>
        <v>0.12844727624954566</v>
      </c>
      <c r="I45" s="18">
        <f>IF(OR(B$39&lt;=0,$A45&gt;=MAX(H_CFD_L1500!$A$10:$A$309)),"",IFERROR(MATCH($A45,INDEX(H_CFD_L1500!$A$10:$A$309,1):INDEX(H_CFD_L1500!$A$10:$A$309,COUNT(H_CFD_L1500!$A$10:$A$309)),1),""))</f>
        <v>50</v>
      </c>
      <c r="J45" s="18">
        <f>IF(OR(C$39&lt;=0,$A45&gt;=MAX(H_CFD_L1500!$E$10:$E$309)),"",IFERROR(MATCH($A45,INDEX(H_CFD_L1500!$E$10:$E$309,1):INDEX(H_CFD_L1500!$E$10:$E$309,COUNT(H_CFD_L1500!$E$10:$E$309)),1),""))</f>
        <v>68</v>
      </c>
      <c r="K45" s="18">
        <f>IF(OR(D$39&lt;=0,$A45&gt;=MAX(H_CFD_L1500!$I$10:$I$309)),"",IFERROR(MATCH($A45,INDEX(H_CFD_L1500!$I$10:$I$309,1):INDEX(H_CFD_L1500!$I$10:$I$309,COUNT(H_CFD_L1500!$I$10:$I$309)),1),""))</f>
        <v>61</v>
      </c>
      <c r="L45" s="18">
        <f>IF(OR(E$39&lt;=0,$A45&gt;=MAX(H_CFD_L1500!$M$10:$M$309)),"",IFERROR(MATCH($A45,INDEX(H_CFD_L1500!$M$10:$M$309,1):INDEX(H_CFD_L1500!$M$10:$M$309,COUNT(H_CFD_L1500!$M$10:$M$309)),1),""))</f>
        <v>54</v>
      </c>
      <c r="M45" s="18">
        <f>IF(OR(F$39&lt;=0,$A45&gt;=MAX(H_CFD_L1500!$Q$10:$Q$309)),"",IFERROR(MATCH($A45,INDEX(H_CFD_L1500!$Q$10:$Q$309,1):INDEX(H_CFD_L1500!$Q$10:$Q$309,COUNT(H_CFD_L1500!$Q$10:$Q$309)),1),""))</f>
        <v>52</v>
      </c>
    </row>
    <row r="46" spans="1:13" x14ac:dyDescent="0.25">
      <c r="A46" s="9">
        <v>2.5</v>
      </c>
      <c r="B46" s="34">
        <f>IF(I46="","",IFERROR(EXP(LN(INDEX(H_CFD_L1500!$C$10:$C$309,I46))+(LN($A46)-LN(INDEX(H_CFD_L1500!$A$10:$A$309,I46)))*(LN(INDEX(H_CFD_L1500!$C$10:$C$309,I46+1))-LN(INDEX(H_CFD_L1500!$C$10:$C$309,I46)))/(LN(INDEX(H_CFD_L1500!$A$10:$A$309,I46+1))-LN(INDEX(H_CFD_L1500!$A$10:$A$309,I46)))),""))</f>
        <v>1.8518930848070876E-3</v>
      </c>
      <c r="C46" s="34">
        <f>IF(J46="","",IFERROR(EXP(LN(INDEX(H_CFD_L1500!$G$10:$G$309,J46))+(LN($A46)-LN(INDEX(H_CFD_L1500!$E$10:$E$309,J46)))*(LN(INDEX(H_CFD_L1500!$G$10:$G$309,J46+1))-LN(INDEX(H_CFD_L1500!$G$10:$G$309,J46)))/(LN(INDEX(H_CFD_L1500!$E$10:$E$309,J46+1))-LN(INDEX(H_CFD_L1500!$E$10:$E$309,J46)))),""))</f>
        <v>1.5004651037613221E-3</v>
      </c>
      <c r="D46" s="34">
        <f>IF(K46="","",IFERROR(EXP(LN(INDEX(H_CFD_L1500!$K$10:$K$309,K46))+(LN($A46)-LN(INDEX(H_CFD_L1500!$I$10:$I$309,K46)))*(LN(INDEX(H_CFD_L1500!$K$10:$K$309,K46+1))-LN(INDEX(H_CFD_L1500!$K$10:$K$309,K46)))/(LN(INDEX(H_CFD_L1500!$I$10:$I$309,K46+1))-LN(INDEX(H_CFD_L1500!$I$10:$I$309,K46)))),""))</f>
        <v>1.5438991083214792E-3</v>
      </c>
      <c r="E46" s="34">
        <f>IF(L46="","",IFERROR(EXP(LN(INDEX(H_CFD_L1500!$O$10:$O$309,L46))+(LN($A46)-LN(INDEX(H_CFD_L1500!$M$10:$M$309,L46)))*(LN(INDEX(H_CFD_L1500!$O$10:$O$309,L46+1))-LN(INDEX(H_CFD_L1500!$O$10:$O$309,L46)))/(LN(INDEX(H_CFD_L1500!$M$10:$M$309,L46+1))-LN(INDEX(H_CFD_L1500!$M$10:$M$309,L46)))),""))</f>
        <v>1.8170621380528115E-3</v>
      </c>
      <c r="F46" s="34">
        <f>IF(M46="","",IFERROR(EXP(LN(INDEX(H_CFD_L1500!$S$10:$S$309,M46))+(LN($A46)-LN(INDEX(H_CFD_L1500!$Q$10:$Q$309,M46)))*(LN(INDEX(H_CFD_L1500!$S$10:$S$309,M46+1))-LN(INDEX(H_CFD_L1500!$S$10:$S$309,M46)))/(LN(INDEX(H_CFD_L1500!$Q$10:$Q$309,M46+1))-LN(INDEX(H_CFD_L1500!$Q$10:$Q$309,M46)))),""))</f>
        <v>1.8265175380271844E-3</v>
      </c>
      <c r="G46" s="34">
        <f t="shared" si="4"/>
        <v>1.7079673945939772E-3</v>
      </c>
      <c r="H46" s="45">
        <f t="shared" si="5"/>
        <v>0.20575801514601394</v>
      </c>
      <c r="I46" s="18">
        <f>IF(OR(B$39&lt;=0,$A46&gt;=MAX(H_CFD_L1500!$A$10:$A$309)),"",IFERROR(MATCH($A46,INDEX(H_CFD_L1500!$A$10:$A$309,1):INDEX(H_CFD_L1500!$A$10:$A$309,COUNT(H_CFD_L1500!$A$10:$A$309)),1),""))</f>
        <v>63</v>
      </c>
      <c r="J46" s="18">
        <f>IF(OR(C$39&lt;=0,$A46&gt;=MAX(H_CFD_L1500!$E$10:$E$309)),"",IFERROR(MATCH($A46,INDEX(H_CFD_L1500!$E$10:$E$309,1):INDEX(H_CFD_L1500!$E$10:$E$309,COUNT(H_CFD_L1500!$E$10:$E$309)),1),""))</f>
        <v>84</v>
      </c>
      <c r="K46" s="18">
        <f>IF(OR(D$39&lt;=0,$A46&gt;=MAX(H_CFD_L1500!$I$10:$I$309)),"",IFERROR(MATCH($A46,INDEX(H_CFD_L1500!$I$10:$I$309,1):INDEX(H_CFD_L1500!$I$10:$I$309,COUNT(H_CFD_L1500!$I$10:$I$309)),1),""))</f>
        <v>76</v>
      </c>
      <c r="L46" s="18">
        <f>IF(OR(E$39&lt;=0,$A46&gt;=MAX(H_CFD_L1500!$M$10:$M$309)),"",IFERROR(MATCH($A46,INDEX(H_CFD_L1500!$M$10:$M$309,1):INDEX(H_CFD_L1500!$M$10:$M$309,COUNT(H_CFD_L1500!$M$10:$M$309)),1),""))</f>
        <v>68</v>
      </c>
      <c r="M46" s="18">
        <f>IF(OR(F$39&lt;=0,$A46&gt;=MAX(H_CFD_L1500!$Q$10:$Q$309)),"",IFERROR(MATCH($A46,INDEX(H_CFD_L1500!$Q$10:$Q$309,1):INDEX(H_CFD_L1500!$Q$10:$Q$309,COUNT(H_CFD_L1500!$Q$10:$Q$309)),1),""))</f>
        <v>65</v>
      </c>
    </row>
    <row r="47" spans="1:13" x14ac:dyDescent="0.25">
      <c r="A47" s="9">
        <v>3</v>
      </c>
      <c r="B47" s="34">
        <f>IF(I47="","",IFERROR(EXP(LN(INDEX(H_CFD_L1500!$C$10:$C$309,I47))+(LN($A47)-LN(INDEX(H_CFD_L1500!$A$10:$A$309,I47)))*(LN(INDEX(H_CFD_L1500!$C$10:$C$309,I47+1))-LN(INDEX(H_CFD_L1500!$C$10:$C$309,I47)))/(LN(INDEX(H_CFD_L1500!$A$10:$A$309,I47+1))-LN(INDEX(H_CFD_L1500!$A$10:$A$309,I47)))),""))</f>
        <v>1.6254418835905647E-3</v>
      </c>
      <c r="C47" s="34">
        <f>IF(J47="","",IFERROR(EXP(LN(INDEX(H_CFD_L1500!$G$10:$G$309,J47))+(LN($A47)-LN(INDEX(H_CFD_L1500!$E$10:$E$309,J47)))*(LN(INDEX(H_CFD_L1500!$G$10:$G$309,J47+1))-LN(INDEX(H_CFD_L1500!$G$10:$G$309,J47)))/(LN(INDEX(H_CFD_L1500!$E$10:$E$309,J47+1))-LN(INDEX(H_CFD_L1500!$E$10:$E$309,J47)))),""))</f>
        <v>1.2555544194741205E-3</v>
      </c>
      <c r="D47" s="34">
        <f>IF(K47="","",IFERROR(EXP(LN(INDEX(H_CFD_L1500!$K$10:$K$309,K47))+(LN($A47)-LN(INDEX(H_CFD_L1500!$I$10:$I$309,K47)))*(LN(INDEX(H_CFD_L1500!$K$10:$K$309,K47+1))-LN(INDEX(H_CFD_L1500!$K$10:$K$309,K47)))/(LN(INDEX(H_CFD_L1500!$I$10:$I$309,K47+1))-LN(INDEX(H_CFD_L1500!$I$10:$I$309,K47)))),""))</f>
        <v>1.3264508801444227E-3</v>
      </c>
      <c r="E47" s="34">
        <f>IF(L47="","",IFERROR(EXP(LN(INDEX(H_CFD_L1500!$O$10:$O$309,L47))+(LN($A47)-LN(INDEX(H_CFD_L1500!$M$10:$M$309,L47)))*(LN(INDEX(H_CFD_L1500!$O$10:$O$309,L47+1))-LN(INDEX(H_CFD_L1500!$O$10:$O$309,L47)))/(LN(INDEX(H_CFD_L1500!$M$10:$M$309,L47+1))-LN(INDEX(H_CFD_L1500!$M$10:$M$309,L47)))),""))</f>
        <v>1.6659701016643895E-3</v>
      </c>
      <c r="F47" s="34">
        <f>IF(M47="","",IFERROR(EXP(LN(INDEX(H_CFD_L1500!$S$10:$S$309,M47))+(LN($A47)-LN(INDEX(H_CFD_L1500!$Q$10:$Q$309,M47)))*(LN(INDEX(H_CFD_L1500!$S$10:$S$309,M47+1))-LN(INDEX(H_CFD_L1500!$S$10:$S$309,M47)))/(LN(INDEX(H_CFD_L1500!$Q$10:$Q$309,M47+1))-LN(INDEX(H_CFD_L1500!$Q$10:$Q$309,M47)))),""))</f>
        <v>1.6839808172282008E-3</v>
      </c>
      <c r="G47" s="34">
        <f t="shared" si="4"/>
        <v>1.5114796204203397E-3</v>
      </c>
      <c r="H47" s="45">
        <f t="shared" si="5"/>
        <v>0.28344834555886089</v>
      </c>
      <c r="I47" s="18">
        <f>IF(OR(B$39&lt;=0,$A47&gt;=MAX(H_CFD_L1500!$A$10:$A$309)),"",IFERROR(MATCH($A47,INDEX(H_CFD_L1500!$A$10:$A$309,1):INDEX(H_CFD_L1500!$A$10:$A$309,COUNT(H_CFD_L1500!$A$10:$A$309)),1),""))</f>
        <v>75</v>
      </c>
      <c r="J47" s="18">
        <f>IF(OR(C$39&lt;=0,$A47&gt;=MAX(H_CFD_L1500!$E$10:$E$309)),"",IFERROR(MATCH($A47,INDEX(H_CFD_L1500!$E$10:$E$309,1):INDEX(H_CFD_L1500!$E$10:$E$309,COUNT(H_CFD_L1500!$E$10:$E$309)),1),""))</f>
        <v>101</v>
      </c>
      <c r="K47" s="18">
        <f>IF(OR(D$39&lt;=0,$A47&gt;=MAX(H_CFD_L1500!$I$10:$I$309)),"",IFERROR(MATCH($A47,INDEX(H_CFD_L1500!$I$10:$I$309,1):INDEX(H_CFD_L1500!$I$10:$I$309,COUNT(H_CFD_L1500!$I$10:$I$309)),1),""))</f>
        <v>92</v>
      </c>
      <c r="L47" s="18">
        <f>IF(OR(E$39&lt;=0,$A47&gt;=MAX(H_CFD_L1500!$M$10:$M$309)),"",IFERROR(MATCH($A47,INDEX(H_CFD_L1500!$M$10:$M$309,1):INDEX(H_CFD_L1500!$M$10:$M$309,COUNT(H_CFD_L1500!$M$10:$M$309)),1),""))</f>
        <v>81</v>
      </c>
      <c r="M47" s="18">
        <f>IF(OR(F$39&lt;=0,$A47&gt;=MAX(H_CFD_L1500!$Q$10:$Q$309)),"",IFERROR(MATCH($A47,INDEX(H_CFD_L1500!$Q$10:$Q$309,1):INDEX(H_CFD_L1500!$Q$10:$Q$309,COUNT(H_CFD_L1500!$Q$10:$Q$309)),1),""))</f>
        <v>78</v>
      </c>
    </row>
    <row r="48" spans="1:13" x14ac:dyDescent="0.25">
      <c r="A48" s="9">
        <v>3.5</v>
      </c>
      <c r="B48" s="34">
        <f>IF(I48="","",IFERROR(EXP(LN(INDEX(H_CFD_L1500!$C$10:$C$309,I48))+(LN($A48)-LN(INDEX(H_CFD_L1500!$A$10:$A$309,I48)))*(LN(INDEX(H_CFD_L1500!$C$10:$C$309,I48+1))-LN(INDEX(H_CFD_L1500!$C$10:$C$309,I48)))/(LN(INDEX(H_CFD_L1500!$A$10:$A$309,I48+1))-LN(INDEX(H_CFD_L1500!$A$10:$A$309,I48)))),""))</f>
        <v>1.4550550872630473E-3</v>
      </c>
      <c r="C48" s="34">
        <f>IF(J48="","",IFERROR(EXP(LN(INDEX(H_CFD_L1500!$G$10:$G$309,J48))+(LN($A48)-LN(INDEX(H_CFD_L1500!$E$10:$E$309,J48)))*(LN(INDEX(H_CFD_L1500!$G$10:$G$309,J48+1))-LN(INDEX(H_CFD_L1500!$G$10:$G$309,J48)))/(LN(INDEX(H_CFD_L1500!$E$10:$E$309,J48+1))-LN(INDEX(H_CFD_L1500!$E$10:$E$309,J48)))),""))</f>
        <v>1.0007419713293322E-3</v>
      </c>
      <c r="D48" s="34">
        <f>IF(K48="","",IFERROR(EXP(LN(INDEX(H_CFD_L1500!$K$10:$K$309,K48))+(LN($A48)-LN(INDEX(H_CFD_L1500!$I$10:$I$309,K48)))*(LN(INDEX(H_CFD_L1500!$K$10:$K$309,K48+1))-LN(INDEX(H_CFD_L1500!$K$10:$K$309,K48)))/(LN(INDEX(H_CFD_L1500!$I$10:$I$309,K48+1))-LN(INDEX(H_CFD_L1500!$I$10:$I$309,K48)))),""))</f>
        <v>1.1574463252062937E-3</v>
      </c>
      <c r="E48" s="34">
        <f>IF(L48="","",IFERROR(EXP(LN(INDEX(H_CFD_L1500!$O$10:$O$309,L48))+(LN($A48)-LN(INDEX(H_CFD_L1500!$M$10:$M$309,L48)))*(LN(INDEX(H_CFD_L1500!$O$10:$O$309,L48+1))-LN(INDEX(H_CFD_L1500!$O$10:$O$309,L48)))/(LN(INDEX(H_CFD_L1500!$M$10:$M$309,L48+1))-LN(INDEX(H_CFD_L1500!$M$10:$M$309,L48)))),""))</f>
        <v>1.4116837576796995E-3</v>
      </c>
      <c r="F48" s="34">
        <f>IF(M48="","",IFERROR(EXP(LN(INDEX(H_CFD_L1500!$S$10:$S$309,M48))+(LN($A48)-LN(INDEX(H_CFD_L1500!$Q$10:$Q$309,M48)))*(LN(INDEX(H_CFD_L1500!$S$10:$S$309,M48+1))-LN(INDEX(H_CFD_L1500!$S$10:$S$309,M48)))/(LN(INDEX(H_CFD_L1500!$Q$10:$Q$309,M48+1))-LN(INDEX(H_CFD_L1500!$Q$10:$Q$309,M48)))),""))</f>
        <v>1.3671323101573285E-3</v>
      </c>
      <c r="G48" s="34">
        <f t="shared" si="4"/>
        <v>1.2784118903271403E-3</v>
      </c>
      <c r="H48" s="45">
        <f t="shared" si="5"/>
        <v>0.35537303694622108</v>
      </c>
      <c r="I48" s="18">
        <f>IF(OR(B$39&lt;=0,$A48&gt;=MAX(H_CFD_L1500!$A$10:$A$309)),"",IFERROR(MATCH($A48,INDEX(H_CFD_L1500!$A$10:$A$309,1):INDEX(H_CFD_L1500!$A$10:$A$309,COUNT(H_CFD_L1500!$A$10:$A$309)),1),""))</f>
        <v>87</v>
      </c>
      <c r="J48" s="18">
        <f>IF(OR(C$39&lt;=0,$A48&gt;=MAX(H_CFD_L1500!$E$10:$E$309)),"",IFERROR(MATCH($A48,INDEX(H_CFD_L1500!$E$10:$E$309,1):INDEX(H_CFD_L1500!$E$10:$E$309,COUNT(H_CFD_L1500!$E$10:$E$309)),1),""))</f>
        <v>118</v>
      </c>
      <c r="K48" s="18">
        <f>IF(OR(D$39&lt;=0,$A48&gt;=MAX(H_CFD_L1500!$I$10:$I$309)),"",IFERROR(MATCH($A48,INDEX(H_CFD_L1500!$I$10:$I$309,1):INDEX(H_CFD_L1500!$I$10:$I$309,COUNT(H_CFD_L1500!$I$10:$I$309)),1),""))</f>
        <v>107</v>
      </c>
      <c r="L48" s="18">
        <f>IF(OR(E$39&lt;=0,$A48&gt;=MAX(H_CFD_L1500!$M$10:$M$309)),"",IFERROR(MATCH($A48,INDEX(H_CFD_L1500!$M$10:$M$309,1):INDEX(H_CFD_L1500!$M$10:$M$309,COUNT(H_CFD_L1500!$M$10:$M$309)),1),""))</f>
        <v>95</v>
      </c>
      <c r="M48" s="18">
        <f>IF(OR(F$39&lt;=0,$A48&gt;=MAX(H_CFD_L1500!$Q$10:$Q$309)),"",IFERROR(MATCH($A48,INDEX(H_CFD_L1500!$Q$10:$Q$309,1):INDEX(H_CFD_L1500!$Q$10:$Q$309,COUNT(H_CFD_L1500!$Q$10:$Q$309)),1),""))</f>
        <v>91</v>
      </c>
    </row>
    <row r="49" spans="1:13" x14ac:dyDescent="0.25">
      <c r="A49" s="9">
        <v>4</v>
      </c>
      <c r="B49" s="34">
        <f>IF(I49="","",IFERROR(EXP(LN(INDEX(H_CFD_L1500!$C$10:$C$309,I49))+(LN($A49)-LN(INDEX(H_CFD_L1500!$A$10:$A$309,I49)))*(LN(INDEX(H_CFD_L1500!$C$10:$C$309,I49+1))-LN(INDEX(H_CFD_L1500!$C$10:$C$309,I49)))/(LN(INDEX(H_CFD_L1500!$A$10:$A$309,I49+1))-LN(INDEX(H_CFD_L1500!$A$10:$A$309,I49)))),""))</f>
        <v>1.2936522751331658E-3</v>
      </c>
      <c r="C49" s="34">
        <f>IF(J49="","",IFERROR(EXP(LN(INDEX(H_CFD_L1500!$G$10:$G$309,J49))+(LN($A49)-LN(INDEX(H_CFD_L1500!$E$10:$E$309,J49)))*(LN(INDEX(H_CFD_L1500!$G$10:$G$309,J49+1))-LN(INDEX(H_CFD_L1500!$G$10:$G$309,J49)))/(LN(INDEX(H_CFD_L1500!$E$10:$E$309,J49+1))-LN(INDEX(H_CFD_L1500!$E$10:$E$309,J49)))),""))</f>
        <v>7.6664029826873422E-4</v>
      </c>
      <c r="D49" s="34">
        <f>IF(K49="","",IFERROR(EXP(LN(INDEX(H_CFD_L1500!$K$10:$K$309,K49))+(LN($A49)-LN(INDEX(H_CFD_L1500!$I$10:$I$309,K49)))*(LN(INDEX(H_CFD_L1500!$K$10:$K$309,K49+1))-LN(INDEX(H_CFD_L1500!$K$10:$K$309,K49)))/(LN(INDEX(H_CFD_L1500!$I$10:$I$309,K49+1))-LN(INDEX(H_CFD_L1500!$I$10:$I$309,K49)))),""))</f>
        <v>1.0014580493035534E-3</v>
      </c>
      <c r="E49" s="34">
        <f>IF(L49="","",IFERROR(EXP(LN(INDEX(H_CFD_L1500!$O$10:$O$309,L49))+(LN($A49)-LN(INDEX(H_CFD_L1500!$M$10:$M$309,L49)))*(LN(INDEX(H_CFD_L1500!$O$10:$O$309,L49+1))-LN(INDEX(H_CFD_L1500!$O$10:$O$309,L49)))/(LN(INDEX(H_CFD_L1500!$M$10:$M$309,L49+1))-LN(INDEX(H_CFD_L1500!$M$10:$M$309,L49)))),""))</f>
        <v>1.2321354958198289E-3</v>
      </c>
      <c r="F49" s="34">
        <f>IF(M49="","",IFERROR(EXP(LN(INDEX(H_CFD_L1500!$S$10:$S$309,M49))+(LN($A49)-LN(INDEX(H_CFD_L1500!$Q$10:$Q$309,M49)))*(LN(INDEX(H_CFD_L1500!$S$10:$S$309,M49+1))-LN(INDEX(H_CFD_L1500!$S$10:$S$309,M49)))/(LN(INDEX(H_CFD_L1500!$Q$10:$Q$309,M49+1))-LN(INDEX(H_CFD_L1500!$Q$10:$Q$309,M49)))),""))</f>
        <v>1.00835436098906E-3</v>
      </c>
      <c r="G49" s="34">
        <f t="shared" si="4"/>
        <v>1.0604480959028684E-3</v>
      </c>
      <c r="H49" s="45">
        <f t="shared" si="5"/>
        <v>0.49697102470228127</v>
      </c>
      <c r="I49" s="18">
        <f>IF(OR(B$39&lt;=0,$A49&gt;=MAX(H_CFD_L1500!$A$10:$A$309)),"",IFERROR(MATCH($A49,INDEX(H_CFD_L1500!$A$10:$A$309,1):INDEX(H_CFD_L1500!$A$10:$A$309,COUNT(H_CFD_L1500!$A$10:$A$309)),1),""))</f>
        <v>100</v>
      </c>
      <c r="J49" s="18">
        <f>IF(OR(C$39&lt;=0,$A49&gt;=MAX(H_CFD_L1500!$E$10:$E$309)),"",IFERROR(MATCH($A49,INDEX(H_CFD_L1500!$E$10:$E$309,1):INDEX(H_CFD_L1500!$E$10:$E$309,COUNT(H_CFD_L1500!$E$10:$E$309)),1),""))</f>
        <v>135</v>
      </c>
      <c r="K49" s="18">
        <f>IF(OR(D$39&lt;=0,$A49&gt;=MAX(H_CFD_L1500!$I$10:$I$309)),"",IFERROR(MATCH($A49,INDEX(H_CFD_L1500!$I$10:$I$309,1):INDEX(H_CFD_L1500!$I$10:$I$309,COUNT(H_CFD_L1500!$I$10:$I$309)),1),""))</f>
        <v>122</v>
      </c>
      <c r="L49" s="18">
        <f>IF(OR(E$39&lt;=0,$A49&gt;=MAX(H_CFD_L1500!$M$10:$M$309)),"",IFERROR(MATCH($A49,INDEX(H_CFD_L1500!$M$10:$M$309,1):INDEX(H_CFD_L1500!$M$10:$M$309,COUNT(H_CFD_L1500!$M$10:$M$309)),1),""))</f>
        <v>108</v>
      </c>
      <c r="M49" s="18">
        <f>IF(OR(F$39&lt;=0,$A49&gt;=MAX(H_CFD_L1500!$Q$10:$Q$309)),"",IFERROR(MATCH($A49,INDEX(H_CFD_L1500!$Q$10:$Q$309,1):INDEX(H_CFD_L1500!$Q$10:$Q$309,COUNT(H_CFD_L1500!$Q$10:$Q$309)),1),""))</f>
        <v>104</v>
      </c>
    </row>
    <row r="50" spans="1:13" x14ac:dyDescent="0.25">
      <c r="A50" s="9">
        <v>4.5</v>
      </c>
      <c r="B50" s="34">
        <f>IF(I50="","",IFERROR(EXP(LN(INDEX(H_CFD_L1500!$C$10:$C$309,I50))+(LN($A50)-LN(INDEX(H_CFD_L1500!$A$10:$A$309,I50)))*(LN(INDEX(H_CFD_L1500!$C$10:$C$309,I50+1))-LN(INDEX(H_CFD_L1500!$C$10:$C$309,I50)))/(LN(INDEX(H_CFD_L1500!$A$10:$A$309,I50+1))-LN(INDEX(H_CFD_L1500!$A$10:$A$309,I50)))),""))</f>
        <v>1.0458162447232802E-3</v>
      </c>
      <c r="C50" s="34" t="str">
        <f>IF(J50="","",IFERROR(EXP(LN(INDEX(H_CFD_L1500!$G$10:$G$309,J50))+(LN($A50)-LN(INDEX(H_CFD_L1500!$E$10:$E$309,J50)))*(LN(INDEX(H_CFD_L1500!$G$10:$G$309,J50+1))-LN(INDEX(H_CFD_L1500!$G$10:$G$309,J50)))/(LN(INDEX(H_CFD_L1500!$E$10:$E$309,J50+1))-LN(INDEX(H_CFD_L1500!$E$10:$E$309,J50)))),""))</f>
        <v/>
      </c>
      <c r="D50" s="34">
        <f>IF(K50="","",IFERROR(EXP(LN(INDEX(H_CFD_L1500!$K$10:$K$309,K50))+(LN($A50)-LN(INDEX(H_CFD_L1500!$I$10:$I$309,K50)))*(LN(INDEX(H_CFD_L1500!$K$10:$K$309,K50+1))-LN(INDEX(H_CFD_L1500!$K$10:$K$309,K50)))/(LN(INDEX(H_CFD_L1500!$I$10:$I$309,K50+1))-LN(INDEX(H_CFD_L1500!$I$10:$I$309,K50)))),""))</f>
        <v>7.0917384447354394E-4</v>
      </c>
      <c r="E50" s="34">
        <f>IF(L50="","",IFERROR(EXP(LN(INDEX(H_CFD_L1500!$O$10:$O$309,L50))+(LN($A50)-LN(INDEX(H_CFD_L1500!$M$10:$M$309,L50)))*(LN(INDEX(H_CFD_L1500!$O$10:$O$309,L50+1))-LN(INDEX(H_CFD_L1500!$O$10:$O$309,L50)))/(LN(INDEX(H_CFD_L1500!$M$10:$M$309,L50+1))-LN(INDEX(H_CFD_L1500!$M$10:$M$309,L50)))),""))</f>
        <v>1.0116759578584164E-3</v>
      </c>
      <c r="F50" s="34">
        <f>IF(M50="","",IFERROR(EXP(LN(INDEX(H_CFD_L1500!$S$10:$S$309,M50))+(LN($A50)-LN(INDEX(H_CFD_L1500!$Q$10:$Q$309,M50)))*(LN(INDEX(H_CFD_L1500!$S$10:$S$309,M50+1))-LN(INDEX(H_CFD_L1500!$S$10:$S$309,M50)))/(LN(INDEX(H_CFD_L1500!$Q$10:$Q$309,M50+1))-LN(INDEX(H_CFD_L1500!$Q$10:$Q$309,M50)))),""))</f>
        <v>8.4028626387475038E-4</v>
      </c>
      <c r="G50" s="34">
        <f t="shared" si="4"/>
        <v>9.0173807773249776E-4</v>
      </c>
      <c r="H50" s="45">
        <f t="shared" si="5"/>
        <v>0.37332614487818255</v>
      </c>
      <c r="I50" s="18">
        <f>IF(OR(B$39&lt;=0,$A50&gt;=MAX(H_CFD_L1500!$A$10:$A$309)),"",IFERROR(MATCH($A50,INDEX(H_CFD_L1500!$A$10:$A$309,1):INDEX(H_CFD_L1500!$A$10:$A$309,COUNT(H_CFD_L1500!$A$10:$A$309)),1),""))</f>
        <v>112</v>
      </c>
      <c r="J50" s="18" t="str">
        <f>IF(OR(C$39&lt;=0,$A50&gt;=MAX(H_CFD_L1500!$E$10:$E$309)),"",IFERROR(MATCH($A50,INDEX(H_CFD_L1500!$E$10:$E$309,1):INDEX(H_CFD_L1500!$E$10:$E$309,COUNT(H_CFD_L1500!$E$10:$E$309)),1),""))</f>
        <v/>
      </c>
      <c r="K50" s="18">
        <f>IF(OR(D$39&lt;=0,$A50&gt;=MAX(H_CFD_L1500!$I$10:$I$309)),"",IFERROR(MATCH($A50,INDEX(H_CFD_L1500!$I$10:$I$309,1):INDEX(H_CFD_L1500!$I$10:$I$309,COUNT(H_CFD_L1500!$I$10:$I$309)),1),""))</f>
        <v>137</v>
      </c>
      <c r="L50" s="18">
        <f>IF(OR(E$39&lt;=0,$A50&gt;=MAX(H_CFD_L1500!$M$10:$M$309)),"",IFERROR(MATCH($A50,INDEX(H_CFD_L1500!$M$10:$M$309,1):INDEX(H_CFD_L1500!$M$10:$M$309,COUNT(H_CFD_L1500!$M$10:$M$309)),1),""))</f>
        <v>122</v>
      </c>
      <c r="M50" s="18">
        <f>IF(OR(F$39&lt;=0,$A50&gt;=MAX(H_CFD_L1500!$Q$10:$Q$309)),"",IFERROR(MATCH($A50,INDEX(H_CFD_L1500!$Q$10:$Q$309,1):INDEX(H_CFD_L1500!$Q$10:$Q$309,COUNT(H_CFD_L1500!$Q$10:$Q$309)),1),""))</f>
        <v>117</v>
      </c>
    </row>
    <row r="51" spans="1:13" x14ac:dyDescent="0.25">
      <c r="A51" s="9">
        <v>5</v>
      </c>
      <c r="B51" s="34">
        <f>IF(I51="","",IFERROR(EXP(LN(INDEX(H_CFD_L1500!$C$10:$C$309,I51))+(LN($A51)-LN(INDEX(H_CFD_L1500!$A$10:$A$309,I51)))*(LN(INDEX(H_CFD_L1500!$C$10:$C$309,I51+1))-LN(INDEX(H_CFD_L1500!$C$10:$C$309,I51)))/(LN(INDEX(H_CFD_L1500!$A$10:$A$309,I51+1))-LN(INDEX(H_CFD_L1500!$A$10:$A$309,I51)))),""))</f>
        <v>7.9758903723397981E-4</v>
      </c>
      <c r="C51" s="34" t="str">
        <f>IF(J51="","",IFERROR(EXP(LN(INDEX(H_CFD_L1500!$G$10:$G$309,J51))+(LN($A51)-LN(INDEX(H_CFD_L1500!$E$10:$E$309,J51)))*(LN(INDEX(H_CFD_L1500!$G$10:$G$309,J51+1))-LN(INDEX(H_CFD_L1500!$G$10:$G$309,J51)))/(LN(INDEX(H_CFD_L1500!$E$10:$E$309,J51+1))-LN(INDEX(H_CFD_L1500!$E$10:$E$309,J51)))),""))</f>
        <v/>
      </c>
      <c r="D51" s="34" t="str">
        <f>IF(K51="","",IFERROR(EXP(LN(INDEX(H_CFD_L1500!$K$10:$K$309,K51))+(LN($A51)-LN(INDEX(H_CFD_L1500!$I$10:$I$309,K51)))*(LN(INDEX(H_CFD_L1500!$K$10:$K$309,K51+1))-LN(INDEX(H_CFD_L1500!$K$10:$K$309,K51)))/(LN(INDEX(H_CFD_L1500!$I$10:$I$309,K51+1))-LN(INDEX(H_CFD_L1500!$I$10:$I$309,K51)))),""))</f>
        <v/>
      </c>
      <c r="E51" s="34">
        <f>IF(L51="","",IFERROR(EXP(LN(INDEX(H_CFD_L1500!$O$10:$O$309,L51))+(LN($A51)-LN(INDEX(H_CFD_L1500!$M$10:$M$309,L51)))*(LN(INDEX(H_CFD_L1500!$O$10:$O$309,L51+1))-LN(INDEX(H_CFD_L1500!$O$10:$O$309,L51)))/(LN(INDEX(H_CFD_L1500!$M$10:$M$309,L51+1))-LN(INDEX(H_CFD_L1500!$M$10:$M$309,L51)))),""))</f>
        <v>7.254038517811015E-4</v>
      </c>
      <c r="F51" s="34">
        <f>IF(M51="","",IFERROR(EXP(LN(INDEX(H_CFD_L1500!$S$10:$S$309,M51))+(LN($A51)-LN(INDEX(H_CFD_L1500!$Q$10:$Q$309,M51)))*(LN(INDEX(H_CFD_L1500!$S$10:$S$309,M51+1))-LN(INDEX(H_CFD_L1500!$S$10:$S$309,M51)))/(LN(INDEX(H_CFD_L1500!$Q$10:$Q$309,M51+1))-LN(INDEX(H_CFD_L1500!$Q$10:$Q$309,M51)))),""))</f>
        <v>7.781496153507955E-4</v>
      </c>
      <c r="G51" s="34">
        <f t="shared" si="4"/>
        <v>7.670475014552922E-4</v>
      </c>
      <c r="H51" s="45">
        <f t="shared" si="5"/>
        <v>9.4107842494661545E-2</v>
      </c>
      <c r="I51" s="18">
        <f>IF(OR(B$39&lt;=0,$A51&gt;=MAX(H_CFD_L1500!$A$10:$A$309)),"",IFERROR(MATCH($A51,INDEX(H_CFD_L1500!$A$10:$A$309,1):INDEX(H_CFD_L1500!$A$10:$A$309,COUNT(H_CFD_L1500!$A$10:$A$309)),1),""))</f>
        <v>125</v>
      </c>
      <c r="J51" s="18" t="str">
        <f>IF(OR(C$39&lt;=0,$A51&gt;=MAX(H_CFD_L1500!$E$10:$E$309)),"",IFERROR(MATCH($A51,INDEX(H_CFD_L1500!$E$10:$E$309,1):INDEX(H_CFD_L1500!$E$10:$E$309,COUNT(H_CFD_L1500!$E$10:$E$309)),1),""))</f>
        <v/>
      </c>
      <c r="K51" s="18" t="str">
        <f>IF(OR(D$39&lt;=0,$A51&gt;=MAX(H_CFD_L1500!$I$10:$I$309)),"",IFERROR(MATCH($A51,INDEX(H_CFD_L1500!$I$10:$I$309,1):INDEX(H_CFD_L1500!$I$10:$I$309,COUNT(H_CFD_L1500!$I$10:$I$309)),1),""))</f>
        <v/>
      </c>
      <c r="L51" s="18">
        <f>IF(OR(E$39&lt;=0,$A51&gt;=MAX(H_CFD_L1500!$M$10:$M$309)),"",IFERROR(MATCH($A51,INDEX(H_CFD_L1500!$M$10:$M$309,1):INDEX(H_CFD_L1500!$M$10:$M$309,COUNT(H_CFD_L1500!$M$10:$M$309)),1),""))</f>
        <v>135</v>
      </c>
      <c r="M51" s="18">
        <f>IF(OR(F$39&lt;=0,$A51&gt;=MAX(H_CFD_L1500!$Q$10:$Q$309)),"",IFERROR(MATCH($A51,INDEX(H_CFD_L1500!$Q$10:$Q$309,1):INDEX(H_CFD_L1500!$Q$10:$Q$309,COUNT(H_CFD_L1500!$Q$10:$Q$309)),1),""))</f>
        <v>130</v>
      </c>
    </row>
    <row r="52" spans="1:13" x14ac:dyDescent="0.25">
      <c r="A52" s="9">
        <v>5.5</v>
      </c>
      <c r="B52" s="34">
        <f>IF(I52="","",IFERROR(EXP(LN(INDEX(H_CFD_L1500!$C$10:$C$309,I52))+(LN($A52)-LN(INDEX(H_CFD_L1500!$A$10:$A$309,I52)))*(LN(INDEX(H_CFD_L1500!$C$10:$C$309,I52+1))-LN(INDEX(H_CFD_L1500!$C$10:$C$309,I52)))/(LN(INDEX(H_CFD_L1500!$A$10:$A$309,I52+1))-LN(INDEX(H_CFD_L1500!$A$10:$A$309,I52)))),""))</f>
        <v>5.6609687650446057E-4</v>
      </c>
      <c r="C52" s="34" t="str">
        <f>IF(J52="","",IFERROR(EXP(LN(INDEX(H_CFD_L1500!$G$10:$G$309,J52))+(LN($A52)-LN(INDEX(H_CFD_L1500!$E$10:$E$309,J52)))*(LN(INDEX(H_CFD_L1500!$G$10:$G$309,J52+1))-LN(INDEX(H_CFD_L1500!$G$10:$G$309,J52)))/(LN(INDEX(H_CFD_L1500!$E$10:$E$309,J52+1))-LN(INDEX(H_CFD_L1500!$E$10:$E$309,J52)))),""))</f>
        <v/>
      </c>
      <c r="D52" s="34" t="str">
        <f>IF(K52="","",IFERROR(EXP(LN(INDEX(H_CFD_L1500!$K$10:$K$309,K52))+(LN($A52)-LN(INDEX(H_CFD_L1500!$I$10:$I$309,K52)))*(LN(INDEX(H_CFD_L1500!$K$10:$K$309,K52+1))-LN(INDEX(H_CFD_L1500!$K$10:$K$309,K52)))/(LN(INDEX(H_CFD_L1500!$I$10:$I$309,K52+1))-LN(INDEX(H_CFD_L1500!$I$10:$I$309,K52)))),""))</f>
        <v/>
      </c>
      <c r="E52" s="34">
        <f>IF(L52="","",IFERROR(EXP(LN(INDEX(H_CFD_L1500!$O$10:$O$309,L52))+(LN($A52)-LN(INDEX(H_CFD_L1500!$M$10:$M$309,L52)))*(LN(INDEX(H_CFD_L1500!$O$10:$O$309,L52+1))-LN(INDEX(H_CFD_L1500!$O$10:$O$309,L52)))/(LN(INDEX(H_CFD_L1500!$M$10:$M$309,L52+1))-LN(INDEX(H_CFD_L1500!$M$10:$M$309,L52)))),""))</f>
        <v>3.228508111695886E-4</v>
      </c>
      <c r="F52" s="34">
        <f>IF(M52="","",IFERROR(EXP(LN(INDEX(H_CFD_L1500!$S$10:$S$309,M52))+(LN($A52)-LN(INDEX(H_CFD_L1500!$Q$10:$Q$309,M52)))*(LN(INDEX(H_CFD_L1500!$S$10:$S$309,M52+1))-LN(INDEX(H_CFD_L1500!$S$10:$S$309,M52)))/(LN(INDEX(H_CFD_L1500!$Q$10:$Q$309,M52+1))-LN(INDEX(H_CFD_L1500!$Q$10:$Q$309,M52)))),""))</f>
        <v>5.1913027024485885E-4</v>
      </c>
      <c r="G52" s="34">
        <f t="shared" si="4"/>
        <v>4.6935931930630267E-4</v>
      </c>
      <c r="H52" s="45">
        <f t="shared" si="5"/>
        <v>0.51825127429957396</v>
      </c>
      <c r="I52" s="18">
        <f>IF(OR(B$39&lt;=0,$A52&gt;=MAX(H_CFD_L1500!$A$10:$A$309)),"",IFERROR(MATCH($A52,INDEX(H_CFD_L1500!$A$10:$A$309,1):INDEX(H_CFD_L1500!$A$10:$A$309,COUNT(H_CFD_L1500!$A$10:$A$309)),1),""))</f>
        <v>137</v>
      </c>
      <c r="J52" s="18" t="str">
        <f>IF(OR(C$39&lt;=0,$A52&gt;=MAX(H_CFD_L1500!$E$10:$E$309)),"",IFERROR(MATCH($A52,INDEX(H_CFD_L1500!$E$10:$E$309,1):INDEX(H_CFD_L1500!$E$10:$E$309,COUNT(H_CFD_L1500!$E$10:$E$309)),1),""))</f>
        <v/>
      </c>
      <c r="K52" s="18" t="str">
        <f>IF(OR(D$39&lt;=0,$A52&gt;=MAX(H_CFD_L1500!$I$10:$I$309)),"",IFERROR(MATCH($A52,INDEX(H_CFD_L1500!$I$10:$I$309,1):INDEX(H_CFD_L1500!$I$10:$I$309,COUNT(H_CFD_L1500!$I$10:$I$309)),1),""))</f>
        <v/>
      </c>
      <c r="L52" s="18">
        <f>IF(OR(E$39&lt;=0,$A52&gt;=MAX(H_CFD_L1500!$M$10:$M$309)),"",IFERROR(MATCH($A52,INDEX(H_CFD_L1500!$M$10:$M$309,1):INDEX(H_CFD_L1500!$M$10:$M$309,COUNT(H_CFD_L1500!$M$10:$M$309)),1),""))</f>
        <v>149</v>
      </c>
      <c r="M52" s="18">
        <f>IF(OR(F$39&lt;=0,$A52&gt;=MAX(H_CFD_L1500!$Q$10:$Q$309)),"",IFERROR(MATCH($A52,INDEX(H_CFD_L1500!$Q$10:$Q$309,1):INDEX(H_CFD_L1500!$Q$10:$Q$309,COUNT(H_CFD_L1500!$Q$10:$Q$309)),1),""))</f>
        <v>142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1100-000002000000}">
            <xm:f>$A8&gt;H_Parametri!$B$7</xm:f>
            <x14:dxf>
              <fill>
                <patternFill>
                  <bgColor rgb="FFD9D9D9"/>
                </patternFill>
              </fill>
            </x14:dxf>
          </x14:cfRule>
          <xm:sqref>A8:H18</xm:sqref>
        </x14:conditionalFormatting>
        <x14:conditionalFormatting xmlns:xm="http://schemas.microsoft.com/office/excel/2006/main">
          <x14:cfRule type="expression" priority="3" id="{00000000-000E-0000-1100-000003000000}">
            <xm:f>$A25&gt;H_Parametri!$B$7</xm:f>
            <x14:dxf>
              <fill>
                <patternFill>
                  <bgColor rgb="FFD9D9D9"/>
                </patternFill>
              </fill>
            </x14:dxf>
          </x14:cfRule>
          <xm:sqref>A25:H35</xm:sqref>
        </x14:conditionalFormatting>
        <x14:conditionalFormatting xmlns:xm="http://schemas.microsoft.com/office/excel/2006/main">
          <x14:cfRule type="expression" priority="4" id="{00000000-000E-0000-1100-000004000000}">
            <xm:f>$A42&gt;H_Parametri!$B$7</xm:f>
            <x14:dxf>
              <fill>
                <patternFill>
                  <bgColor rgb="FFD9D9D9"/>
                </patternFill>
              </fill>
            </x14:dxf>
          </x14:cfRule>
          <xm:sqref>A42:H52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65911"/>
  </sheetPr>
  <dimension ref="A1:J23"/>
  <sheetViews>
    <sheetView topLeftCell="A6" zoomScaleNormal="100" workbookViewId="0"/>
  </sheetViews>
  <sheetFormatPr defaultColWidth="8.7109375" defaultRowHeight="15" x14ac:dyDescent="0.25"/>
  <cols>
    <col min="1" max="1" width="40" customWidth="1"/>
    <col min="2" max="9" width="17" customWidth="1"/>
    <col min="10" max="10" width="40" customWidth="1"/>
  </cols>
  <sheetData>
    <row r="1" spans="1:10" ht="18" x14ac:dyDescent="0.25">
      <c r="A1" s="2" t="s">
        <v>230</v>
      </c>
    </row>
    <row r="2" spans="1:10" x14ac:dyDescent="0.25">
      <c r="A2" s="3" t="s">
        <v>231</v>
      </c>
    </row>
    <row r="3" spans="1:10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spans="1:10" ht="38.25" x14ac:dyDescent="0.25">
      <c r="A4" s="16" t="s">
        <v>6</v>
      </c>
      <c r="B4" s="20">
        <f>Parametri!B4</f>
        <v>0.04</v>
      </c>
      <c r="C4" s="7" t="s">
        <v>7</v>
      </c>
      <c r="D4" s="5" t="s">
        <v>232</v>
      </c>
    </row>
    <row r="5" spans="1:10" x14ac:dyDescent="0.25">
      <c r="A5" s="16" t="s">
        <v>233</v>
      </c>
      <c r="B5" s="8">
        <v>6</v>
      </c>
      <c r="C5" s="7" t="s">
        <v>7</v>
      </c>
      <c r="D5" s="5" t="s">
        <v>234</v>
      </c>
    </row>
    <row r="6" spans="1:10" ht="89.25" x14ac:dyDescent="0.25">
      <c r="A6" s="16" t="s">
        <v>235</v>
      </c>
      <c r="B6" s="8">
        <v>1</v>
      </c>
      <c r="C6" s="7" t="s">
        <v>7</v>
      </c>
      <c r="D6" s="5" t="s">
        <v>236</v>
      </c>
    </row>
    <row r="7" spans="1:10" ht="51" x14ac:dyDescent="0.25">
      <c r="A7" s="16" t="s">
        <v>13</v>
      </c>
      <c r="B7" s="9">
        <f>B5-B6</f>
        <v>5</v>
      </c>
      <c r="C7" s="7" t="s">
        <v>7</v>
      </c>
      <c r="D7" s="5" t="s">
        <v>237</v>
      </c>
    </row>
    <row r="8" spans="1:10" ht="25.5" x14ac:dyDescent="0.25">
      <c r="A8" s="16" t="s">
        <v>18</v>
      </c>
      <c r="B8" s="17">
        <f>Parametri!B10</f>
        <v>0.25</v>
      </c>
      <c r="C8" s="7" t="s">
        <v>19</v>
      </c>
      <c r="D8" s="5" t="s">
        <v>20</v>
      </c>
    </row>
    <row r="9" spans="1:10" ht="63.75" x14ac:dyDescent="0.25">
      <c r="A9" s="16" t="s">
        <v>238</v>
      </c>
      <c r="B9" s="8">
        <v>1</v>
      </c>
      <c r="C9" s="7" t="s">
        <v>7</v>
      </c>
      <c r="D9" s="5" t="s">
        <v>239</v>
      </c>
    </row>
    <row r="10" spans="1:10" ht="76.5" x14ac:dyDescent="0.25">
      <c r="A10" s="16" t="s">
        <v>119</v>
      </c>
      <c r="B10" s="18">
        <f>COUNTIF(D14:D16,"&gt;0")</f>
        <v>3</v>
      </c>
      <c r="C10" s="7"/>
      <c r="D10" s="5" t="s">
        <v>240</v>
      </c>
    </row>
    <row r="12" spans="1:10" ht="25.5" x14ac:dyDescent="0.25">
      <c r="A12" s="22" t="s">
        <v>241</v>
      </c>
    </row>
    <row r="13" spans="1:10" ht="25.5" x14ac:dyDescent="0.25">
      <c r="A13" s="4" t="s">
        <v>28</v>
      </c>
      <c r="B13" s="4" t="s">
        <v>29</v>
      </c>
      <c r="C13" s="4" t="s">
        <v>30</v>
      </c>
      <c r="D13" s="4" t="s">
        <v>242</v>
      </c>
      <c r="E13" s="4" t="s">
        <v>243</v>
      </c>
      <c r="F13" s="4" t="s">
        <v>244</v>
      </c>
      <c r="G13" s="4" t="s">
        <v>245</v>
      </c>
      <c r="H13" s="4" t="s">
        <v>246</v>
      </c>
      <c r="I13" s="4" t="s">
        <v>151</v>
      </c>
      <c r="J13" s="4" t="s">
        <v>5</v>
      </c>
    </row>
    <row r="14" spans="1:10" x14ac:dyDescent="0.25">
      <c r="A14" s="12">
        <v>500</v>
      </c>
      <c r="B14" s="13">
        <f>A14/1000</f>
        <v>0.5</v>
      </c>
      <c r="C14" s="14">
        <f>B14*$B$4</f>
        <v>0.02</v>
      </c>
      <c r="D14" s="18">
        <f>COUNTIF(H_Curve!B5:F5,"&gt;0")</f>
        <v>4</v>
      </c>
      <c r="E14" s="18">
        <f>IF(D14&gt;0,SMALL(H_Curve!B5:F5,COUNTIF(H_Curve!B5:F5,"&lt;=0")+1),"n.d.")</f>
        <v>75</v>
      </c>
      <c r="F14" s="18">
        <f>IF(D14&gt;0,MAX(H_Curve!B5:F5),"n.d.")</f>
        <v>210</v>
      </c>
      <c r="G14" s="34">
        <f>IFERROR(AVERAGE(H_Curve!B6:F6),"n.d.")</f>
        <v>3.8107762156226396E-2</v>
      </c>
      <c r="H14" s="34">
        <f>IFERROR(1/(3600*G14),"n.d.")</f>
        <v>7.2892702709490362E-3</v>
      </c>
      <c r="I14" s="13">
        <f>IFERROR(H14/C14,"n.d.")</f>
        <v>0.36446351354745182</v>
      </c>
      <c r="J14" s="5" t="str">
        <f>IF(D14=0,"nessun dato: incollare in H_CFD_L500","")</f>
        <v/>
      </c>
    </row>
    <row r="15" spans="1:10" x14ac:dyDescent="0.25">
      <c r="A15" s="12">
        <v>1000</v>
      </c>
      <c r="B15" s="13">
        <f>A15/1000</f>
        <v>1</v>
      </c>
      <c r="C15" s="14">
        <f>B15*$B$4</f>
        <v>0.04</v>
      </c>
      <c r="D15" s="18">
        <f>COUNTIF(H_Curve!B22:F22,"&gt;0")</f>
        <v>4</v>
      </c>
      <c r="E15" s="18">
        <f>IF(D15&gt;0,SMALL(H_Curve!B22:F22,COUNTIF(H_Curve!B22:F22,"&lt;=0")+1),"n.d.")</f>
        <v>80</v>
      </c>
      <c r="F15" s="18">
        <f>IF(D15&gt;0,MAX(H_Curve!B22:F22),"n.d.")</f>
        <v>300</v>
      </c>
      <c r="G15" s="34">
        <f>IFERROR(AVERAGE(H_Curve!B23:F23),"n.d.")</f>
        <v>1.6015913427441651E-2</v>
      </c>
      <c r="H15" s="34">
        <f>IFERROR(1/(3600*G15),"n.d.")</f>
        <v>1.734386109391885E-2</v>
      </c>
      <c r="I15" s="13">
        <f>IFERROR(H15/C15,"n.d.")</f>
        <v>0.43359652734797127</v>
      </c>
      <c r="J15" s="5" t="str">
        <f>IF(D15=0,"nessun dato: incollare in H_CFD_L1000","")</f>
        <v/>
      </c>
    </row>
    <row r="16" spans="1:10" x14ac:dyDescent="0.25">
      <c r="A16" s="12">
        <v>1500</v>
      </c>
      <c r="B16" s="13">
        <f>A16/1000</f>
        <v>1.5</v>
      </c>
      <c r="C16" s="14">
        <f>B16*$B$4</f>
        <v>0.06</v>
      </c>
      <c r="D16" s="18">
        <f>COUNTIF(H_Curve!B39:F39,"&gt;0")</f>
        <v>5</v>
      </c>
      <c r="E16" s="18">
        <f>IF(D16&gt;0,SMALL(H_Curve!B39:F39,COUNTIF(H_Curve!B39:F39,"&lt;=0")+1),"n.d.")</f>
        <v>80</v>
      </c>
      <c r="F16" s="18">
        <f>IF(D16&gt;0,MAX(H_Curve!B39:F39),"n.d.")</f>
        <v>450</v>
      </c>
      <c r="G16" s="34">
        <f>IFERROR(AVERAGE(H_Curve!B40:F40),"n.d.")</f>
        <v>1.2301980109869336E-2</v>
      </c>
      <c r="H16" s="34">
        <f>IFERROR(1/(3600*G16),"n.d.")</f>
        <v>2.2579924150172289E-2</v>
      </c>
      <c r="I16" s="13">
        <f>IFERROR(H16/C16,"n.d.")</f>
        <v>0.37633206916953815</v>
      </c>
      <c r="J16" s="5" t="str">
        <f>IF(D16=0,"nessun dato: incollare in H_CFD_L1500","")</f>
        <v/>
      </c>
    </row>
    <row r="18" spans="1:1" x14ac:dyDescent="0.25">
      <c r="A18" s="22" t="s">
        <v>247</v>
      </c>
    </row>
    <row r="19" spans="1:1" x14ac:dyDescent="0.25">
      <c r="A19" s="3" t="s">
        <v>248</v>
      </c>
    </row>
    <row r="20" spans="1:1" x14ac:dyDescent="0.25">
      <c r="A20" s="3" t="s">
        <v>249</v>
      </c>
    </row>
    <row r="21" spans="1:1" x14ac:dyDescent="0.25">
      <c r="A21" s="3" t="s">
        <v>250</v>
      </c>
    </row>
    <row r="22" spans="1:1" x14ac:dyDescent="0.25">
      <c r="A22" s="3" t="s">
        <v>251</v>
      </c>
    </row>
    <row r="23" spans="1:1" x14ac:dyDescent="0.25">
      <c r="A23" s="3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59"/>
  <sheetViews>
    <sheetView workbookViewId="0">
      <pane ySplit="4" topLeftCell="A5" activePane="bottomLeft" state="frozen"/>
    </sheetView>
  </sheetViews>
  <sheetFormatPr defaultRowHeight="15"/>
  <cols>
    <col min="1" max="1" width="24" customWidth="1"/>
    <col min="2" max="2" width="38" customWidth="1"/>
    <col min="3" max="5" width="31" customWidth="1"/>
    <col min="6" max="7" width="4" customWidth="1"/>
    <col min="8" max="14" width="18" customWidth="1"/>
    <col min="15" max="15" width="4" customWidth="1"/>
    <col min="16" max="19" width="20" customWidth="1"/>
  </cols>
  <sheetData>
    <row r="1">
      <c r="A1" s="2" t="inlineStr">
        <is>
          <t xml:space="preserve">Verifica del lancio fino a 15 m – caso isotermo L=1500 mm, Q=450 m³/h</t>
        </is>
      </c>
      <c r="P1" s="2" t="inlineStr">
        <is>
          <t xml:space="preserve">Regressione di controllo sul profilo CFD orizzontale nativo</t>
        </is>
      </c>
    </row>
    <row r="2">
      <c r="A2" s="3" t="inlineStr">
        <is>
          <t xml:space="preserve">Profilo CFD orizzontale disponibile fino a 5,772 m; oltre tale distanza e dopo l’impatto i risultati sono estrapolazioni. Verticale senza CFD dedicato.</t>
        </is>
      </c>
      <c r="P2" s="3" t="inlineStr">
        <is>
          <t xml:space="preserve">K e lunghezza di nucleo stimati su H_CFD_L1500, portata 450 m³/h, x ≥ transizione; esponente 1/2.</t>
        </is>
      </c>
    </row>
    <row r="4">
      <c r="A4" s="4" t="inlineStr">
        <is>
          <t xml:space="preserve">Parametro modificabile / calcolato</t>
        </is>
      </c>
      <c r="B4" s="4" t="inlineStr">
        <is>
          <t xml:space="preserve">Valore</t>
        </is>
      </c>
      <c r="C4" s="4" t="inlineStr">
        <is>
          <t xml:space="preserve">Unità</t>
        </is>
      </c>
      <c r="D4" s="4" t="inlineStr">
        <is>
          <t xml:space="preserve">Nota</t>
        </is>
      </c>
      <c r="P4" s="4" t="inlineStr">
        <is>
          <t xml:space="preserve">x CFD (m)</t>
        </is>
      </c>
      <c r="Q4" s="4" t="inlineStr">
        <is>
          <t xml:space="preserve">V CFD (m/s)</t>
        </is>
      </c>
      <c r="R4" s="4" t="inlineStr">
        <is>
          <t xml:space="preserve">V regressione (m/s)</t>
        </is>
      </c>
      <c r="S4" s="4" t="inlineStr">
        <is>
          <t xml:space="preserve">Residuo (m/s)</t>
        </is>
      </c>
    </row>
    <row r="5">
      <c r="A5" s="16" t="inlineStr">
        <is>
          <t xml:space="preserve">Portata totale</t>
        </is>
      </c>
      <c r="B5" s="8">
        <v>450</v>
      </c>
      <c r="C5" s="5" t="inlineStr">
        <is>
          <t xml:space="preserve">m³/h</t>
        </is>
      </c>
      <c r="D5" s="5" t="inlineStr">
        <is>
          <t xml:space="preserve">Valore mostrato nell’immagine CFD: 450 m³/h.</t>
        </is>
      </c>
      <c r="H5" s="4" t="inlineStr">
        <is>
          <t xml:space="preserve">X (m)</t>
        </is>
      </c>
      <c r="I5" s="4" t="inlineStr">
        <is>
          <t xml:space="preserve">Y (m)</t>
        </is>
      </c>
      <c r="J5" s="4" t="inlineStr">
        <is>
          <t xml:space="preserve">Distanza lungo traiettoria (m)</t>
        </is>
      </c>
      <c r="K5" s="4" t="inlineStr">
        <is>
          <t xml:space="preserve">V CFD (m/s)</t>
        </is>
      </c>
      <c r="L5" s="4" t="inlineStr">
        <is>
          <t xml:space="preserve">Modello (m/s)</t>
        </is>
      </c>
      <c r="M5" s="4" t="inlineStr">
        <is>
          <t xml:space="preserve">Scarto (m/s)</t>
        </is>
      </c>
      <c r="N5" s="4" t="inlineStr">
        <is>
          <t xml:space="preserve">Scarto relativo</t>
        </is>
      </c>
      <c r="P5" s="42">
        <f>'H_CFD_L1500'!Q10</f>
        <v/>
      </c>
      <c r="Q5" s="42">
        <f>'H_CFD_L1500'!R10</f>
        <v/>
      </c>
      <c r="R5" s="13">
        <f>IF(P5&gt;=$B$12,$B$10*$B$17*SQRT($B$6/(P5-$B$12+$B$11))/SQRT(1+P5/$B$7),"")</f>
        <v/>
      </c>
      <c r="S5" s="13">
        <f>IF(R5="","",R5-Q5)</f>
        <v/>
      </c>
    </row>
    <row r="6">
      <c r="A6" s="16" t="inlineStr">
        <is>
          <t xml:space="preserve">Larghezza fessura</t>
        </is>
      </c>
      <c r="B6" s="8">
        <v>0.04</v>
      </c>
      <c r="C6" s="5" t="inlineStr">
        <is>
          <t xml:space="preserve">m</t>
        </is>
      </c>
      <c r="D6" s="5" t="inlineStr">
        <is>
          <t xml:space="preserve">Slot 40 mm.</t>
        </is>
      </c>
      <c r="H6" s="42">
        <v>0.021</v>
      </c>
      <c r="I6" s="42">
        <v>2.994</v>
      </c>
      <c r="J6" s="42">
        <v>0.0</v>
      </c>
      <c r="K6" s="42">
        <v>5.498</v>
      </c>
      <c r="L6" s="13">
        <f>IF(J6&gt;='H_CFD_L1500'!$Q$159,'H_CFD_L1500'!$R$159*SQRT(('H_CFD_L1500'!$Q$159-$B$12+$B$11)/(J6-$B$12+$B$11))*SQRT((1+'H_CFD_L1500'!$Q$159/$B$7)/(1+J6/$B$7))*IF(J6&gt;=$B$8,$B$13,1),INDEX('H_CFD_L1500'!$R$10:$R$159,MATCH(J6,'H_CFD_L1500'!$Q$10:$Q$159,1))+(J6-INDEX('H_CFD_L1500'!$Q$10:$Q$159,MATCH(J6,'H_CFD_L1500'!$Q$10:$Q$159,1)))*(INDEX('H_CFD_L1500'!$R$10:$R$159,MATCH(J6,'H_CFD_L1500'!$Q$10:$Q$159,1)+1)-INDEX('H_CFD_L1500'!$R$10:$R$159,MATCH(J6,'H_CFD_L1500'!$Q$10:$Q$159,1)))/(INDEX('H_CFD_L1500'!$Q$10:$Q$159,MATCH(J6,'H_CFD_L1500'!$Q$10:$Q$159,1)+1)-INDEX('H_CFD_L1500'!$Q$10:$Q$159,MATCH(J6,'H_CFD_L1500'!$Q$10:$Q$159,1))))</f>
        <v/>
      </c>
      <c r="M6" s="13">
        <f>L6-K6</f>
        <v/>
      </c>
      <c r="N6" s="13">
        <f>IFERROR(M6/K6,"")</f>
        <v/>
      </c>
      <c r="P6" s="42">
        <f>'H_CFD_L1500'!Q11</f>
        <v/>
      </c>
      <c r="Q6" s="42">
        <f>'H_CFD_L1500'!R11</f>
        <v/>
      </c>
      <c r="R6" s="13">
        <f>IF(P6&gt;=$B$12,$B$10*$B$17*SQRT($B$6/(P6-$B$12+$B$11))/SQRT(1+P6/$B$7),"")</f>
        <v/>
      </c>
      <c r="S6" s="13">
        <f>IF(R6="","",R6-Q6)</f>
        <v/>
      </c>
    </row>
    <row r="7">
      <c r="A7" s="16" t="inlineStr">
        <is>
          <t xml:space="preserve">Lunghezza diffusore</t>
        </is>
      </c>
      <c r="B7" s="8">
        <v>1.5</v>
      </c>
      <c r="C7" s="5" t="inlineStr">
        <is>
          <t xml:space="preserve">m</t>
        </is>
      </c>
      <c r="D7" s="5" t="inlineStr">
        <is>
          <t xml:space="preserve">L=1500 mm; correzione finita nel modello: 1/SQRT(1+x/L).</t>
        </is>
      </c>
      <c r="H7" s="42">
        <v>0.501</v>
      </c>
      <c r="I7" s="42">
        <v>2.632</v>
      </c>
      <c r="J7" s="42">
        <v>0.601202</v>
      </c>
      <c r="K7" s="42">
        <v>0.88</v>
      </c>
      <c r="L7" s="13">
        <f>IF(J7&gt;='H_CFD_L1500'!$Q$159,'H_CFD_L1500'!$R$159*SQRT(('H_CFD_L1500'!$Q$159-$B$12+$B$11)/(J7-$B$12+$B$11))*SQRT((1+'H_CFD_L1500'!$Q$159/$B$7)/(1+J7/$B$7))*IF(J7&gt;=$B$8,$B$13,1),INDEX('H_CFD_L1500'!$R$10:$R$159,MATCH(J7,'H_CFD_L1500'!$Q$10:$Q$159,1))+(J7-INDEX('H_CFD_L1500'!$Q$10:$Q$159,MATCH(J7,'H_CFD_L1500'!$Q$10:$Q$159,1)))*(INDEX('H_CFD_L1500'!$R$10:$R$159,MATCH(J7,'H_CFD_L1500'!$Q$10:$Q$159,1)+1)-INDEX('H_CFD_L1500'!$R$10:$R$159,MATCH(J7,'H_CFD_L1500'!$Q$10:$Q$159,1)))/(INDEX('H_CFD_L1500'!$Q$10:$Q$159,MATCH(J7,'H_CFD_L1500'!$Q$10:$Q$159,1)+1)-INDEX('H_CFD_L1500'!$Q$10:$Q$159,MATCH(J7,'H_CFD_L1500'!$Q$10:$Q$159,1))))</f>
        <v/>
      </c>
      <c r="M7" s="13">
        <f>L7-K7</f>
        <v/>
      </c>
      <c r="N7" s="13">
        <f>IFERROR(M7/K7,"")</f>
        <v/>
      </c>
      <c r="P7" s="42">
        <f>'H_CFD_L1500'!Q12</f>
        <v/>
      </c>
      <c r="Q7" s="42">
        <f>'H_CFD_L1500'!R12</f>
        <v/>
      </c>
      <c r="R7" s="13">
        <f>IF(P7&gt;=$B$12,$B$10*$B$17*SQRT($B$6/(P7-$B$12+$B$11))/SQRT(1+P7/$B$7),"")</f>
        <v/>
      </c>
      <c r="S7" s="13">
        <f>IF(R7="","",R7-Q7)</f>
        <v/>
      </c>
    </row>
    <row r="8">
      <c r="A8" s="16" t="inlineStr">
        <is>
          <t xml:space="preserve">Distanza parete (orizzontale)</t>
        </is>
      </c>
      <c r="B8" s="8">
        <v>6</v>
      </c>
      <c r="C8" s="5" t="inlineStr">
        <is>
          <t xml:space="preserve">m</t>
        </is>
      </c>
      <c r="D8" s="5" t="inlineStr">
        <is>
          <t xml:space="preserve">Il fattore di perdita orizzontale si applica da qui in poi.</t>
        </is>
      </c>
      <c r="H8" s="42">
        <v>0.995</v>
      </c>
      <c r="I8" s="42">
        <v>2.56</v>
      </c>
      <c r="J8" s="42">
        <v>1.100422</v>
      </c>
      <c r="K8" s="42">
        <v>0.866</v>
      </c>
      <c r="L8" s="13">
        <f>IF(J8&gt;='H_CFD_L1500'!$Q$159,'H_CFD_L1500'!$R$159*SQRT(('H_CFD_L1500'!$Q$159-$B$12+$B$11)/(J8-$B$12+$B$11))*SQRT((1+'H_CFD_L1500'!$Q$159/$B$7)/(1+J8/$B$7))*IF(J8&gt;=$B$8,$B$13,1),INDEX('H_CFD_L1500'!$R$10:$R$159,MATCH(J8,'H_CFD_L1500'!$Q$10:$Q$159,1))+(J8-INDEX('H_CFD_L1500'!$Q$10:$Q$159,MATCH(J8,'H_CFD_L1500'!$Q$10:$Q$159,1)))*(INDEX('H_CFD_L1500'!$R$10:$R$159,MATCH(J8,'H_CFD_L1500'!$Q$10:$Q$159,1)+1)-INDEX('H_CFD_L1500'!$R$10:$R$159,MATCH(J8,'H_CFD_L1500'!$Q$10:$Q$159,1)))/(INDEX('H_CFD_L1500'!$Q$10:$Q$159,MATCH(J8,'H_CFD_L1500'!$Q$10:$Q$159,1)+1)-INDEX('H_CFD_L1500'!$Q$10:$Q$159,MATCH(J8,'H_CFD_L1500'!$Q$10:$Q$159,1))))</f>
        <v/>
      </c>
      <c r="M8" s="13">
        <f>L8-K8</f>
        <v/>
      </c>
      <c r="N8" s="13">
        <f>IFERROR(M8/K8,"")</f>
        <v/>
      </c>
      <c r="P8" s="42">
        <f>'H_CFD_L1500'!Q13</f>
        <v/>
      </c>
      <c r="Q8" s="42">
        <f>'H_CFD_L1500'!R13</f>
        <v/>
      </c>
      <c r="R8" s="13">
        <f>IF(P8&gt;=$B$12,$B$10*$B$17*SQRT($B$6/(P8-$B$12+$B$11))/SQRT(1+P8/$B$7),"")</f>
        <v/>
      </c>
      <c r="S8" s="13">
        <f>IF(R8="","",R8-Q8)</f>
        <v/>
      </c>
    </row>
    <row r="9">
      <c r="A9" s="16" t="inlineStr">
        <is>
          <t xml:space="preserve">Distanza soffitto (verticale)</t>
        </is>
      </c>
      <c r="B9" s="8">
        <v>10</v>
      </c>
      <c r="C9" s="5" t="inlineStr">
        <is>
          <t xml:space="preserve">m</t>
        </is>
      </c>
      <c r="D9" s="5" t="inlineStr">
        <is>
          <t xml:space="preserve">Si assume getto verticale verso l’alto; dopo l’impatto continua lungo il soffitto.</t>
        </is>
      </c>
      <c r="H9" s="42">
        <v>1.513</v>
      </c>
      <c r="I9" s="42">
        <v>2.512</v>
      </c>
      <c r="J9" s="42">
        <v>1.620641</v>
      </c>
      <c r="K9" s="42">
        <v>0.873</v>
      </c>
      <c r="L9" s="13">
        <f>IF(J9&gt;='H_CFD_L1500'!$Q$159,'H_CFD_L1500'!$R$159*SQRT(('H_CFD_L1500'!$Q$159-$B$12+$B$11)/(J9-$B$12+$B$11))*SQRT((1+'H_CFD_L1500'!$Q$159/$B$7)/(1+J9/$B$7))*IF(J9&gt;=$B$8,$B$13,1),INDEX('H_CFD_L1500'!$R$10:$R$159,MATCH(J9,'H_CFD_L1500'!$Q$10:$Q$159,1))+(J9-INDEX('H_CFD_L1500'!$Q$10:$Q$159,MATCH(J9,'H_CFD_L1500'!$Q$10:$Q$159,1)))*(INDEX('H_CFD_L1500'!$R$10:$R$159,MATCH(J9,'H_CFD_L1500'!$Q$10:$Q$159,1)+1)-INDEX('H_CFD_L1500'!$R$10:$R$159,MATCH(J9,'H_CFD_L1500'!$Q$10:$Q$159,1)))/(INDEX('H_CFD_L1500'!$Q$10:$Q$159,MATCH(J9,'H_CFD_L1500'!$Q$10:$Q$159,1)+1)-INDEX('H_CFD_L1500'!$Q$10:$Q$159,MATCH(J9,'H_CFD_L1500'!$Q$10:$Q$159,1))))</f>
        <v/>
      </c>
      <c r="M9" s="13">
        <f>L9-K9</f>
        <v/>
      </c>
      <c r="N9" s="13">
        <f>IFERROR(M9/K9,"")</f>
        <v/>
      </c>
      <c r="P9" s="42">
        <f>'H_CFD_L1500'!Q14</f>
        <v/>
      </c>
      <c r="Q9" s="42">
        <f>'H_CFD_L1500'!R14</f>
        <v/>
      </c>
      <c r="R9" s="13">
        <f>IF(P9&gt;=$B$12,$B$10*$B$17*SQRT($B$6/(P9-$B$12+$B$11))/SQRT(1+P9/$B$7),"")</f>
        <v/>
      </c>
      <c r="S9" s="13">
        <f>IF(R9="","",R9-Q9)</f>
        <v/>
      </c>
    </row>
    <row r="10">
      <c r="A10" s="16" t="inlineStr">
        <is>
          <t xml:space="preserve">K orizzontale (regressione)</t>
        </is>
      </c>
      <c r="B10" s="8">
        <v>2.485519478</v>
      </c>
      <c r="C10" s="5" t="inlineStr">
        <is>
          <t xml:space="preserve">—</t>
        </is>
      </c>
      <c r="D10" s="5" t="inlineStr">
        <is>
          <t xml:space="preserve">Fit ai dati nativi H_CFD_L1500, Q=450, x ≥ 3,129 m.</t>
        </is>
      </c>
      <c r="H10" s="42">
        <v>2.006</v>
      </c>
      <c r="I10" s="42">
        <v>2.488</v>
      </c>
      <c r="J10" s="42">
        <v>2.114225</v>
      </c>
      <c r="K10" s="42">
        <v>0.85</v>
      </c>
      <c r="L10" s="13">
        <f>IF(J10&gt;='H_CFD_L1500'!$Q$159,'H_CFD_L1500'!$R$159*SQRT(('H_CFD_L1500'!$Q$159-$B$12+$B$11)/(J10-$B$12+$B$11))*SQRT((1+'H_CFD_L1500'!$Q$159/$B$7)/(1+J10/$B$7))*IF(J10&gt;=$B$8,$B$13,1),INDEX('H_CFD_L1500'!$R$10:$R$159,MATCH(J10,'H_CFD_L1500'!$Q$10:$Q$159,1))+(J10-INDEX('H_CFD_L1500'!$Q$10:$Q$159,MATCH(J10,'H_CFD_L1500'!$Q$10:$Q$159,1)))*(INDEX('H_CFD_L1500'!$R$10:$R$159,MATCH(J10,'H_CFD_L1500'!$Q$10:$Q$159,1)+1)-INDEX('H_CFD_L1500'!$R$10:$R$159,MATCH(J10,'H_CFD_L1500'!$Q$10:$Q$159,1)))/(INDEX('H_CFD_L1500'!$Q$10:$Q$159,MATCH(J10,'H_CFD_L1500'!$Q$10:$Q$159,1)+1)-INDEX('H_CFD_L1500'!$Q$10:$Q$159,MATCH(J10,'H_CFD_L1500'!$Q$10:$Q$159,1))))</f>
        <v/>
      </c>
      <c r="M10" s="13">
        <f>L10-K10</f>
        <v/>
      </c>
      <c r="N10" s="13">
        <f>IFERROR(M10/K10,"")</f>
        <v/>
      </c>
      <c r="P10" s="42">
        <f>'H_CFD_L1500'!Q15</f>
        <v/>
      </c>
      <c r="Q10" s="42">
        <f>'H_CFD_L1500'!R15</f>
        <v/>
      </c>
      <c r="R10" s="13">
        <f>IF(P10&gt;=$B$12,$B$10*$B$17*SQRT($B$6/(P10-$B$12+$B$11))/SQRT(1+P10/$B$7),"")</f>
        <v/>
      </c>
      <c r="S10" s="13">
        <f>IF(R10="","",R10-Q10)</f>
        <v/>
      </c>
    </row>
    <row r="11">
      <c r="A11" s="16" t="inlineStr">
        <is>
          <t xml:space="preserve">Lunghezza nucleo / transizione</t>
        </is>
      </c>
      <c r="B11" s="8">
        <v>0.553</v>
      </c>
      <c r="C11" s="5" t="inlineStr">
        <is>
          <t xml:space="preserve">m</t>
        </is>
      </c>
      <c r="D11" s="5" t="inlineStr">
        <is>
          <t xml:space="preserve">Parametro di fit; formula: K·V0·SQRT(b/(x−xtr+lc))/SQRT(1+x/L).</t>
        </is>
      </c>
      <c r="H11" s="42">
        <v>2.5</v>
      </c>
      <c r="I11" s="42">
        <v>2.5</v>
      </c>
      <c r="J11" s="42">
        <v>2.60837</v>
      </c>
      <c r="K11" s="42">
        <v>0.813</v>
      </c>
      <c r="L11" s="13">
        <f>IF(J11&gt;='H_CFD_L1500'!$Q$159,'H_CFD_L1500'!$R$159*SQRT(('H_CFD_L1500'!$Q$159-$B$12+$B$11)/(J11-$B$12+$B$11))*SQRT((1+'H_CFD_L1500'!$Q$159/$B$7)/(1+J11/$B$7))*IF(J11&gt;=$B$8,$B$13,1),INDEX('H_CFD_L1500'!$R$10:$R$159,MATCH(J11,'H_CFD_L1500'!$Q$10:$Q$159,1))+(J11-INDEX('H_CFD_L1500'!$Q$10:$Q$159,MATCH(J11,'H_CFD_L1500'!$Q$10:$Q$159,1)))*(INDEX('H_CFD_L1500'!$R$10:$R$159,MATCH(J11,'H_CFD_L1500'!$Q$10:$Q$159,1)+1)-INDEX('H_CFD_L1500'!$R$10:$R$159,MATCH(J11,'H_CFD_L1500'!$Q$10:$Q$159,1)))/(INDEX('H_CFD_L1500'!$Q$10:$Q$159,MATCH(J11,'H_CFD_L1500'!$Q$10:$Q$159,1)+1)-INDEX('H_CFD_L1500'!$Q$10:$Q$159,MATCH(J11,'H_CFD_L1500'!$Q$10:$Q$159,1))))</f>
        <v/>
      </c>
      <c r="M11" s="13">
        <f>L11-K11</f>
        <v/>
      </c>
      <c r="N11" s="13">
        <f>IFERROR(M11/K11,"")</f>
        <v/>
      </c>
      <c r="P11" s="42">
        <f>'H_CFD_L1500'!Q16</f>
        <v/>
      </c>
      <c r="Q11" s="42">
        <f>'H_CFD_L1500'!R16</f>
        <v/>
      </c>
      <c r="R11" s="13">
        <f>IF(P11&gt;=$B$12,$B$10*$B$17*SQRT($B$6/(P11-$B$12+$B$11))/SQRT(1+P11/$B$7),"")</f>
        <v/>
      </c>
      <c r="S11" s="13">
        <f>IF(R11="","",R11-Q11)</f>
        <v/>
      </c>
    </row>
    <row r="12">
      <c r="A12" s="16" t="inlineStr">
        <is>
          <t xml:space="preserve">Inizio tratto di transizione</t>
        </is>
      </c>
      <c r="B12" s="8">
        <v>3.128589</v>
      </c>
      <c r="C12" s="5" t="inlineStr">
        <is>
          <t xml:space="preserve">m</t>
        </is>
      </c>
      <c r="D12" s="5" t="inlineStr">
        <is>
          <t xml:space="preserve">Distanza curvilinea del punto in cui il campionamento mostra la deviazione.</t>
        </is>
      </c>
      <c r="H12" s="42">
        <v>3.018</v>
      </c>
      <c r="I12" s="42">
        <v>2.452</v>
      </c>
      <c r="J12" s="42">
        <v>3.128589</v>
      </c>
      <c r="K12" s="42">
        <v>0.72</v>
      </c>
      <c r="L12" s="13">
        <f>IF(J12&gt;='H_CFD_L1500'!$Q$159,'H_CFD_L1500'!$R$159*SQRT(('H_CFD_L1500'!$Q$159-$B$12+$B$11)/(J12-$B$12+$B$11))*SQRT((1+'H_CFD_L1500'!$Q$159/$B$7)/(1+J12/$B$7))*IF(J12&gt;=$B$8,$B$13,1),INDEX('H_CFD_L1500'!$R$10:$R$159,MATCH(J12,'H_CFD_L1500'!$Q$10:$Q$159,1))+(J12-INDEX('H_CFD_L1500'!$Q$10:$Q$159,MATCH(J12,'H_CFD_L1500'!$Q$10:$Q$159,1)))*(INDEX('H_CFD_L1500'!$R$10:$R$159,MATCH(J12,'H_CFD_L1500'!$Q$10:$Q$159,1)+1)-INDEX('H_CFD_L1500'!$R$10:$R$159,MATCH(J12,'H_CFD_L1500'!$Q$10:$Q$159,1)))/(INDEX('H_CFD_L1500'!$Q$10:$Q$159,MATCH(J12,'H_CFD_L1500'!$Q$10:$Q$159,1)+1)-INDEX('H_CFD_L1500'!$Q$10:$Q$159,MATCH(J12,'H_CFD_L1500'!$Q$10:$Q$159,1))))</f>
        <v/>
      </c>
      <c r="M12" s="13">
        <f>L12-K12</f>
        <v/>
      </c>
      <c r="N12" s="13">
        <f>IFERROR(M12/K12,"")</f>
        <v/>
      </c>
      <c r="P12" s="42">
        <f>'H_CFD_L1500'!Q17</f>
        <v/>
      </c>
      <c r="Q12" s="42">
        <f>'H_CFD_L1500'!R17</f>
        <v/>
      </c>
      <c r="R12" s="13">
        <f>IF(P12&gt;=$B$12,$B$10*$B$17*SQRT($B$6/(P12-$B$12+$B$11))/SQRT(1+P12/$B$7),"")</f>
        <v/>
      </c>
      <c r="S12" s="13">
        <f>IF(R12="","",R12-Q12)</f>
        <v/>
      </c>
    </row>
    <row r="13">
      <c r="A13" s="16" t="inlineStr">
        <is>
          <t xml:space="preserve">Perdita all’impatto parete</t>
        </is>
      </c>
      <c r="B13" s="8">
        <v>0.7</v>
      </c>
      <c r="C13" s="5" t="inlineStr">
        <is>
          <t xml:space="preserve">—</t>
        </is>
      </c>
      <c r="D13" s="5" t="inlineStr">
        <is>
          <t xml:space="preserve">Ipotesi editabile, non calibrata: moltiplicatore della velocità dopo parete.</t>
        </is>
      </c>
      <c r="H13" s="42">
        <v>3.499</v>
      </c>
      <c r="I13" s="42">
        <v>2.139</v>
      </c>
      <c r="J13" s="42">
        <v>3.702462</v>
      </c>
      <c r="K13" s="42">
        <v>0.533</v>
      </c>
      <c r="L13" s="13">
        <f>IF(J13&gt;='H_CFD_L1500'!$Q$159,'H_CFD_L1500'!$R$159*SQRT(('H_CFD_L1500'!$Q$159-$B$12+$B$11)/(J13-$B$12+$B$11))*SQRT((1+'H_CFD_L1500'!$Q$159/$B$7)/(1+J13/$B$7))*IF(J13&gt;=$B$8,$B$13,1),INDEX('H_CFD_L1500'!$R$10:$R$159,MATCH(J13,'H_CFD_L1500'!$Q$10:$Q$159,1))+(J13-INDEX('H_CFD_L1500'!$Q$10:$Q$159,MATCH(J13,'H_CFD_L1500'!$Q$10:$Q$159,1)))*(INDEX('H_CFD_L1500'!$R$10:$R$159,MATCH(J13,'H_CFD_L1500'!$Q$10:$Q$159,1)+1)-INDEX('H_CFD_L1500'!$R$10:$R$159,MATCH(J13,'H_CFD_L1500'!$Q$10:$Q$159,1)))/(INDEX('H_CFD_L1500'!$Q$10:$Q$159,MATCH(J13,'H_CFD_L1500'!$Q$10:$Q$159,1)+1)-INDEX('H_CFD_L1500'!$Q$10:$Q$159,MATCH(J13,'H_CFD_L1500'!$Q$10:$Q$159,1))))</f>
        <v/>
      </c>
      <c r="M13" s="13">
        <f>L13-K13</f>
        <v/>
      </c>
      <c r="N13" s="13">
        <f>IFERROR(M13/K13,"")</f>
        <v/>
      </c>
      <c r="P13" s="42">
        <f>'H_CFD_L1500'!Q18</f>
        <v/>
      </c>
      <c r="Q13" s="42">
        <f>'H_CFD_L1500'!R18</f>
        <v/>
      </c>
      <c r="R13" s="13">
        <f>IF(P13&gt;=$B$12,$B$10*$B$17*SQRT($B$6/(P13-$B$12+$B$11))/SQRT(1+P13/$B$7),"")</f>
        <v/>
      </c>
      <c r="S13" s="13">
        <f>IF(R13="","",R13-Q13)</f>
        <v/>
      </c>
    </row>
    <row r="14">
      <c r="A14" s="16" t="inlineStr">
        <is>
          <t xml:space="preserve">K verticale (ipotesi)</t>
        </is>
      </c>
      <c r="B14" s="8">
        <v>2.485519478</v>
      </c>
      <c r="C14" s="5" t="inlineStr">
        <is>
          <t xml:space="preserve">—</t>
        </is>
      </c>
      <c r="D14" s="5" t="inlineStr">
        <is>
          <t xml:space="preserve">Nessun CFD verticale verso il soffitto: assunto uguale a K orizzontale.</t>
        </is>
      </c>
      <c r="H14" s="42">
        <v>3.704</v>
      </c>
      <c r="I14" s="42">
        <v>1.729</v>
      </c>
      <c r="J14" s="42">
        <v>4.160856</v>
      </c>
      <c r="K14" s="42">
        <v>0.419</v>
      </c>
      <c r="L14" s="13">
        <f>IF(J14&gt;='H_CFD_L1500'!$Q$159,'H_CFD_L1500'!$R$159*SQRT(('H_CFD_L1500'!$Q$159-$B$12+$B$11)/(J14-$B$12+$B$11))*SQRT((1+'H_CFD_L1500'!$Q$159/$B$7)/(1+J14/$B$7))*IF(J14&gt;=$B$8,$B$13,1),INDEX('H_CFD_L1500'!$R$10:$R$159,MATCH(J14,'H_CFD_L1500'!$Q$10:$Q$159,1))+(J14-INDEX('H_CFD_L1500'!$Q$10:$Q$159,MATCH(J14,'H_CFD_L1500'!$Q$10:$Q$159,1)))*(INDEX('H_CFD_L1500'!$R$10:$R$159,MATCH(J14,'H_CFD_L1500'!$Q$10:$Q$159,1)+1)-INDEX('H_CFD_L1500'!$R$10:$R$159,MATCH(J14,'H_CFD_L1500'!$Q$10:$Q$159,1)))/(INDEX('H_CFD_L1500'!$Q$10:$Q$159,MATCH(J14,'H_CFD_L1500'!$Q$10:$Q$159,1)+1)-INDEX('H_CFD_L1500'!$Q$10:$Q$159,MATCH(J14,'H_CFD_L1500'!$Q$10:$Q$159,1))))</f>
        <v/>
      </c>
      <c r="M14" s="13">
        <f>L14-K14</f>
        <v/>
      </c>
      <c r="N14" s="13">
        <f>IFERROR(M14/K14,"")</f>
        <v/>
      </c>
      <c r="P14" s="42">
        <f>'H_CFD_L1500'!Q19</f>
        <v/>
      </c>
      <c r="Q14" s="42">
        <f>'H_CFD_L1500'!R19</f>
        <v/>
      </c>
      <c r="R14" s="13">
        <f>IF(P14&gt;=$B$12,$B$10*$B$17*SQRT($B$6/(P14-$B$12+$B$11))/SQRT(1+P14/$B$7),"")</f>
        <v/>
      </c>
      <c r="S14" s="13">
        <f>IF(R14="","",R14-Q14)</f>
        <v/>
      </c>
    </row>
    <row r="15">
      <c r="A15" s="16" t="inlineStr">
        <is>
          <t xml:space="preserve">Lunghezza nucleo verticale (ipotesi)</t>
        </is>
      </c>
      <c r="B15" s="8">
        <v>0.553</v>
      </c>
      <c r="C15" s="5" t="inlineStr">
        <is>
          <t xml:space="preserve">m</t>
        </is>
      </c>
      <c r="D15" s="5" t="inlineStr">
        <is>
          <t xml:space="preserve">Assunta uguale alla transizione orizzontale; modificabile.</t>
        </is>
      </c>
      <c r="H15" s="42">
        <v>3.885</v>
      </c>
      <c r="I15" s="42">
        <v>1.127</v>
      </c>
      <c r="J15" s="42">
        <v>4.789478</v>
      </c>
      <c r="K15" s="42">
        <v>0.369</v>
      </c>
      <c r="L15" s="13">
        <f>IF(J15&gt;='H_CFD_L1500'!$Q$159,'H_CFD_L1500'!$R$159*SQRT(('H_CFD_L1500'!$Q$159-$B$12+$B$11)/(J15-$B$12+$B$11))*SQRT((1+'H_CFD_L1500'!$Q$159/$B$7)/(1+J15/$B$7))*IF(J15&gt;=$B$8,$B$13,1),INDEX('H_CFD_L1500'!$R$10:$R$159,MATCH(J15,'H_CFD_L1500'!$Q$10:$Q$159,1))+(J15-INDEX('H_CFD_L1500'!$Q$10:$Q$159,MATCH(J15,'H_CFD_L1500'!$Q$10:$Q$159,1)))*(INDEX('H_CFD_L1500'!$R$10:$R$159,MATCH(J15,'H_CFD_L1500'!$Q$10:$Q$159,1)+1)-INDEX('H_CFD_L1500'!$R$10:$R$159,MATCH(J15,'H_CFD_L1500'!$Q$10:$Q$159,1)))/(INDEX('H_CFD_L1500'!$Q$10:$Q$159,MATCH(J15,'H_CFD_L1500'!$Q$10:$Q$159,1)+1)-INDEX('H_CFD_L1500'!$Q$10:$Q$159,MATCH(J15,'H_CFD_L1500'!$Q$10:$Q$159,1))))</f>
        <v/>
      </c>
      <c r="M15" s="13">
        <f>L15-K15</f>
        <v/>
      </c>
      <c r="N15" s="13">
        <f>IFERROR(M15/K15,"")</f>
        <v/>
      </c>
      <c r="P15" s="42">
        <f>'H_CFD_L1500'!Q20</f>
        <v/>
      </c>
      <c r="Q15" s="42">
        <f>'H_CFD_L1500'!R20</f>
        <v/>
      </c>
      <c r="R15" s="13">
        <f>IF(P15&gt;=$B$12,$B$10*$B$17*SQRT($B$6/(P15-$B$12+$B$11))/SQRT(1+P15/$B$7),"")</f>
        <v/>
      </c>
      <c r="S15" s="13">
        <f>IF(R15="","",R15-Q15)</f>
        <v/>
      </c>
    </row>
    <row r="16">
      <c r="A16" s="16" t="inlineStr">
        <is>
          <t xml:space="preserve">Perdita all’impatto soffitto</t>
        </is>
      </c>
      <c r="B16" s="8">
        <v>0.7</v>
      </c>
      <c r="C16" s="5" t="inlineStr">
        <is>
          <t xml:space="preserve">—</t>
        </is>
      </c>
      <c r="D16" s="5" t="inlineStr">
        <is>
          <t xml:space="preserve">Ipotesi editabile, non calibrata.</t>
        </is>
      </c>
      <c r="H16" s="42">
        <v>4.005</v>
      </c>
      <c r="I16" s="42">
        <v>0.405</v>
      </c>
      <c r="J16" s="42">
        <v>5.521382</v>
      </c>
      <c r="K16" s="42">
        <v>0.217</v>
      </c>
      <c r="L16" s="13">
        <f>IF(J16&gt;='H_CFD_L1500'!$Q$159,'H_CFD_L1500'!$R$159*SQRT(('H_CFD_L1500'!$Q$159-$B$12+$B$11)/(J16-$B$12+$B$11))*SQRT((1+'H_CFD_L1500'!$Q$159/$B$7)/(1+J16/$B$7))*IF(J16&gt;=$B$8,$B$13,1),INDEX('H_CFD_L1500'!$R$10:$R$159,MATCH(J16,'H_CFD_L1500'!$Q$10:$Q$159,1))+(J16-INDEX('H_CFD_L1500'!$Q$10:$Q$159,MATCH(J16,'H_CFD_L1500'!$Q$10:$Q$159,1)))*(INDEX('H_CFD_L1500'!$R$10:$R$159,MATCH(J16,'H_CFD_L1500'!$Q$10:$Q$159,1)+1)-INDEX('H_CFD_L1500'!$R$10:$R$159,MATCH(J16,'H_CFD_L1500'!$Q$10:$Q$159,1)))/(INDEX('H_CFD_L1500'!$Q$10:$Q$159,MATCH(J16,'H_CFD_L1500'!$Q$10:$Q$159,1)+1)-INDEX('H_CFD_L1500'!$Q$10:$Q$159,MATCH(J16,'H_CFD_L1500'!$Q$10:$Q$159,1))))</f>
        <v/>
      </c>
      <c r="M16" s="13">
        <f>L16-K16</f>
        <v/>
      </c>
      <c r="N16" s="13">
        <f>IFERROR(M16/K16,"")</f>
        <v/>
      </c>
      <c r="P16" s="42">
        <f>'H_CFD_L1500'!Q21</f>
        <v/>
      </c>
      <c r="Q16" s="42">
        <f>'H_CFD_L1500'!R21</f>
        <v/>
      </c>
      <c r="R16" s="13">
        <f>IF(P16&gt;=$B$12,$B$10*$B$17*SQRT($B$6/(P16-$B$12+$B$11))/SQRT(1+P16/$B$7),"")</f>
        <v/>
      </c>
      <c r="S16" s="13">
        <f>IF(R16="","",R16-Q16)</f>
        <v/>
      </c>
    </row>
    <row r="17">
      <c r="A17" s="16" t="inlineStr">
        <is>
          <t xml:space="preserve">Velocità media allo slot</t>
        </is>
      </c>
      <c r="B17" s="13">
        <f>B5/3600/(B6*B7)</f>
        <v/>
      </c>
      <c r="C17" s="5" t="inlineStr">
        <is>
          <t xml:space="preserve">m/s</t>
        </is>
      </c>
      <c r="D17" s="5" t="inlineStr">
        <is>
          <t xml:space="preserve">450 m³/h / (0,04·1,5 m²) = 2,083 m/s.</t>
        </is>
      </c>
      <c r="P17" s="42">
        <f>'H_CFD_L1500'!Q22</f>
        <v/>
      </c>
      <c r="Q17" s="42">
        <f>'H_CFD_L1500'!R22</f>
        <v/>
      </c>
      <c r="R17" s="13">
        <f>IF(P17&gt;=$B$12,$B$10*$B$17*SQRT($B$6/(P17-$B$12+$B$11))/SQRT(1+P17/$B$7),"")</f>
        <v/>
      </c>
      <c r="S17" s="13">
        <f>IF(R17="","",R17-Q17)</f>
        <v/>
      </c>
    </row>
    <row r="18">
      <c r="A18" s="16" t="inlineStr">
        <is>
          <t xml:space="preserve">Massima distanza CFD nativa</t>
        </is>
      </c>
      <c r="B18" s="13">
        <f>'H_CFD_L1500'!Q159</f>
        <v/>
      </c>
      <c r="C18" s="5" t="inlineStr">
        <is>
          <t xml:space="preserve">m</t>
        </is>
      </c>
      <c r="D18" s="5" t="inlineStr">
        <is>
          <t xml:space="preserve">150 punti CFD nativi, Q=450 m³/h, L=1500 mm.</t>
        </is>
      </c>
      <c r="H18" s="16" t="inlineStr">
        <is>
          <t xml:space="preserve">RMSE sui punti immagine (m/s)</t>
        </is>
      </c>
      <c r="J18" s="13">
        <f>SQRT(SUMSQ(M6:M16)/COUNT(M6:M16))</f>
        <v/>
      </c>
      <c r="P18" s="42">
        <f>'H_CFD_L1500'!Q23</f>
        <v/>
      </c>
      <c r="Q18" s="42">
        <f>'H_CFD_L1500'!R23</f>
        <v/>
      </c>
      <c r="R18" s="13">
        <f>IF(P18&gt;=$B$12,$B$10*$B$17*SQRT($B$6/(P18-$B$12+$B$11))/SQRT(1+P18/$B$7),"")</f>
        <v/>
      </c>
      <c r="S18" s="13">
        <f>IF(R18="","",R18-Q18)</f>
        <v/>
      </c>
    </row>
    <row r="19">
      <c r="A19" s="16" t="inlineStr">
        <is>
          <t xml:space="preserve">Massima distanza punti immagine</t>
        </is>
      </c>
      <c r="B19" s="13">
        <f>MAX(J6:J16)</f>
        <v/>
      </c>
      <c r="C19" s="5" t="inlineStr">
        <is>
          <t xml:space="preserve">m</t>
        </is>
      </c>
      <c r="D19" s="5" t="inlineStr">
        <is>
          <t xml:space="preserve">Distanza curvilinea cumulata tra le coordinate leggibili.</t>
        </is>
      </c>
      <c r="H19" s="16" t="inlineStr">
        <is>
          <t xml:space="preserve">MAE sui punti immagine (m/s)</t>
        </is>
      </c>
      <c r="J19" s="13">
        <f>SUMPRODUCT(IFERROR(ABS(M6:M16),0))/COUNT(M6:M16)</f>
        <v/>
      </c>
      <c r="P19" s="42">
        <f>'H_CFD_L1500'!Q24</f>
        <v/>
      </c>
      <c r="Q19" s="42">
        <f>'H_CFD_L1500'!R24</f>
        <v/>
      </c>
      <c r="R19" s="13">
        <f>IF(P19&gt;=$B$12,$B$10*$B$17*SQRT($B$6/(P19-$B$12+$B$11))/SQRT(1+P19/$B$7),"")</f>
        <v/>
      </c>
      <c r="S19" s="13">
        <f>IF(R19="","",R19-Q19)</f>
        <v/>
      </c>
    </row>
    <row r="20">
      <c r="H20" s="16" t="inlineStr">
        <is>
          <t xml:space="preserve">Nota</t>
        </is>
      </c>
      <c r="I20" s="5" t="inlineStr">
        <is>
          <t xml:space="preserve">Il primo punto è un picco locale vicino allo slot; le distanze sono cumulate tra coordinate annotate, non misure CFD di una singola streamline.</t>
        </is>
      </c>
      <c r="P20" s="42">
        <f>'H_CFD_L1500'!Q25</f>
        <v/>
      </c>
      <c r="Q20" s="42">
        <f>'H_CFD_L1500'!R25</f>
        <v/>
      </c>
      <c r="R20" s="13">
        <f>IF(P20&gt;=$B$12,$B$10*$B$17*SQRT($B$6/(P20-$B$12+$B$11))/SQRT(1+P20/$B$7),"")</f>
        <v/>
      </c>
      <c r="S20" s="13">
        <f>IF(R20="","",R20-Q20)</f>
        <v/>
      </c>
    </row>
    <row r="21">
      <c r="A21" s="4" t="inlineStr">
        <is>
          <t xml:space="preserve">Dati CFD dell’immagine e confronto con il profilo nativo 450 m³/h</t>
        </is>
      </c>
      <c r="P21" s="42">
        <f>'H_CFD_L1500'!Q26</f>
        <v/>
      </c>
      <c r="Q21" s="42">
        <f>'H_CFD_L1500'!R26</f>
        <v/>
      </c>
      <c r="R21" s="13">
        <f>IF(P21&gt;=$B$12,$B$10*$B$17*SQRT($B$6/(P21-$B$12+$B$11))/SQRT(1+P21/$B$7),"")</f>
        <v/>
      </c>
      <c r="S21" s="13">
        <f>IF(R21="","",R21-Q21)</f>
        <v/>
      </c>
    </row>
    <row r="22">
      <c r="P22" s="42">
        <f>'H_CFD_L1500'!Q27</f>
        <v/>
      </c>
      <c r="Q22" s="42">
        <f>'H_CFD_L1500'!R27</f>
        <v/>
      </c>
      <c r="R22" s="13">
        <f>IF(P22&gt;=$B$12,$B$10*$B$17*SQRT($B$6/(P22-$B$12+$B$11))/SQRT(1+P22/$B$7),"")</f>
        <v/>
      </c>
      <c r="S22" s="13">
        <f>IF(R22="","",R22-Q22)</f>
        <v/>
      </c>
    </row>
    <row r="23">
      <c r="A23" s="4" t="inlineStr">
        <is>
          <t xml:space="preserve">Profilo velocità lungo il percorso del getto (0–15 m; passo 0,5 m)</t>
        </is>
      </c>
      <c r="P23" s="42">
        <f>'H_CFD_L1500'!Q28</f>
        <v/>
      </c>
      <c r="Q23" s="42">
        <f>'H_CFD_L1500'!R28</f>
        <v/>
      </c>
      <c r="R23" s="13">
        <f>IF(P23&gt;=$B$12,$B$10*$B$17*SQRT($B$6/(P23-$B$12+$B$11))/SQRT(1+P23/$B$7),"")</f>
        <v/>
      </c>
      <c r="S23" s="13">
        <f>IF(R23="","",R23-Q23)</f>
        <v/>
      </c>
    </row>
    <row r="24">
      <c r="A24" s="4" t="inlineStr">
        <is>
          <t xml:space="preserve">Distanza s (m)</t>
        </is>
      </c>
      <c r="B24" s="4" t="inlineStr">
        <is>
          <t xml:space="preserve">Tratto / validità</t>
        </is>
      </c>
      <c r="C24" s="4" t="inlineStr">
        <is>
          <t xml:space="preserve">Orizzontale (m/s)</t>
        </is>
      </c>
      <c r="D24" s="4" t="inlineStr">
        <is>
          <t xml:space="preserve">Verticale (m/s)</t>
        </is>
      </c>
      <c r="E24" s="4" t="inlineStr">
        <is>
          <t xml:space="preserve">Base del risultato</t>
        </is>
      </c>
      <c r="P24" s="42">
        <f>'H_CFD_L1500'!Q29</f>
        <v/>
      </c>
      <c r="Q24" s="42">
        <f>'H_CFD_L1500'!R29</f>
        <v/>
      </c>
      <c r="R24" s="13">
        <f>IF(P24&gt;=$B$12,$B$10*$B$17*SQRT($B$6/(P24-$B$12+$B$11))/SQRT(1+P24/$B$7),"")</f>
        <v/>
      </c>
      <c r="S24" s="13">
        <f>IF(R24="","",R24-Q24)</f>
        <v/>
      </c>
    </row>
    <row r="25">
      <c r="A25" s="42">
        <v>0</v>
      </c>
      <c r="B25" s="13">
        <f>IF(A25&gt;=$B$8,"Dopo impatto parete","Tratto prima della parete")</f>
        <v/>
      </c>
      <c r="C25" s="13">
        <f>IF(A25&gt;='H_CFD_L1500'!$Q$159,'H_CFD_L1500'!$R$159*SQRT(('H_CFD_L1500'!$Q$159-$B$12+$B$11)/(A25-$B$12+$B$11))*SQRT((1+'H_CFD_L1500'!$Q$159/$B$7)/(1+A25/$B$7))*IF(A25&gt;=$B$8,$B$13,1),INDEX('H_CFD_L1500'!$R$10:$R$159,MATCH(A25,'H_CFD_L1500'!$Q$10:$Q$159,1))+(A25-INDEX('H_CFD_L1500'!$Q$10:$Q$159,MATCH(A25,'H_CFD_L1500'!$Q$10:$Q$159,1)))*(INDEX('H_CFD_L1500'!$R$10:$R$159,MATCH(A25,'H_CFD_L1500'!$Q$10:$Q$159,1)+1)-INDEX('H_CFD_L1500'!$R$10:$R$159,MATCH(A25,'H_CFD_L1500'!$Q$10:$Q$159,1)))/(INDEX('H_CFD_L1500'!$Q$10:$Q$159,MATCH(A25,'H_CFD_L1500'!$Q$10:$Q$159,1)+1)-INDEX('H_CFD_L1500'!$Q$10:$Q$159,MATCH(A25,'H_CFD_L1500'!$Q$10:$Q$159,1))))</f>
        <v/>
      </c>
      <c r="D25" s="13">
        <f>$B$14*$B$17*SQRT($B$6/(A25+$B$15))/SQRT(1+A25/$B$7)*IF(A25&gt;=$B$9,$B$16,1)</f>
        <v/>
      </c>
      <c r="E25" s="13">
        <f>IF(A25&gt;$B$18,"Estrapolazione oltre 5,772 m","Profilo CFD nativo")</f>
        <v/>
      </c>
      <c r="P25" s="42">
        <f>'H_CFD_L1500'!Q30</f>
        <v/>
      </c>
      <c r="Q25" s="42">
        <f>'H_CFD_L1500'!R30</f>
        <v/>
      </c>
      <c r="R25" s="13">
        <f>IF(P25&gt;=$B$12,$B$10*$B$17*SQRT($B$6/(P25-$B$12+$B$11))/SQRT(1+P25/$B$7),"")</f>
        <v/>
      </c>
      <c r="S25" s="13">
        <f>IF(R25="","",R25-Q25)</f>
        <v/>
      </c>
    </row>
    <row r="26">
      <c r="A26" s="13">
        <f>A25+0.5</f>
        <v/>
      </c>
      <c r="B26" s="13">
        <f>IF(A26&gt;=$B$8,"Dopo impatto parete","Tratto prima della parete")</f>
        <v/>
      </c>
      <c r="C26" s="13">
        <f>IF(A26&gt;='H_CFD_L1500'!$Q$159,'H_CFD_L1500'!$R$159*SQRT(('H_CFD_L1500'!$Q$159-$B$12+$B$11)/(A26-$B$12+$B$11))*SQRT((1+'H_CFD_L1500'!$Q$159/$B$7)/(1+A26/$B$7))*IF(A26&gt;=$B$8,$B$13,1),INDEX('H_CFD_L1500'!$R$10:$R$159,MATCH(A26,'H_CFD_L1500'!$Q$10:$Q$159,1))+(A26-INDEX('H_CFD_L1500'!$Q$10:$Q$159,MATCH(A26,'H_CFD_L1500'!$Q$10:$Q$159,1)))*(INDEX('H_CFD_L1500'!$R$10:$R$159,MATCH(A26,'H_CFD_L1500'!$Q$10:$Q$159,1)+1)-INDEX('H_CFD_L1500'!$R$10:$R$159,MATCH(A26,'H_CFD_L1500'!$Q$10:$Q$159,1)))/(INDEX('H_CFD_L1500'!$Q$10:$Q$159,MATCH(A26,'H_CFD_L1500'!$Q$10:$Q$159,1)+1)-INDEX('H_CFD_L1500'!$Q$10:$Q$159,MATCH(A26,'H_CFD_L1500'!$Q$10:$Q$159,1))))</f>
        <v/>
      </c>
      <c r="D26" s="13">
        <f>$B$14*$B$17*SQRT($B$6/(A26+$B$15))/SQRT(1+A26/$B$7)*IF(A26&gt;=$B$9,$B$16,1)</f>
        <v/>
      </c>
      <c r="E26" s="13">
        <f>IF(A26&gt;$B$18,"Estrapolazione oltre 5,772 m","Profilo CFD nativo")</f>
        <v/>
      </c>
      <c r="P26" s="42">
        <f>'H_CFD_L1500'!Q31</f>
        <v/>
      </c>
      <c r="Q26" s="42">
        <f>'H_CFD_L1500'!R31</f>
        <v/>
      </c>
      <c r="R26" s="13">
        <f>IF(P26&gt;=$B$12,$B$10*$B$17*SQRT($B$6/(P26-$B$12+$B$11))/SQRT(1+P26/$B$7),"")</f>
        <v/>
      </c>
      <c r="S26" s="13">
        <f>IF(R26="","",R26-Q26)</f>
        <v/>
      </c>
    </row>
    <row r="27">
      <c r="A27" s="13">
        <f>A26+0.5</f>
        <v/>
      </c>
      <c r="B27" s="13">
        <f>IF(A27&gt;=$B$8,"Dopo impatto parete","Tratto prima della parete")</f>
        <v/>
      </c>
      <c r="C27" s="13">
        <f>IF(A27&gt;='H_CFD_L1500'!$Q$159,'H_CFD_L1500'!$R$159*SQRT(('H_CFD_L1500'!$Q$159-$B$12+$B$11)/(A27-$B$12+$B$11))*SQRT((1+'H_CFD_L1500'!$Q$159/$B$7)/(1+A27/$B$7))*IF(A27&gt;=$B$8,$B$13,1),INDEX('H_CFD_L1500'!$R$10:$R$159,MATCH(A27,'H_CFD_L1500'!$Q$10:$Q$159,1))+(A27-INDEX('H_CFD_L1500'!$Q$10:$Q$159,MATCH(A27,'H_CFD_L1500'!$Q$10:$Q$159,1)))*(INDEX('H_CFD_L1500'!$R$10:$R$159,MATCH(A27,'H_CFD_L1500'!$Q$10:$Q$159,1)+1)-INDEX('H_CFD_L1500'!$R$10:$R$159,MATCH(A27,'H_CFD_L1500'!$Q$10:$Q$159,1)))/(INDEX('H_CFD_L1500'!$Q$10:$Q$159,MATCH(A27,'H_CFD_L1500'!$Q$10:$Q$159,1)+1)-INDEX('H_CFD_L1500'!$Q$10:$Q$159,MATCH(A27,'H_CFD_L1500'!$Q$10:$Q$159,1))))</f>
        <v/>
      </c>
      <c r="D27" s="13">
        <f>$B$14*$B$17*SQRT($B$6/(A27+$B$15))/SQRT(1+A27/$B$7)*IF(A27&gt;=$B$9,$B$16,1)</f>
        <v/>
      </c>
      <c r="E27" s="13">
        <f>IF(A27&gt;$B$18,"Estrapolazione oltre 5,772 m","Profilo CFD nativo")</f>
        <v/>
      </c>
      <c r="P27" s="42">
        <f>'H_CFD_L1500'!Q32</f>
        <v/>
      </c>
      <c r="Q27" s="42">
        <f>'H_CFD_L1500'!R32</f>
        <v/>
      </c>
      <c r="R27" s="13">
        <f>IF(P27&gt;=$B$12,$B$10*$B$17*SQRT($B$6/(P27-$B$12+$B$11))/SQRT(1+P27/$B$7),"")</f>
        <v/>
      </c>
      <c r="S27" s="13">
        <f>IF(R27="","",R27-Q27)</f>
        <v/>
      </c>
    </row>
    <row r="28">
      <c r="A28" s="13">
        <f>A27+0.5</f>
        <v/>
      </c>
      <c r="B28" s="13">
        <f>IF(A28&gt;=$B$8,"Dopo impatto parete","Tratto prima della parete")</f>
        <v/>
      </c>
      <c r="C28" s="13">
        <f>IF(A28&gt;='H_CFD_L1500'!$Q$159,'H_CFD_L1500'!$R$159*SQRT(('H_CFD_L1500'!$Q$159-$B$12+$B$11)/(A28-$B$12+$B$11))*SQRT((1+'H_CFD_L1500'!$Q$159/$B$7)/(1+A28/$B$7))*IF(A28&gt;=$B$8,$B$13,1),INDEX('H_CFD_L1500'!$R$10:$R$159,MATCH(A28,'H_CFD_L1500'!$Q$10:$Q$159,1))+(A28-INDEX('H_CFD_L1500'!$Q$10:$Q$159,MATCH(A28,'H_CFD_L1500'!$Q$10:$Q$159,1)))*(INDEX('H_CFD_L1500'!$R$10:$R$159,MATCH(A28,'H_CFD_L1500'!$Q$10:$Q$159,1)+1)-INDEX('H_CFD_L1500'!$R$10:$R$159,MATCH(A28,'H_CFD_L1500'!$Q$10:$Q$159,1)))/(INDEX('H_CFD_L1500'!$Q$10:$Q$159,MATCH(A28,'H_CFD_L1500'!$Q$10:$Q$159,1)+1)-INDEX('H_CFD_L1500'!$Q$10:$Q$159,MATCH(A28,'H_CFD_L1500'!$Q$10:$Q$159,1))))</f>
        <v/>
      </c>
      <c r="D28" s="13">
        <f>$B$14*$B$17*SQRT($B$6/(A28+$B$15))/SQRT(1+A28/$B$7)*IF(A28&gt;=$B$9,$B$16,1)</f>
        <v/>
      </c>
      <c r="E28" s="13">
        <f>IF(A28&gt;$B$18,"Estrapolazione oltre 5,772 m","Profilo CFD nativo")</f>
        <v/>
      </c>
      <c r="P28" s="42">
        <f>'H_CFD_L1500'!Q33</f>
        <v/>
      </c>
      <c r="Q28" s="42">
        <f>'H_CFD_L1500'!R33</f>
        <v/>
      </c>
      <c r="R28" s="13">
        <f>IF(P28&gt;=$B$12,$B$10*$B$17*SQRT($B$6/(P28-$B$12+$B$11))/SQRT(1+P28/$B$7),"")</f>
        <v/>
      </c>
      <c r="S28" s="13">
        <f>IF(R28="","",R28-Q28)</f>
        <v/>
      </c>
    </row>
    <row r="29">
      <c r="A29" s="13">
        <f>A28+0.5</f>
        <v/>
      </c>
      <c r="B29" s="13">
        <f>IF(A29&gt;=$B$8,"Dopo impatto parete","Tratto prima della parete")</f>
        <v/>
      </c>
      <c r="C29" s="13">
        <f>IF(A29&gt;='H_CFD_L1500'!$Q$159,'H_CFD_L1500'!$R$159*SQRT(('H_CFD_L1500'!$Q$159-$B$12+$B$11)/(A29-$B$12+$B$11))*SQRT((1+'H_CFD_L1500'!$Q$159/$B$7)/(1+A29/$B$7))*IF(A29&gt;=$B$8,$B$13,1),INDEX('H_CFD_L1500'!$R$10:$R$159,MATCH(A29,'H_CFD_L1500'!$Q$10:$Q$159,1))+(A29-INDEX('H_CFD_L1500'!$Q$10:$Q$159,MATCH(A29,'H_CFD_L1500'!$Q$10:$Q$159,1)))*(INDEX('H_CFD_L1500'!$R$10:$R$159,MATCH(A29,'H_CFD_L1500'!$Q$10:$Q$159,1)+1)-INDEX('H_CFD_L1500'!$R$10:$R$159,MATCH(A29,'H_CFD_L1500'!$Q$10:$Q$159,1)))/(INDEX('H_CFD_L1500'!$Q$10:$Q$159,MATCH(A29,'H_CFD_L1500'!$Q$10:$Q$159,1)+1)-INDEX('H_CFD_L1500'!$Q$10:$Q$159,MATCH(A29,'H_CFD_L1500'!$Q$10:$Q$159,1))))</f>
        <v/>
      </c>
      <c r="D29" s="13">
        <f>$B$14*$B$17*SQRT($B$6/(A29+$B$15))/SQRT(1+A29/$B$7)*IF(A29&gt;=$B$9,$B$16,1)</f>
        <v/>
      </c>
      <c r="E29" s="13">
        <f>IF(A29&gt;$B$18,"Estrapolazione oltre 5,772 m","Profilo CFD nativo")</f>
        <v/>
      </c>
      <c r="P29" s="42">
        <f>'H_CFD_L1500'!Q34</f>
        <v/>
      </c>
      <c r="Q29" s="42">
        <f>'H_CFD_L1500'!R34</f>
        <v/>
      </c>
      <c r="R29" s="13">
        <f>IF(P29&gt;=$B$12,$B$10*$B$17*SQRT($B$6/(P29-$B$12+$B$11))/SQRT(1+P29/$B$7),"")</f>
        <v/>
      </c>
      <c r="S29" s="13">
        <f>IF(R29="","",R29-Q29)</f>
        <v/>
      </c>
    </row>
    <row r="30">
      <c r="A30" s="13">
        <f>A29+0.5</f>
        <v/>
      </c>
      <c r="B30" s="13">
        <f>IF(A30&gt;=$B$8,"Dopo impatto parete","Tratto prima della parete")</f>
        <v/>
      </c>
      <c r="C30" s="13">
        <f>IF(A30&gt;='H_CFD_L1500'!$Q$159,'H_CFD_L1500'!$R$159*SQRT(('H_CFD_L1500'!$Q$159-$B$12+$B$11)/(A30-$B$12+$B$11))*SQRT((1+'H_CFD_L1500'!$Q$159/$B$7)/(1+A30/$B$7))*IF(A30&gt;=$B$8,$B$13,1),INDEX('H_CFD_L1500'!$R$10:$R$159,MATCH(A30,'H_CFD_L1500'!$Q$10:$Q$159,1))+(A30-INDEX('H_CFD_L1500'!$Q$10:$Q$159,MATCH(A30,'H_CFD_L1500'!$Q$10:$Q$159,1)))*(INDEX('H_CFD_L1500'!$R$10:$R$159,MATCH(A30,'H_CFD_L1500'!$Q$10:$Q$159,1)+1)-INDEX('H_CFD_L1500'!$R$10:$R$159,MATCH(A30,'H_CFD_L1500'!$Q$10:$Q$159,1)))/(INDEX('H_CFD_L1500'!$Q$10:$Q$159,MATCH(A30,'H_CFD_L1500'!$Q$10:$Q$159,1)+1)-INDEX('H_CFD_L1500'!$Q$10:$Q$159,MATCH(A30,'H_CFD_L1500'!$Q$10:$Q$159,1))))</f>
        <v/>
      </c>
      <c r="D30" s="13">
        <f>$B$14*$B$17*SQRT($B$6/(A30+$B$15))/SQRT(1+A30/$B$7)*IF(A30&gt;=$B$9,$B$16,1)</f>
        <v/>
      </c>
      <c r="E30" s="13">
        <f>IF(A30&gt;$B$18,"Estrapolazione oltre 5,772 m","Profilo CFD nativo")</f>
        <v/>
      </c>
      <c r="P30" s="42">
        <f>'H_CFD_L1500'!Q35</f>
        <v/>
      </c>
      <c r="Q30" s="42">
        <f>'H_CFD_L1500'!R35</f>
        <v/>
      </c>
      <c r="R30" s="13">
        <f>IF(P30&gt;=$B$12,$B$10*$B$17*SQRT($B$6/(P30-$B$12+$B$11))/SQRT(1+P30/$B$7),"")</f>
        <v/>
      </c>
      <c r="S30" s="13">
        <f>IF(R30="","",R30-Q30)</f>
        <v/>
      </c>
    </row>
    <row r="31">
      <c r="A31" s="13">
        <f>A30+0.5</f>
        <v/>
      </c>
      <c r="B31" s="13">
        <f>IF(A31&gt;=$B$8,"Dopo impatto parete","Tratto prima della parete")</f>
        <v/>
      </c>
      <c r="C31" s="13">
        <f>IF(A31&gt;='H_CFD_L1500'!$Q$159,'H_CFD_L1500'!$R$159*SQRT(('H_CFD_L1500'!$Q$159-$B$12+$B$11)/(A31-$B$12+$B$11))*SQRT((1+'H_CFD_L1500'!$Q$159/$B$7)/(1+A31/$B$7))*IF(A31&gt;=$B$8,$B$13,1),INDEX('H_CFD_L1500'!$R$10:$R$159,MATCH(A31,'H_CFD_L1500'!$Q$10:$Q$159,1))+(A31-INDEX('H_CFD_L1500'!$Q$10:$Q$159,MATCH(A31,'H_CFD_L1500'!$Q$10:$Q$159,1)))*(INDEX('H_CFD_L1500'!$R$10:$R$159,MATCH(A31,'H_CFD_L1500'!$Q$10:$Q$159,1)+1)-INDEX('H_CFD_L1500'!$R$10:$R$159,MATCH(A31,'H_CFD_L1500'!$Q$10:$Q$159,1)))/(INDEX('H_CFD_L1500'!$Q$10:$Q$159,MATCH(A31,'H_CFD_L1500'!$Q$10:$Q$159,1)+1)-INDEX('H_CFD_L1500'!$Q$10:$Q$159,MATCH(A31,'H_CFD_L1500'!$Q$10:$Q$159,1))))</f>
        <v/>
      </c>
      <c r="D31" s="13">
        <f>$B$14*$B$17*SQRT($B$6/(A31+$B$15))/SQRT(1+A31/$B$7)*IF(A31&gt;=$B$9,$B$16,1)</f>
        <v/>
      </c>
      <c r="E31" s="13">
        <f>IF(A31&gt;$B$18,"Estrapolazione oltre 5,772 m","Profilo CFD nativo")</f>
        <v/>
      </c>
      <c r="P31" s="42">
        <f>'H_CFD_L1500'!Q36</f>
        <v/>
      </c>
      <c r="Q31" s="42">
        <f>'H_CFD_L1500'!R36</f>
        <v/>
      </c>
      <c r="R31" s="13">
        <f>IF(P31&gt;=$B$12,$B$10*$B$17*SQRT($B$6/(P31-$B$12+$B$11))/SQRT(1+P31/$B$7),"")</f>
        <v/>
      </c>
      <c r="S31" s="13">
        <f>IF(R31="","",R31-Q31)</f>
        <v/>
      </c>
    </row>
    <row r="32">
      <c r="A32" s="13">
        <f>A31+0.5</f>
        <v/>
      </c>
      <c r="B32" s="13">
        <f>IF(A32&gt;=$B$8,"Dopo impatto parete","Tratto prima della parete")</f>
        <v/>
      </c>
      <c r="C32" s="13">
        <f>IF(A32&gt;='H_CFD_L1500'!$Q$159,'H_CFD_L1500'!$R$159*SQRT(('H_CFD_L1500'!$Q$159-$B$12+$B$11)/(A32-$B$12+$B$11))*SQRT((1+'H_CFD_L1500'!$Q$159/$B$7)/(1+A32/$B$7))*IF(A32&gt;=$B$8,$B$13,1),INDEX('H_CFD_L1500'!$R$10:$R$159,MATCH(A32,'H_CFD_L1500'!$Q$10:$Q$159,1))+(A32-INDEX('H_CFD_L1500'!$Q$10:$Q$159,MATCH(A32,'H_CFD_L1500'!$Q$10:$Q$159,1)))*(INDEX('H_CFD_L1500'!$R$10:$R$159,MATCH(A32,'H_CFD_L1500'!$Q$10:$Q$159,1)+1)-INDEX('H_CFD_L1500'!$R$10:$R$159,MATCH(A32,'H_CFD_L1500'!$Q$10:$Q$159,1)))/(INDEX('H_CFD_L1500'!$Q$10:$Q$159,MATCH(A32,'H_CFD_L1500'!$Q$10:$Q$159,1)+1)-INDEX('H_CFD_L1500'!$Q$10:$Q$159,MATCH(A32,'H_CFD_L1500'!$Q$10:$Q$159,1))))</f>
        <v/>
      </c>
      <c r="D32" s="13">
        <f>$B$14*$B$17*SQRT($B$6/(A32+$B$15))/SQRT(1+A32/$B$7)*IF(A32&gt;=$B$9,$B$16,1)</f>
        <v/>
      </c>
      <c r="E32" s="13">
        <f>IF(A32&gt;$B$18,"Estrapolazione oltre 5,772 m","Profilo CFD nativo")</f>
        <v/>
      </c>
      <c r="P32" s="42">
        <f>'H_CFD_L1500'!Q37</f>
        <v/>
      </c>
      <c r="Q32" s="42">
        <f>'H_CFD_L1500'!R37</f>
        <v/>
      </c>
      <c r="R32" s="13">
        <f>IF(P32&gt;=$B$12,$B$10*$B$17*SQRT($B$6/(P32-$B$12+$B$11))/SQRT(1+P32/$B$7),"")</f>
        <v/>
      </c>
      <c r="S32" s="13">
        <f>IF(R32="","",R32-Q32)</f>
        <v/>
      </c>
    </row>
    <row r="33">
      <c r="A33" s="13">
        <f>A32+0.5</f>
        <v/>
      </c>
      <c r="B33" s="13">
        <f>IF(A33&gt;=$B$8,"Dopo impatto parete","Tratto prima della parete")</f>
        <v/>
      </c>
      <c r="C33" s="13">
        <f>IF(A33&gt;='H_CFD_L1500'!$Q$159,'H_CFD_L1500'!$R$159*SQRT(('H_CFD_L1500'!$Q$159-$B$12+$B$11)/(A33-$B$12+$B$11))*SQRT((1+'H_CFD_L1500'!$Q$159/$B$7)/(1+A33/$B$7))*IF(A33&gt;=$B$8,$B$13,1),INDEX('H_CFD_L1500'!$R$10:$R$159,MATCH(A33,'H_CFD_L1500'!$Q$10:$Q$159,1))+(A33-INDEX('H_CFD_L1500'!$Q$10:$Q$159,MATCH(A33,'H_CFD_L1500'!$Q$10:$Q$159,1)))*(INDEX('H_CFD_L1500'!$R$10:$R$159,MATCH(A33,'H_CFD_L1500'!$Q$10:$Q$159,1)+1)-INDEX('H_CFD_L1500'!$R$10:$R$159,MATCH(A33,'H_CFD_L1500'!$Q$10:$Q$159,1)))/(INDEX('H_CFD_L1500'!$Q$10:$Q$159,MATCH(A33,'H_CFD_L1500'!$Q$10:$Q$159,1)+1)-INDEX('H_CFD_L1500'!$Q$10:$Q$159,MATCH(A33,'H_CFD_L1500'!$Q$10:$Q$159,1))))</f>
        <v/>
      </c>
      <c r="D33" s="13">
        <f>$B$14*$B$17*SQRT($B$6/(A33+$B$15))/SQRT(1+A33/$B$7)*IF(A33&gt;=$B$9,$B$16,1)</f>
        <v/>
      </c>
      <c r="E33" s="13">
        <f>IF(A33&gt;$B$18,"Estrapolazione oltre 5,772 m","Profilo CFD nativo")</f>
        <v/>
      </c>
      <c r="P33" s="42">
        <f>'H_CFD_L1500'!Q38</f>
        <v/>
      </c>
      <c r="Q33" s="42">
        <f>'H_CFD_L1500'!R38</f>
        <v/>
      </c>
      <c r="R33" s="13">
        <f>IF(P33&gt;=$B$12,$B$10*$B$17*SQRT($B$6/(P33-$B$12+$B$11))/SQRT(1+P33/$B$7),"")</f>
        <v/>
      </c>
      <c r="S33" s="13">
        <f>IF(R33="","",R33-Q33)</f>
        <v/>
      </c>
    </row>
    <row r="34">
      <c r="A34" s="13">
        <f>A33+0.5</f>
        <v/>
      </c>
      <c r="B34" s="13">
        <f>IF(A34&gt;=$B$8,"Dopo impatto parete","Tratto prima della parete")</f>
        <v/>
      </c>
      <c r="C34" s="13">
        <f>IF(A34&gt;='H_CFD_L1500'!$Q$159,'H_CFD_L1500'!$R$159*SQRT(('H_CFD_L1500'!$Q$159-$B$12+$B$11)/(A34-$B$12+$B$11))*SQRT((1+'H_CFD_L1500'!$Q$159/$B$7)/(1+A34/$B$7))*IF(A34&gt;=$B$8,$B$13,1),INDEX('H_CFD_L1500'!$R$10:$R$159,MATCH(A34,'H_CFD_L1500'!$Q$10:$Q$159,1))+(A34-INDEX('H_CFD_L1500'!$Q$10:$Q$159,MATCH(A34,'H_CFD_L1500'!$Q$10:$Q$159,1)))*(INDEX('H_CFD_L1500'!$R$10:$R$159,MATCH(A34,'H_CFD_L1500'!$Q$10:$Q$159,1)+1)-INDEX('H_CFD_L1500'!$R$10:$R$159,MATCH(A34,'H_CFD_L1500'!$Q$10:$Q$159,1)))/(INDEX('H_CFD_L1500'!$Q$10:$Q$159,MATCH(A34,'H_CFD_L1500'!$Q$10:$Q$159,1)+1)-INDEX('H_CFD_L1500'!$Q$10:$Q$159,MATCH(A34,'H_CFD_L1500'!$Q$10:$Q$159,1))))</f>
        <v/>
      </c>
      <c r="D34" s="13">
        <f>$B$14*$B$17*SQRT($B$6/(A34+$B$15))/SQRT(1+A34/$B$7)*IF(A34&gt;=$B$9,$B$16,1)</f>
        <v/>
      </c>
      <c r="E34" s="13">
        <f>IF(A34&gt;$B$18,"Estrapolazione oltre 5,772 m","Profilo CFD nativo")</f>
        <v/>
      </c>
      <c r="P34" s="42">
        <f>'H_CFD_L1500'!Q39</f>
        <v/>
      </c>
      <c r="Q34" s="42">
        <f>'H_CFD_L1500'!R39</f>
        <v/>
      </c>
      <c r="R34" s="13">
        <f>IF(P34&gt;=$B$12,$B$10*$B$17*SQRT($B$6/(P34-$B$12+$B$11))/SQRT(1+P34/$B$7),"")</f>
        <v/>
      </c>
      <c r="S34" s="13">
        <f>IF(R34="","",R34-Q34)</f>
        <v/>
      </c>
    </row>
    <row r="35">
      <c r="A35" s="13">
        <f>A34+0.5</f>
        <v/>
      </c>
      <c r="B35" s="13">
        <f>IF(A35&gt;=$B$8,"Dopo impatto parete","Tratto prima della parete")</f>
        <v/>
      </c>
      <c r="C35" s="13">
        <f>IF(A35&gt;='H_CFD_L1500'!$Q$159,'H_CFD_L1500'!$R$159*SQRT(('H_CFD_L1500'!$Q$159-$B$12+$B$11)/(A35-$B$12+$B$11))*SQRT((1+'H_CFD_L1500'!$Q$159/$B$7)/(1+A35/$B$7))*IF(A35&gt;=$B$8,$B$13,1),INDEX('H_CFD_L1500'!$R$10:$R$159,MATCH(A35,'H_CFD_L1500'!$Q$10:$Q$159,1))+(A35-INDEX('H_CFD_L1500'!$Q$10:$Q$159,MATCH(A35,'H_CFD_L1500'!$Q$10:$Q$159,1)))*(INDEX('H_CFD_L1500'!$R$10:$R$159,MATCH(A35,'H_CFD_L1500'!$Q$10:$Q$159,1)+1)-INDEX('H_CFD_L1500'!$R$10:$R$159,MATCH(A35,'H_CFD_L1500'!$Q$10:$Q$159,1)))/(INDEX('H_CFD_L1500'!$Q$10:$Q$159,MATCH(A35,'H_CFD_L1500'!$Q$10:$Q$159,1)+1)-INDEX('H_CFD_L1500'!$Q$10:$Q$159,MATCH(A35,'H_CFD_L1500'!$Q$10:$Q$159,1))))</f>
        <v/>
      </c>
      <c r="D35" s="13">
        <f>$B$14*$B$17*SQRT($B$6/(A35+$B$15))/SQRT(1+A35/$B$7)*IF(A35&gt;=$B$9,$B$16,1)</f>
        <v/>
      </c>
      <c r="E35" s="13">
        <f>IF(A35&gt;$B$18,"Estrapolazione oltre 5,772 m","Profilo CFD nativo")</f>
        <v/>
      </c>
      <c r="P35" s="42">
        <f>'H_CFD_L1500'!Q40</f>
        <v/>
      </c>
      <c r="Q35" s="42">
        <f>'H_CFD_L1500'!R40</f>
        <v/>
      </c>
      <c r="R35" s="13">
        <f>IF(P35&gt;=$B$12,$B$10*$B$17*SQRT($B$6/(P35-$B$12+$B$11))/SQRT(1+P35/$B$7),"")</f>
        <v/>
      </c>
      <c r="S35" s="13">
        <f>IF(R35="","",R35-Q35)</f>
        <v/>
      </c>
    </row>
    <row r="36">
      <c r="A36" s="13">
        <f>A35+0.5</f>
        <v/>
      </c>
      <c r="B36" s="13">
        <f>IF(A36&gt;=$B$8,"Dopo impatto parete","Tratto prima della parete")</f>
        <v/>
      </c>
      <c r="C36" s="13">
        <f>IF(A36&gt;='H_CFD_L1500'!$Q$159,'H_CFD_L1500'!$R$159*SQRT(('H_CFD_L1500'!$Q$159-$B$12+$B$11)/(A36-$B$12+$B$11))*SQRT((1+'H_CFD_L1500'!$Q$159/$B$7)/(1+A36/$B$7))*IF(A36&gt;=$B$8,$B$13,1),INDEX('H_CFD_L1500'!$R$10:$R$159,MATCH(A36,'H_CFD_L1500'!$Q$10:$Q$159,1))+(A36-INDEX('H_CFD_L1500'!$Q$10:$Q$159,MATCH(A36,'H_CFD_L1500'!$Q$10:$Q$159,1)))*(INDEX('H_CFD_L1500'!$R$10:$R$159,MATCH(A36,'H_CFD_L1500'!$Q$10:$Q$159,1)+1)-INDEX('H_CFD_L1500'!$R$10:$R$159,MATCH(A36,'H_CFD_L1500'!$Q$10:$Q$159,1)))/(INDEX('H_CFD_L1500'!$Q$10:$Q$159,MATCH(A36,'H_CFD_L1500'!$Q$10:$Q$159,1)+1)-INDEX('H_CFD_L1500'!$Q$10:$Q$159,MATCH(A36,'H_CFD_L1500'!$Q$10:$Q$159,1))))</f>
        <v/>
      </c>
      <c r="D36" s="13">
        <f>$B$14*$B$17*SQRT($B$6/(A36+$B$15))/SQRT(1+A36/$B$7)*IF(A36&gt;=$B$9,$B$16,1)</f>
        <v/>
      </c>
      <c r="E36" s="13">
        <f>IF(A36&gt;$B$18,"Estrapolazione oltre 5,772 m","Profilo CFD nativo")</f>
        <v/>
      </c>
      <c r="P36" s="42">
        <f>'H_CFD_L1500'!Q41</f>
        <v/>
      </c>
      <c r="Q36" s="42">
        <f>'H_CFD_L1500'!R41</f>
        <v/>
      </c>
      <c r="R36" s="13">
        <f>IF(P36&gt;=$B$12,$B$10*$B$17*SQRT($B$6/(P36-$B$12+$B$11))/SQRT(1+P36/$B$7),"")</f>
        <v/>
      </c>
      <c r="S36" s="13">
        <f>IF(R36="","",R36-Q36)</f>
        <v/>
      </c>
    </row>
    <row r="37">
      <c r="A37" s="13">
        <f>A36+0.5</f>
        <v/>
      </c>
      <c r="B37" s="13">
        <f>IF(A37&gt;=$B$8,"Dopo impatto parete","Tratto prima della parete")</f>
        <v/>
      </c>
      <c r="C37" s="13">
        <f>IF(A37&gt;='H_CFD_L1500'!$Q$159,'H_CFD_L1500'!$R$159*SQRT(('H_CFD_L1500'!$Q$159-$B$12+$B$11)/(A37-$B$12+$B$11))*SQRT((1+'H_CFD_L1500'!$Q$159/$B$7)/(1+A37/$B$7))*IF(A37&gt;=$B$8,$B$13,1),INDEX('H_CFD_L1500'!$R$10:$R$159,MATCH(A37,'H_CFD_L1500'!$Q$10:$Q$159,1))+(A37-INDEX('H_CFD_L1500'!$Q$10:$Q$159,MATCH(A37,'H_CFD_L1500'!$Q$10:$Q$159,1)))*(INDEX('H_CFD_L1500'!$R$10:$R$159,MATCH(A37,'H_CFD_L1500'!$Q$10:$Q$159,1)+1)-INDEX('H_CFD_L1500'!$R$10:$R$159,MATCH(A37,'H_CFD_L1500'!$Q$10:$Q$159,1)))/(INDEX('H_CFD_L1500'!$Q$10:$Q$159,MATCH(A37,'H_CFD_L1500'!$Q$10:$Q$159,1)+1)-INDEX('H_CFD_L1500'!$Q$10:$Q$159,MATCH(A37,'H_CFD_L1500'!$Q$10:$Q$159,1))))</f>
        <v/>
      </c>
      <c r="D37" s="13">
        <f>$B$14*$B$17*SQRT($B$6/(A37+$B$15))/SQRT(1+A37/$B$7)*IF(A37&gt;=$B$9,$B$16,1)</f>
        <v/>
      </c>
      <c r="E37" s="13">
        <f>IF(A37&gt;$B$18,"Estrapolazione oltre 5,772 m","Profilo CFD nativo")</f>
        <v/>
      </c>
      <c r="P37" s="42">
        <f>'H_CFD_L1500'!Q42</f>
        <v/>
      </c>
      <c r="Q37" s="42">
        <f>'H_CFD_L1500'!R42</f>
        <v/>
      </c>
      <c r="R37" s="13">
        <f>IF(P37&gt;=$B$12,$B$10*$B$17*SQRT($B$6/(P37-$B$12+$B$11))/SQRT(1+P37/$B$7),"")</f>
        <v/>
      </c>
      <c r="S37" s="13">
        <f>IF(R37="","",R37-Q37)</f>
        <v/>
      </c>
    </row>
    <row r="38">
      <c r="A38" s="13">
        <f>A37+0.5</f>
        <v/>
      </c>
      <c r="B38" s="13">
        <f>IF(A38&gt;=$B$8,"Dopo impatto parete","Tratto prima della parete")</f>
        <v/>
      </c>
      <c r="C38" s="13">
        <f>IF(A38&gt;='H_CFD_L1500'!$Q$159,'H_CFD_L1500'!$R$159*SQRT(('H_CFD_L1500'!$Q$159-$B$12+$B$11)/(A38-$B$12+$B$11))*SQRT((1+'H_CFD_L1500'!$Q$159/$B$7)/(1+A38/$B$7))*IF(A38&gt;=$B$8,$B$13,1),INDEX('H_CFD_L1500'!$R$10:$R$159,MATCH(A38,'H_CFD_L1500'!$Q$10:$Q$159,1))+(A38-INDEX('H_CFD_L1500'!$Q$10:$Q$159,MATCH(A38,'H_CFD_L1500'!$Q$10:$Q$159,1)))*(INDEX('H_CFD_L1500'!$R$10:$R$159,MATCH(A38,'H_CFD_L1500'!$Q$10:$Q$159,1)+1)-INDEX('H_CFD_L1500'!$R$10:$R$159,MATCH(A38,'H_CFD_L1500'!$Q$10:$Q$159,1)))/(INDEX('H_CFD_L1500'!$Q$10:$Q$159,MATCH(A38,'H_CFD_L1500'!$Q$10:$Q$159,1)+1)-INDEX('H_CFD_L1500'!$Q$10:$Q$159,MATCH(A38,'H_CFD_L1500'!$Q$10:$Q$159,1))))</f>
        <v/>
      </c>
      <c r="D38" s="13">
        <f>$B$14*$B$17*SQRT($B$6/(A38+$B$15))/SQRT(1+A38/$B$7)*IF(A38&gt;=$B$9,$B$16,1)</f>
        <v/>
      </c>
      <c r="E38" s="13">
        <f>IF(A38&gt;$B$18,"Estrapolazione oltre 5,772 m","Profilo CFD nativo")</f>
        <v/>
      </c>
      <c r="P38" s="42">
        <f>'H_CFD_L1500'!Q43</f>
        <v/>
      </c>
      <c r="Q38" s="42">
        <f>'H_CFD_L1500'!R43</f>
        <v/>
      </c>
      <c r="R38" s="13">
        <f>IF(P38&gt;=$B$12,$B$10*$B$17*SQRT($B$6/(P38-$B$12+$B$11))/SQRT(1+P38/$B$7),"")</f>
        <v/>
      </c>
      <c r="S38" s="13">
        <f>IF(R38="","",R38-Q38)</f>
        <v/>
      </c>
    </row>
    <row r="39">
      <c r="A39" s="13">
        <f>A38+0.5</f>
        <v/>
      </c>
      <c r="B39" s="13">
        <f>IF(A39&gt;=$B$8,"Dopo impatto parete","Tratto prima della parete")</f>
        <v/>
      </c>
      <c r="C39" s="13">
        <f>IF(A39&gt;='H_CFD_L1500'!$Q$159,'H_CFD_L1500'!$R$159*SQRT(('H_CFD_L1500'!$Q$159-$B$12+$B$11)/(A39-$B$12+$B$11))*SQRT((1+'H_CFD_L1500'!$Q$159/$B$7)/(1+A39/$B$7))*IF(A39&gt;=$B$8,$B$13,1),INDEX('H_CFD_L1500'!$R$10:$R$159,MATCH(A39,'H_CFD_L1500'!$Q$10:$Q$159,1))+(A39-INDEX('H_CFD_L1500'!$Q$10:$Q$159,MATCH(A39,'H_CFD_L1500'!$Q$10:$Q$159,1)))*(INDEX('H_CFD_L1500'!$R$10:$R$159,MATCH(A39,'H_CFD_L1500'!$Q$10:$Q$159,1)+1)-INDEX('H_CFD_L1500'!$R$10:$R$159,MATCH(A39,'H_CFD_L1500'!$Q$10:$Q$159,1)))/(INDEX('H_CFD_L1500'!$Q$10:$Q$159,MATCH(A39,'H_CFD_L1500'!$Q$10:$Q$159,1)+1)-INDEX('H_CFD_L1500'!$Q$10:$Q$159,MATCH(A39,'H_CFD_L1500'!$Q$10:$Q$159,1))))</f>
        <v/>
      </c>
      <c r="D39" s="13">
        <f>$B$14*$B$17*SQRT($B$6/(A39+$B$15))/SQRT(1+A39/$B$7)*IF(A39&gt;=$B$9,$B$16,1)</f>
        <v/>
      </c>
      <c r="E39" s="13">
        <f>IF(A39&gt;$B$18,"Estrapolazione oltre 5,772 m","Profilo CFD nativo")</f>
        <v/>
      </c>
      <c r="P39" s="42">
        <f>'H_CFD_L1500'!Q44</f>
        <v/>
      </c>
      <c r="Q39" s="42">
        <f>'H_CFD_L1500'!R44</f>
        <v/>
      </c>
      <c r="R39" s="13">
        <f>IF(P39&gt;=$B$12,$B$10*$B$17*SQRT($B$6/(P39-$B$12+$B$11))/SQRT(1+P39/$B$7),"")</f>
        <v/>
      </c>
      <c r="S39" s="13">
        <f>IF(R39="","",R39-Q39)</f>
        <v/>
      </c>
    </row>
    <row r="40">
      <c r="A40" s="13">
        <f>A39+0.5</f>
        <v/>
      </c>
      <c r="B40" s="13">
        <f>IF(A40&gt;=$B$8,"Dopo impatto parete","Tratto prima della parete")</f>
        <v/>
      </c>
      <c r="C40" s="13">
        <f>IF(A40&gt;='H_CFD_L1500'!$Q$159,'H_CFD_L1500'!$R$159*SQRT(('H_CFD_L1500'!$Q$159-$B$12+$B$11)/(A40-$B$12+$B$11))*SQRT((1+'H_CFD_L1500'!$Q$159/$B$7)/(1+A40/$B$7))*IF(A40&gt;=$B$8,$B$13,1),INDEX('H_CFD_L1500'!$R$10:$R$159,MATCH(A40,'H_CFD_L1500'!$Q$10:$Q$159,1))+(A40-INDEX('H_CFD_L1500'!$Q$10:$Q$159,MATCH(A40,'H_CFD_L1500'!$Q$10:$Q$159,1)))*(INDEX('H_CFD_L1500'!$R$10:$R$159,MATCH(A40,'H_CFD_L1500'!$Q$10:$Q$159,1)+1)-INDEX('H_CFD_L1500'!$R$10:$R$159,MATCH(A40,'H_CFD_L1500'!$Q$10:$Q$159,1)))/(INDEX('H_CFD_L1500'!$Q$10:$Q$159,MATCH(A40,'H_CFD_L1500'!$Q$10:$Q$159,1)+1)-INDEX('H_CFD_L1500'!$Q$10:$Q$159,MATCH(A40,'H_CFD_L1500'!$Q$10:$Q$159,1))))</f>
        <v/>
      </c>
      <c r="D40" s="13">
        <f>$B$14*$B$17*SQRT($B$6/(A40+$B$15))/SQRT(1+A40/$B$7)*IF(A40&gt;=$B$9,$B$16,1)</f>
        <v/>
      </c>
      <c r="E40" s="13">
        <f>IF(A40&gt;$B$18,"Estrapolazione oltre 5,772 m","Profilo CFD nativo")</f>
        <v/>
      </c>
      <c r="P40" s="42">
        <f>'H_CFD_L1500'!Q45</f>
        <v/>
      </c>
      <c r="Q40" s="42">
        <f>'H_CFD_L1500'!R45</f>
        <v/>
      </c>
      <c r="R40" s="13">
        <f>IF(P40&gt;=$B$12,$B$10*$B$17*SQRT($B$6/(P40-$B$12+$B$11))/SQRT(1+P40/$B$7),"")</f>
        <v/>
      </c>
      <c r="S40" s="13">
        <f>IF(R40="","",R40-Q40)</f>
        <v/>
      </c>
    </row>
    <row r="41">
      <c r="A41" s="13">
        <f>A40+0.5</f>
        <v/>
      </c>
      <c r="B41" s="13">
        <f>IF(A41&gt;=$B$8,"Dopo impatto parete","Tratto prima della parete")</f>
        <v/>
      </c>
      <c r="C41" s="13">
        <f>IF(A41&gt;='H_CFD_L1500'!$Q$159,'H_CFD_L1500'!$R$159*SQRT(('H_CFD_L1500'!$Q$159-$B$12+$B$11)/(A41-$B$12+$B$11))*SQRT((1+'H_CFD_L1500'!$Q$159/$B$7)/(1+A41/$B$7))*IF(A41&gt;=$B$8,$B$13,1),INDEX('H_CFD_L1500'!$R$10:$R$159,MATCH(A41,'H_CFD_L1500'!$Q$10:$Q$159,1))+(A41-INDEX('H_CFD_L1500'!$Q$10:$Q$159,MATCH(A41,'H_CFD_L1500'!$Q$10:$Q$159,1)))*(INDEX('H_CFD_L1500'!$R$10:$R$159,MATCH(A41,'H_CFD_L1500'!$Q$10:$Q$159,1)+1)-INDEX('H_CFD_L1500'!$R$10:$R$159,MATCH(A41,'H_CFD_L1500'!$Q$10:$Q$159,1)))/(INDEX('H_CFD_L1500'!$Q$10:$Q$159,MATCH(A41,'H_CFD_L1500'!$Q$10:$Q$159,1)+1)-INDEX('H_CFD_L1500'!$Q$10:$Q$159,MATCH(A41,'H_CFD_L1500'!$Q$10:$Q$159,1))))</f>
        <v/>
      </c>
      <c r="D41" s="13">
        <f>$B$14*$B$17*SQRT($B$6/(A41+$B$15))/SQRT(1+A41/$B$7)*IF(A41&gt;=$B$9,$B$16,1)</f>
        <v/>
      </c>
      <c r="E41" s="13">
        <f>IF(A41&gt;$B$18,"Estrapolazione oltre 5,772 m","Profilo CFD nativo")</f>
        <v/>
      </c>
      <c r="P41" s="42">
        <f>'H_CFD_L1500'!Q46</f>
        <v/>
      </c>
      <c r="Q41" s="42">
        <f>'H_CFD_L1500'!R46</f>
        <v/>
      </c>
      <c r="R41" s="13">
        <f>IF(P41&gt;=$B$12,$B$10*$B$17*SQRT($B$6/(P41-$B$12+$B$11))/SQRT(1+P41/$B$7),"")</f>
        <v/>
      </c>
      <c r="S41" s="13">
        <f>IF(R41="","",R41-Q41)</f>
        <v/>
      </c>
    </row>
    <row r="42">
      <c r="A42" s="13">
        <f>A41+0.5</f>
        <v/>
      </c>
      <c r="B42" s="13">
        <f>IF(A42&gt;=$B$8,"Dopo impatto parete","Tratto prima della parete")</f>
        <v/>
      </c>
      <c r="C42" s="13">
        <f>IF(A42&gt;='H_CFD_L1500'!$Q$159,'H_CFD_L1500'!$R$159*SQRT(('H_CFD_L1500'!$Q$159-$B$12+$B$11)/(A42-$B$12+$B$11))*SQRT((1+'H_CFD_L1500'!$Q$159/$B$7)/(1+A42/$B$7))*IF(A42&gt;=$B$8,$B$13,1),INDEX('H_CFD_L1500'!$R$10:$R$159,MATCH(A42,'H_CFD_L1500'!$Q$10:$Q$159,1))+(A42-INDEX('H_CFD_L1500'!$Q$10:$Q$159,MATCH(A42,'H_CFD_L1500'!$Q$10:$Q$159,1)))*(INDEX('H_CFD_L1500'!$R$10:$R$159,MATCH(A42,'H_CFD_L1500'!$Q$10:$Q$159,1)+1)-INDEX('H_CFD_L1500'!$R$10:$R$159,MATCH(A42,'H_CFD_L1500'!$Q$10:$Q$159,1)))/(INDEX('H_CFD_L1500'!$Q$10:$Q$159,MATCH(A42,'H_CFD_L1500'!$Q$10:$Q$159,1)+1)-INDEX('H_CFD_L1500'!$Q$10:$Q$159,MATCH(A42,'H_CFD_L1500'!$Q$10:$Q$159,1))))</f>
        <v/>
      </c>
      <c r="D42" s="13">
        <f>$B$14*$B$17*SQRT($B$6/(A42+$B$15))/SQRT(1+A42/$B$7)*IF(A42&gt;=$B$9,$B$16,1)</f>
        <v/>
      </c>
      <c r="E42" s="13">
        <f>IF(A42&gt;$B$18,"Estrapolazione oltre 5,772 m","Profilo CFD nativo")</f>
        <v/>
      </c>
      <c r="P42" s="42">
        <f>'H_CFD_L1500'!Q47</f>
        <v/>
      </c>
      <c r="Q42" s="42">
        <f>'H_CFD_L1500'!R47</f>
        <v/>
      </c>
      <c r="R42" s="13">
        <f>IF(P42&gt;=$B$12,$B$10*$B$17*SQRT($B$6/(P42-$B$12+$B$11))/SQRT(1+P42/$B$7),"")</f>
        <v/>
      </c>
      <c r="S42" s="13">
        <f>IF(R42="","",R42-Q42)</f>
        <v/>
      </c>
    </row>
    <row r="43">
      <c r="A43" s="13">
        <f>A42+0.5</f>
        <v/>
      </c>
      <c r="B43" s="13">
        <f>IF(A43&gt;=$B$8,"Dopo impatto parete","Tratto prima della parete")</f>
        <v/>
      </c>
      <c r="C43" s="13">
        <f>IF(A43&gt;='H_CFD_L1500'!$Q$159,'H_CFD_L1500'!$R$159*SQRT(('H_CFD_L1500'!$Q$159-$B$12+$B$11)/(A43-$B$12+$B$11))*SQRT((1+'H_CFD_L1500'!$Q$159/$B$7)/(1+A43/$B$7))*IF(A43&gt;=$B$8,$B$13,1),INDEX('H_CFD_L1500'!$R$10:$R$159,MATCH(A43,'H_CFD_L1500'!$Q$10:$Q$159,1))+(A43-INDEX('H_CFD_L1500'!$Q$10:$Q$159,MATCH(A43,'H_CFD_L1500'!$Q$10:$Q$159,1)))*(INDEX('H_CFD_L1500'!$R$10:$R$159,MATCH(A43,'H_CFD_L1500'!$Q$10:$Q$159,1)+1)-INDEX('H_CFD_L1500'!$R$10:$R$159,MATCH(A43,'H_CFD_L1500'!$Q$10:$Q$159,1)))/(INDEX('H_CFD_L1500'!$Q$10:$Q$159,MATCH(A43,'H_CFD_L1500'!$Q$10:$Q$159,1)+1)-INDEX('H_CFD_L1500'!$Q$10:$Q$159,MATCH(A43,'H_CFD_L1500'!$Q$10:$Q$159,1))))</f>
        <v/>
      </c>
      <c r="D43" s="13">
        <f>$B$14*$B$17*SQRT($B$6/(A43+$B$15))/SQRT(1+A43/$B$7)*IF(A43&gt;=$B$9,$B$16,1)</f>
        <v/>
      </c>
      <c r="E43" s="13">
        <f>IF(A43&gt;$B$18,"Estrapolazione oltre 5,772 m","Profilo CFD nativo")</f>
        <v/>
      </c>
      <c r="P43" s="42">
        <f>'H_CFD_L1500'!Q48</f>
        <v/>
      </c>
      <c r="Q43" s="42">
        <f>'H_CFD_L1500'!R48</f>
        <v/>
      </c>
      <c r="R43" s="13">
        <f>IF(P43&gt;=$B$12,$B$10*$B$17*SQRT($B$6/(P43-$B$12+$B$11))/SQRT(1+P43/$B$7),"")</f>
        <v/>
      </c>
      <c r="S43" s="13">
        <f>IF(R43="","",R43-Q43)</f>
        <v/>
      </c>
    </row>
    <row r="44">
      <c r="A44" s="13">
        <f>A43+0.5</f>
        <v/>
      </c>
      <c r="B44" s="13">
        <f>IF(A44&gt;=$B$8,"Dopo impatto parete","Tratto prima della parete")</f>
        <v/>
      </c>
      <c r="C44" s="13">
        <f>IF(A44&gt;='H_CFD_L1500'!$Q$159,'H_CFD_L1500'!$R$159*SQRT(('H_CFD_L1500'!$Q$159-$B$12+$B$11)/(A44-$B$12+$B$11))*SQRT((1+'H_CFD_L1500'!$Q$159/$B$7)/(1+A44/$B$7))*IF(A44&gt;=$B$8,$B$13,1),INDEX('H_CFD_L1500'!$R$10:$R$159,MATCH(A44,'H_CFD_L1500'!$Q$10:$Q$159,1))+(A44-INDEX('H_CFD_L1500'!$Q$10:$Q$159,MATCH(A44,'H_CFD_L1500'!$Q$10:$Q$159,1)))*(INDEX('H_CFD_L1500'!$R$10:$R$159,MATCH(A44,'H_CFD_L1500'!$Q$10:$Q$159,1)+1)-INDEX('H_CFD_L1500'!$R$10:$R$159,MATCH(A44,'H_CFD_L1500'!$Q$10:$Q$159,1)))/(INDEX('H_CFD_L1500'!$Q$10:$Q$159,MATCH(A44,'H_CFD_L1500'!$Q$10:$Q$159,1)+1)-INDEX('H_CFD_L1500'!$Q$10:$Q$159,MATCH(A44,'H_CFD_L1500'!$Q$10:$Q$159,1))))</f>
        <v/>
      </c>
      <c r="D44" s="13">
        <f>$B$14*$B$17*SQRT($B$6/(A44+$B$15))/SQRT(1+A44/$B$7)*IF(A44&gt;=$B$9,$B$16,1)</f>
        <v/>
      </c>
      <c r="E44" s="13">
        <f>IF(A44&gt;$B$18,"Estrapolazione oltre 5,772 m","Profilo CFD nativo")</f>
        <v/>
      </c>
      <c r="P44" s="42">
        <f>'H_CFD_L1500'!Q49</f>
        <v/>
      </c>
      <c r="Q44" s="42">
        <f>'H_CFD_L1500'!R49</f>
        <v/>
      </c>
      <c r="R44" s="13">
        <f>IF(P44&gt;=$B$12,$B$10*$B$17*SQRT($B$6/(P44-$B$12+$B$11))/SQRT(1+P44/$B$7),"")</f>
        <v/>
      </c>
      <c r="S44" s="13">
        <f>IF(R44="","",R44-Q44)</f>
        <v/>
      </c>
    </row>
    <row r="45">
      <c r="A45" s="13">
        <f>A44+0.5</f>
        <v/>
      </c>
      <c r="B45" s="13">
        <f>IF(A45&gt;=$B$8,"Dopo impatto parete","Tratto prima della parete")</f>
        <v/>
      </c>
      <c r="C45" s="13">
        <f>IF(A45&gt;='H_CFD_L1500'!$Q$159,'H_CFD_L1500'!$R$159*SQRT(('H_CFD_L1500'!$Q$159-$B$12+$B$11)/(A45-$B$12+$B$11))*SQRT((1+'H_CFD_L1500'!$Q$159/$B$7)/(1+A45/$B$7))*IF(A45&gt;=$B$8,$B$13,1),INDEX('H_CFD_L1500'!$R$10:$R$159,MATCH(A45,'H_CFD_L1500'!$Q$10:$Q$159,1))+(A45-INDEX('H_CFD_L1500'!$Q$10:$Q$159,MATCH(A45,'H_CFD_L1500'!$Q$10:$Q$159,1)))*(INDEX('H_CFD_L1500'!$R$10:$R$159,MATCH(A45,'H_CFD_L1500'!$Q$10:$Q$159,1)+1)-INDEX('H_CFD_L1500'!$R$10:$R$159,MATCH(A45,'H_CFD_L1500'!$Q$10:$Q$159,1)))/(INDEX('H_CFD_L1500'!$Q$10:$Q$159,MATCH(A45,'H_CFD_L1500'!$Q$10:$Q$159,1)+1)-INDEX('H_CFD_L1500'!$Q$10:$Q$159,MATCH(A45,'H_CFD_L1500'!$Q$10:$Q$159,1))))</f>
        <v/>
      </c>
      <c r="D45" s="13">
        <f>$B$14*$B$17*SQRT($B$6/(A45+$B$15))/SQRT(1+A45/$B$7)*IF(A45&gt;=$B$9,$B$16,1)</f>
        <v/>
      </c>
      <c r="E45" s="13">
        <f>IF(A45&gt;$B$18,"Estrapolazione oltre 5,772 m","Profilo CFD nativo")</f>
        <v/>
      </c>
      <c r="P45" s="42">
        <f>'H_CFD_L1500'!Q50</f>
        <v/>
      </c>
      <c r="Q45" s="42">
        <f>'H_CFD_L1500'!R50</f>
        <v/>
      </c>
      <c r="R45" s="13">
        <f>IF(P45&gt;=$B$12,$B$10*$B$17*SQRT($B$6/(P45-$B$12+$B$11))/SQRT(1+P45/$B$7),"")</f>
        <v/>
      </c>
      <c r="S45" s="13">
        <f>IF(R45="","",R45-Q45)</f>
        <v/>
      </c>
    </row>
    <row r="46">
      <c r="A46" s="13">
        <f>A45+0.5</f>
        <v/>
      </c>
      <c r="B46" s="13">
        <f>IF(A46&gt;=$B$8,"Dopo impatto parete","Tratto prima della parete")</f>
        <v/>
      </c>
      <c r="C46" s="13">
        <f>IF(A46&gt;='H_CFD_L1500'!$Q$159,'H_CFD_L1500'!$R$159*SQRT(('H_CFD_L1500'!$Q$159-$B$12+$B$11)/(A46-$B$12+$B$11))*SQRT((1+'H_CFD_L1500'!$Q$159/$B$7)/(1+A46/$B$7))*IF(A46&gt;=$B$8,$B$13,1),INDEX('H_CFD_L1500'!$R$10:$R$159,MATCH(A46,'H_CFD_L1500'!$Q$10:$Q$159,1))+(A46-INDEX('H_CFD_L1500'!$Q$10:$Q$159,MATCH(A46,'H_CFD_L1500'!$Q$10:$Q$159,1)))*(INDEX('H_CFD_L1500'!$R$10:$R$159,MATCH(A46,'H_CFD_L1500'!$Q$10:$Q$159,1)+1)-INDEX('H_CFD_L1500'!$R$10:$R$159,MATCH(A46,'H_CFD_L1500'!$Q$10:$Q$159,1)))/(INDEX('H_CFD_L1500'!$Q$10:$Q$159,MATCH(A46,'H_CFD_L1500'!$Q$10:$Q$159,1)+1)-INDEX('H_CFD_L1500'!$Q$10:$Q$159,MATCH(A46,'H_CFD_L1500'!$Q$10:$Q$159,1))))</f>
        <v/>
      </c>
      <c r="D46" s="13">
        <f>$B$14*$B$17*SQRT($B$6/(A46+$B$15))/SQRT(1+A46/$B$7)*IF(A46&gt;=$B$9,$B$16,1)</f>
        <v/>
      </c>
      <c r="E46" s="13">
        <f>IF(A46&gt;$B$18,"Estrapolazione oltre 5,772 m","Profilo CFD nativo")</f>
        <v/>
      </c>
      <c r="P46" s="42">
        <f>'H_CFD_L1500'!Q51</f>
        <v/>
      </c>
      <c r="Q46" s="42">
        <f>'H_CFD_L1500'!R51</f>
        <v/>
      </c>
      <c r="R46" s="13">
        <f>IF(P46&gt;=$B$12,$B$10*$B$17*SQRT($B$6/(P46-$B$12+$B$11))/SQRT(1+P46/$B$7),"")</f>
        <v/>
      </c>
      <c r="S46" s="13">
        <f>IF(R46="","",R46-Q46)</f>
        <v/>
      </c>
    </row>
    <row r="47">
      <c r="A47" s="13">
        <f>A46+0.5</f>
        <v/>
      </c>
      <c r="B47" s="13">
        <f>IF(A47&gt;=$B$8,"Dopo impatto parete","Tratto prima della parete")</f>
        <v/>
      </c>
      <c r="C47" s="13">
        <f>IF(A47&gt;='H_CFD_L1500'!$Q$159,'H_CFD_L1500'!$R$159*SQRT(('H_CFD_L1500'!$Q$159-$B$12+$B$11)/(A47-$B$12+$B$11))*SQRT((1+'H_CFD_L1500'!$Q$159/$B$7)/(1+A47/$B$7))*IF(A47&gt;=$B$8,$B$13,1),INDEX('H_CFD_L1500'!$R$10:$R$159,MATCH(A47,'H_CFD_L1500'!$Q$10:$Q$159,1))+(A47-INDEX('H_CFD_L1500'!$Q$10:$Q$159,MATCH(A47,'H_CFD_L1500'!$Q$10:$Q$159,1)))*(INDEX('H_CFD_L1500'!$R$10:$R$159,MATCH(A47,'H_CFD_L1500'!$Q$10:$Q$159,1)+1)-INDEX('H_CFD_L1500'!$R$10:$R$159,MATCH(A47,'H_CFD_L1500'!$Q$10:$Q$159,1)))/(INDEX('H_CFD_L1500'!$Q$10:$Q$159,MATCH(A47,'H_CFD_L1500'!$Q$10:$Q$159,1)+1)-INDEX('H_CFD_L1500'!$Q$10:$Q$159,MATCH(A47,'H_CFD_L1500'!$Q$10:$Q$159,1))))</f>
        <v/>
      </c>
      <c r="D47" s="13">
        <f>$B$14*$B$17*SQRT($B$6/(A47+$B$15))/SQRT(1+A47/$B$7)*IF(A47&gt;=$B$9,$B$16,1)</f>
        <v/>
      </c>
      <c r="E47" s="13">
        <f>IF(A47&gt;$B$18,"Estrapolazione oltre 5,772 m","Profilo CFD nativo")</f>
        <v/>
      </c>
      <c r="P47" s="42">
        <f>'H_CFD_L1500'!Q52</f>
        <v/>
      </c>
      <c r="Q47" s="42">
        <f>'H_CFD_L1500'!R52</f>
        <v/>
      </c>
      <c r="R47" s="13">
        <f>IF(P47&gt;=$B$12,$B$10*$B$17*SQRT($B$6/(P47-$B$12+$B$11))/SQRT(1+P47/$B$7),"")</f>
        <v/>
      </c>
      <c r="S47" s="13">
        <f>IF(R47="","",R47-Q47)</f>
        <v/>
      </c>
    </row>
    <row r="48">
      <c r="A48" s="13">
        <f>A47+0.5</f>
        <v/>
      </c>
      <c r="B48" s="13">
        <f>IF(A48&gt;=$B$8,"Dopo impatto parete","Tratto prima della parete")</f>
        <v/>
      </c>
      <c r="C48" s="13">
        <f>IF(A48&gt;='H_CFD_L1500'!$Q$159,'H_CFD_L1500'!$R$159*SQRT(('H_CFD_L1500'!$Q$159-$B$12+$B$11)/(A48-$B$12+$B$11))*SQRT((1+'H_CFD_L1500'!$Q$159/$B$7)/(1+A48/$B$7))*IF(A48&gt;=$B$8,$B$13,1),INDEX('H_CFD_L1500'!$R$10:$R$159,MATCH(A48,'H_CFD_L1500'!$Q$10:$Q$159,1))+(A48-INDEX('H_CFD_L1500'!$Q$10:$Q$159,MATCH(A48,'H_CFD_L1500'!$Q$10:$Q$159,1)))*(INDEX('H_CFD_L1500'!$R$10:$R$159,MATCH(A48,'H_CFD_L1500'!$Q$10:$Q$159,1)+1)-INDEX('H_CFD_L1500'!$R$10:$R$159,MATCH(A48,'H_CFD_L1500'!$Q$10:$Q$159,1)))/(INDEX('H_CFD_L1500'!$Q$10:$Q$159,MATCH(A48,'H_CFD_L1500'!$Q$10:$Q$159,1)+1)-INDEX('H_CFD_L1500'!$Q$10:$Q$159,MATCH(A48,'H_CFD_L1500'!$Q$10:$Q$159,1))))</f>
        <v/>
      </c>
      <c r="D48" s="13">
        <f>$B$14*$B$17*SQRT($B$6/(A48+$B$15))/SQRT(1+A48/$B$7)*IF(A48&gt;=$B$9,$B$16,1)</f>
        <v/>
      </c>
      <c r="E48" s="13">
        <f>IF(A48&gt;$B$18,"Estrapolazione oltre 5,772 m","Profilo CFD nativo")</f>
        <v/>
      </c>
      <c r="P48" s="42">
        <f>'H_CFD_L1500'!Q53</f>
        <v/>
      </c>
      <c r="Q48" s="42">
        <f>'H_CFD_L1500'!R53</f>
        <v/>
      </c>
      <c r="R48" s="13">
        <f>IF(P48&gt;=$B$12,$B$10*$B$17*SQRT($B$6/(P48-$B$12+$B$11))/SQRT(1+P48/$B$7),"")</f>
        <v/>
      </c>
      <c r="S48" s="13">
        <f>IF(R48="","",R48-Q48)</f>
        <v/>
      </c>
    </row>
    <row r="49">
      <c r="A49" s="13">
        <f>A48+0.5</f>
        <v/>
      </c>
      <c r="B49" s="13">
        <f>IF(A49&gt;=$B$8,"Dopo impatto parete","Tratto prima della parete")</f>
        <v/>
      </c>
      <c r="C49" s="13">
        <f>IF(A49&gt;='H_CFD_L1500'!$Q$159,'H_CFD_L1500'!$R$159*SQRT(('H_CFD_L1500'!$Q$159-$B$12+$B$11)/(A49-$B$12+$B$11))*SQRT((1+'H_CFD_L1500'!$Q$159/$B$7)/(1+A49/$B$7))*IF(A49&gt;=$B$8,$B$13,1),INDEX('H_CFD_L1500'!$R$10:$R$159,MATCH(A49,'H_CFD_L1500'!$Q$10:$Q$159,1))+(A49-INDEX('H_CFD_L1500'!$Q$10:$Q$159,MATCH(A49,'H_CFD_L1500'!$Q$10:$Q$159,1)))*(INDEX('H_CFD_L1500'!$R$10:$R$159,MATCH(A49,'H_CFD_L1500'!$Q$10:$Q$159,1)+1)-INDEX('H_CFD_L1500'!$R$10:$R$159,MATCH(A49,'H_CFD_L1500'!$Q$10:$Q$159,1)))/(INDEX('H_CFD_L1500'!$Q$10:$Q$159,MATCH(A49,'H_CFD_L1500'!$Q$10:$Q$159,1)+1)-INDEX('H_CFD_L1500'!$Q$10:$Q$159,MATCH(A49,'H_CFD_L1500'!$Q$10:$Q$159,1))))</f>
        <v/>
      </c>
      <c r="D49" s="13">
        <f>$B$14*$B$17*SQRT($B$6/(A49+$B$15))/SQRT(1+A49/$B$7)*IF(A49&gt;=$B$9,$B$16,1)</f>
        <v/>
      </c>
      <c r="E49" s="13">
        <f>IF(A49&gt;$B$18,"Estrapolazione oltre 5,772 m","Profilo CFD nativo")</f>
        <v/>
      </c>
      <c r="P49" s="42">
        <f>'H_CFD_L1500'!Q54</f>
        <v/>
      </c>
      <c r="Q49" s="42">
        <f>'H_CFD_L1500'!R54</f>
        <v/>
      </c>
      <c r="R49" s="13">
        <f>IF(P49&gt;=$B$12,$B$10*$B$17*SQRT($B$6/(P49-$B$12+$B$11))/SQRT(1+P49/$B$7),"")</f>
        <v/>
      </c>
      <c r="S49" s="13">
        <f>IF(R49="","",R49-Q49)</f>
        <v/>
      </c>
    </row>
    <row r="50">
      <c r="A50" s="13">
        <f>A49+0.5</f>
        <v/>
      </c>
      <c r="B50" s="13">
        <f>IF(A50&gt;=$B$8,"Dopo impatto parete","Tratto prima della parete")</f>
        <v/>
      </c>
      <c r="C50" s="13">
        <f>IF(A50&gt;='H_CFD_L1500'!$Q$159,'H_CFD_L1500'!$R$159*SQRT(('H_CFD_L1500'!$Q$159-$B$12+$B$11)/(A50-$B$12+$B$11))*SQRT((1+'H_CFD_L1500'!$Q$159/$B$7)/(1+A50/$B$7))*IF(A50&gt;=$B$8,$B$13,1),INDEX('H_CFD_L1500'!$R$10:$R$159,MATCH(A50,'H_CFD_L1500'!$Q$10:$Q$159,1))+(A50-INDEX('H_CFD_L1500'!$Q$10:$Q$159,MATCH(A50,'H_CFD_L1500'!$Q$10:$Q$159,1)))*(INDEX('H_CFD_L1500'!$R$10:$R$159,MATCH(A50,'H_CFD_L1500'!$Q$10:$Q$159,1)+1)-INDEX('H_CFD_L1500'!$R$10:$R$159,MATCH(A50,'H_CFD_L1500'!$Q$10:$Q$159,1)))/(INDEX('H_CFD_L1500'!$Q$10:$Q$159,MATCH(A50,'H_CFD_L1500'!$Q$10:$Q$159,1)+1)-INDEX('H_CFD_L1500'!$Q$10:$Q$159,MATCH(A50,'H_CFD_L1500'!$Q$10:$Q$159,1))))</f>
        <v/>
      </c>
      <c r="D50" s="13">
        <f>$B$14*$B$17*SQRT($B$6/(A50+$B$15))/SQRT(1+A50/$B$7)*IF(A50&gt;=$B$9,$B$16,1)</f>
        <v/>
      </c>
      <c r="E50" s="13">
        <f>IF(A50&gt;$B$18,"Estrapolazione oltre 5,772 m","Profilo CFD nativo")</f>
        <v/>
      </c>
      <c r="P50" s="42">
        <f>'H_CFD_L1500'!Q55</f>
        <v/>
      </c>
      <c r="Q50" s="42">
        <f>'H_CFD_L1500'!R55</f>
        <v/>
      </c>
      <c r="R50" s="13">
        <f>IF(P50&gt;=$B$12,$B$10*$B$17*SQRT($B$6/(P50-$B$12+$B$11))/SQRT(1+P50/$B$7),"")</f>
        <v/>
      </c>
      <c r="S50" s="13">
        <f>IF(R50="","",R50-Q50)</f>
        <v/>
      </c>
    </row>
    <row r="51">
      <c r="A51" s="13">
        <f>A50+0.5</f>
        <v/>
      </c>
      <c r="B51" s="13">
        <f>IF(A51&gt;=$B$8,"Dopo impatto parete","Tratto prima della parete")</f>
        <v/>
      </c>
      <c r="C51" s="13">
        <f>IF(A51&gt;='H_CFD_L1500'!$Q$159,'H_CFD_L1500'!$R$159*SQRT(('H_CFD_L1500'!$Q$159-$B$12+$B$11)/(A51-$B$12+$B$11))*SQRT((1+'H_CFD_L1500'!$Q$159/$B$7)/(1+A51/$B$7))*IF(A51&gt;=$B$8,$B$13,1),INDEX('H_CFD_L1500'!$R$10:$R$159,MATCH(A51,'H_CFD_L1500'!$Q$10:$Q$159,1))+(A51-INDEX('H_CFD_L1500'!$Q$10:$Q$159,MATCH(A51,'H_CFD_L1500'!$Q$10:$Q$159,1)))*(INDEX('H_CFD_L1500'!$R$10:$R$159,MATCH(A51,'H_CFD_L1500'!$Q$10:$Q$159,1)+1)-INDEX('H_CFD_L1500'!$R$10:$R$159,MATCH(A51,'H_CFD_L1500'!$Q$10:$Q$159,1)))/(INDEX('H_CFD_L1500'!$Q$10:$Q$159,MATCH(A51,'H_CFD_L1500'!$Q$10:$Q$159,1)+1)-INDEX('H_CFD_L1500'!$Q$10:$Q$159,MATCH(A51,'H_CFD_L1500'!$Q$10:$Q$159,1))))</f>
        <v/>
      </c>
      <c r="D51" s="13">
        <f>$B$14*$B$17*SQRT($B$6/(A51+$B$15))/SQRT(1+A51/$B$7)*IF(A51&gt;=$B$9,$B$16,1)</f>
        <v/>
      </c>
      <c r="E51" s="13">
        <f>IF(A51&gt;$B$18,"Estrapolazione oltre 5,772 m","Profilo CFD nativo")</f>
        <v/>
      </c>
      <c r="P51" s="42">
        <f>'H_CFD_L1500'!Q56</f>
        <v/>
      </c>
      <c r="Q51" s="42">
        <f>'H_CFD_L1500'!R56</f>
        <v/>
      </c>
      <c r="R51" s="13">
        <f>IF(P51&gt;=$B$12,$B$10*$B$17*SQRT($B$6/(P51-$B$12+$B$11))/SQRT(1+P51/$B$7),"")</f>
        <v/>
      </c>
      <c r="S51" s="13">
        <f>IF(R51="","",R51-Q51)</f>
        <v/>
      </c>
    </row>
    <row r="52">
      <c r="A52" s="13">
        <f>A51+0.5</f>
        <v/>
      </c>
      <c r="B52" s="13">
        <f>IF(A52&gt;=$B$8,"Dopo impatto parete","Tratto prima della parete")</f>
        <v/>
      </c>
      <c r="C52" s="13">
        <f>IF(A52&gt;='H_CFD_L1500'!$Q$159,'H_CFD_L1500'!$R$159*SQRT(('H_CFD_L1500'!$Q$159-$B$12+$B$11)/(A52-$B$12+$B$11))*SQRT((1+'H_CFD_L1500'!$Q$159/$B$7)/(1+A52/$B$7))*IF(A52&gt;=$B$8,$B$13,1),INDEX('H_CFD_L1500'!$R$10:$R$159,MATCH(A52,'H_CFD_L1500'!$Q$10:$Q$159,1))+(A52-INDEX('H_CFD_L1500'!$Q$10:$Q$159,MATCH(A52,'H_CFD_L1500'!$Q$10:$Q$159,1)))*(INDEX('H_CFD_L1500'!$R$10:$R$159,MATCH(A52,'H_CFD_L1500'!$Q$10:$Q$159,1)+1)-INDEX('H_CFD_L1500'!$R$10:$R$159,MATCH(A52,'H_CFD_L1500'!$Q$10:$Q$159,1)))/(INDEX('H_CFD_L1500'!$Q$10:$Q$159,MATCH(A52,'H_CFD_L1500'!$Q$10:$Q$159,1)+1)-INDEX('H_CFD_L1500'!$Q$10:$Q$159,MATCH(A52,'H_CFD_L1500'!$Q$10:$Q$159,1))))</f>
        <v/>
      </c>
      <c r="D52" s="13">
        <f>$B$14*$B$17*SQRT($B$6/(A52+$B$15))/SQRT(1+A52/$B$7)*IF(A52&gt;=$B$9,$B$16,1)</f>
        <v/>
      </c>
      <c r="E52" s="13">
        <f>IF(A52&gt;$B$18,"Estrapolazione oltre 5,772 m","Profilo CFD nativo")</f>
        <v/>
      </c>
      <c r="P52" s="42">
        <f>'H_CFD_L1500'!Q57</f>
        <v/>
      </c>
      <c r="Q52" s="42">
        <f>'H_CFD_L1500'!R57</f>
        <v/>
      </c>
      <c r="R52" s="13">
        <f>IF(P52&gt;=$B$12,$B$10*$B$17*SQRT($B$6/(P52-$B$12+$B$11))/SQRT(1+P52/$B$7),"")</f>
        <v/>
      </c>
      <c r="S52" s="13">
        <f>IF(R52="","",R52-Q52)</f>
        <v/>
      </c>
    </row>
    <row r="53">
      <c r="A53" s="13">
        <f>A52+0.5</f>
        <v/>
      </c>
      <c r="B53" s="13">
        <f>IF(A53&gt;=$B$8,"Dopo impatto parete","Tratto prima della parete")</f>
        <v/>
      </c>
      <c r="C53" s="13">
        <f>IF(A53&gt;='H_CFD_L1500'!$Q$159,'H_CFD_L1500'!$R$159*SQRT(('H_CFD_L1500'!$Q$159-$B$12+$B$11)/(A53-$B$12+$B$11))*SQRT((1+'H_CFD_L1500'!$Q$159/$B$7)/(1+A53/$B$7))*IF(A53&gt;=$B$8,$B$13,1),INDEX('H_CFD_L1500'!$R$10:$R$159,MATCH(A53,'H_CFD_L1500'!$Q$10:$Q$159,1))+(A53-INDEX('H_CFD_L1500'!$Q$10:$Q$159,MATCH(A53,'H_CFD_L1500'!$Q$10:$Q$159,1)))*(INDEX('H_CFD_L1500'!$R$10:$R$159,MATCH(A53,'H_CFD_L1500'!$Q$10:$Q$159,1)+1)-INDEX('H_CFD_L1500'!$R$10:$R$159,MATCH(A53,'H_CFD_L1500'!$Q$10:$Q$159,1)))/(INDEX('H_CFD_L1500'!$Q$10:$Q$159,MATCH(A53,'H_CFD_L1500'!$Q$10:$Q$159,1)+1)-INDEX('H_CFD_L1500'!$Q$10:$Q$159,MATCH(A53,'H_CFD_L1500'!$Q$10:$Q$159,1))))</f>
        <v/>
      </c>
      <c r="D53" s="13">
        <f>$B$14*$B$17*SQRT($B$6/(A53+$B$15))/SQRT(1+A53/$B$7)*IF(A53&gt;=$B$9,$B$16,1)</f>
        <v/>
      </c>
      <c r="E53" s="13">
        <f>IF(A53&gt;$B$18,"Estrapolazione oltre 5,772 m","Profilo CFD nativo")</f>
        <v/>
      </c>
      <c r="P53" s="42">
        <f>'H_CFD_L1500'!Q58</f>
        <v/>
      </c>
      <c r="Q53" s="42">
        <f>'H_CFD_L1500'!R58</f>
        <v/>
      </c>
      <c r="R53" s="13">
        <f>IF(P53&gt;=$B$12,$B$10*$B$17*SQRT($B$6/(P53-$B$12+$B$11))/SQRT(1+P53/$B$7),"")</f>
        <v/>
      </c>
      <c r="S53" s="13">
        <f>IF(R53="","",R53-Q53)</f>
        <v/>
      </c>
    </row>
    <row r="54">
      <c r="A54" s="13">
        <f>A53+0.5</f>
        <v/>
      </c>
      <c r="B54" s="13">
        <f>IF(A54&gt;=$B$8,"Dopo impatto parete","Tratto prima della parete")</f>
        <v/>
      </c>
      <c r="C54" s="13">
        <f>IF(A54&gt;='H_CFD_L1500'!$Q$159,'H_CFD_L1500'!$R$159*SQRT(('H_CFD_L1500'!$Q$159-$B$12+$B$11)/(A54-$B$12+$B$11))*SQRT((1+'H_CFD_L1500'!$Q$159/$B$7)/(1+A54/$B$7))*IF(A54&gt;=$B$8,$B$13,1),INDEX('H_CFD_L1500'!$R$10:$R$159,MATCH(A54,'H_CFD_L1500'!$Q$10:$Q$159,1))+(A54-INDEX('H_CFD_L1500'!$Q$10:$Q$159,MATCH(A54,'H_CFD_L1500'!$Q$10:$Q$159,1)))*(INDEX('H_CFD_L1500'!$R$10:$R$159,MATCH(A54,'H_CFD_L1500'!$Q$10:$Q$159,1)+1)-INDEX('H_CFD_L1500'!$R$10:$R$159,MATCH(A54,'H_CFD_L1500'!$Q$10:$Q$159,1)))/(INDEX('H_CFD_L1500'!$Q$10:$Q$159,MATCH(A54,'H_CFD_L1500'!$Q$10:$Q$159,1)+1)-INDEX('H_CFD_L1500'!$Q$10:$Q$159,MATCH(A54,'H_CFD_L1500'!$Q$10:$Q$159,1))))</f>
        <v/>
      </c>
      <c r="D54" s="13">
        <f>$B$14*$B$17*SQRT($B$6/(A54+$B$15))/SQRT(1+A54/$B$7)*IF(A54&gt;=$B$9,$B$16,1)</f>
        <v/>
      </c>
      <c r="E54" s="13">
        <f>IF(A54&gt;$B$18,"Estrapolazione oltre 5,772 m","Profilo CFD nativo")</f>
        <v/>
      </c>
      <c r="P54" s="42">
        <f>'H_CFD_L1500'!Q59</f>
        <v/>
      </c>
      <c r="Q54" s="42">
        <f>'H_CFD_L1500'!R59</f>
        <v/>
      </c>
      <c r="R54" s="13">
        <f>IF(P54&gt;=$B$12,$B$10*$B$17*SQRT($B$6/(P54-$B$12+$B$11))/SQRT(1+P54/$B$7),"")</f>
        <v/>
      </c>
      <c r="S54" s="13">
        <f>IF(R54="","",R54-Q54)</f>
        <v/>
      </c>
    </row>
    <row r="55">
      <c r="A55" s="13">
        <f>A54+0.5</f>
        <v/>
      </c>
      <c r="B55" s="13">
        <f>IF(A55&gt;=$B$8,"Dopo impatto parete","Tratto prima della parete")</f>
        <v/>
      </c>
      <c r="C55" s="13">
        <f>IF(A55&gt;='H_CFD_L1500'!$Q$159,'H_CFD_L1500'!$R$159*SQRT(('H_CFD_L1500'!$Q$159-$B$12+$B$11)/(A55-$B$12+$B$11))*SQRT((1+'H_CFD_L1500'!$Q$159/$B$7)/(1+A55/$B$7))*IF(A55&gt;=$B$8,$B$13,1),INDEX('H_CFD_L1500'!$R$10:$R$159,MATCH(A55,'H_CFD_L1500'!$Q$10:$Q$159,1))+(A55-INDEX('H_CFD_L1500'!$Q$10:$Q$159,MATCH(A55,'H_CFD_L1500'!$Q$10:$Q$159,1)))*(INDEX('H_CFD_L1500'!$R$10:$R$159,MATCH(A55,'H_CFD_L1500'!$Q$10:$Q$159,1)+1)-INDEX('H_CFD_L1500'!$R$10:$R$159,MATCH(A55,'H_CFD_L1500'!$Q$10:$Q$159,1)))/(INDEX('H_CFD_L1500'!$Q$10:$Q$159,MATCH(A55,'H_CFD_L1500'!$Q$10:$Q$159,1)+1)-INDEX('H_CFD_L1500'!$Q$10:$Q$159,MATCH(A55,'H_CFD_L1500'!$Q$10:$Q$159,1))))</f>
        <v/>
      </c>
      <c r="D55" s="13">
        <f>$B$14*$B$17*SQRT($B$6/(A55+$B$15))/SQRT(1+A55/$B$7)*IF(A55&gt;=$B$9,$B$16,1)</f>
        <v/>
      </c>
      <c r="E55" s="13">
        <f>IF(A55&gt;$B$18,"Estrapolazione oltre 5,772 m","Profilo CFD nativo")</f>
        <v/>
      </c>
      <c r="P55" s="42">
        <f>'H_CFD_L1500'!Q60</f>
        <v/>
      </c>
      <c r="Q55" s="42">
        <f>'H_CFD_L1500'!R60</f>
        <v/>
      </c>
      <c r="R55" s="13">
        <f>IF(P55&gt;=$B$12,$B$10*$B$17*SQRT($B$6/(P55-$B$12+$B$11))/SQRT(1+P55/$B$7),"")</f>
        <v/>
      </c>
      <c r="S55" s="13">
        <f>IF(R55="","",R55-Q55)</f>
        <v/>
      </c>
    </row>
    <row r="56">
      <c r="P56" s="42">
        <f>'H_CFD_L1500'!Q61</f>
        <v/>
      </c>
      <c r="Q56" s="42">
        <f>'H_CFD_L1500'!R61</f>
        <v/>
      </c>
      <c r="R56" s="13">
        <f>IF(P56&gt;=$B$12,$B$10*$B$17*SQRT($B$6/(P56-$B$12+$B$11))/SQRT(1+P56/$B$7),"")</f>
        <v/>
      </c>
      <c r="S56" s="13">
        <f>IF(R56="","",R56-Q56)</f>
        <v/>
      </c>
    </row>
    <row r="57">
      <c r="P57" s="42">
        <f>'H_CFD_L1500'!Q62</f>
        <v/>
      </c>
      <c r="Q57" s="42">
        <f>'H_CFD_L1500'!R62</f>
        <v/>
      </c>
      <c r="R57" s="13">
        <f>IF(P57&gt;=$B$12,$B$10*$B$17*SQRT($B$6/(P57-$B$12+$B$11))/SQRT(1+P57/$B$7),"")</f>
        <v/>
      </c>
      <c r="S57" s="13">
        <f>IF(R57="","",R57-Q57)</f>
        <v/>
      </c>
    </row>
    <row r="58">
      <c r="P58" s="42">
        <f>'H_CFD_L1500'!Q63</f>
        <v/>
      </c>
      <c r="Q58" s="42">
        <f>'H_CFD_L1500'!R63</f>
        <v/>
      </c>
      <c r="R58" s="13">
        <f>IF(P58&gt;=$B$12,$B$10*$B$17*SQRT($B$6/(P58-$B$12+$B$11))/SQRT(1+P58/$B$7),"")</f>
        <v/>
      </c>
      <c r="S58" s="13">
        <f>IF(R58="","",R58-Q58)</f>
        <v/>
      </c>
    </row>
    <row r="59">
      <c r="P59" s="42">
        <f>'H_CFD_L1500'!Q64</f>
        <v/>
      </c>
      <c r="Q59" s="42">
        <f>'H_CFD_L1500'!R64</f>
        <v/>
      </c>
      <c r="R59" s="13">
        <f>IF(P59&gt;=$B$12,$B$10*$B$17*SQRT($B$6/(P59-$B$12+$B$11))/SQRT(1+P59/$B$7),"")</f>
        <v/>
      </c>
      <c r="S59" s="13">
        <f>IF(R59="","",R59-Q59)</f>
        <v/>
      </c>
    </row>
    <row r="60">
      <c r="P60" s="42">
        <f>'H_CFD_L1500'!Q65</f>
        <v/>
      </c>
      <c r="Q60" s="42">
        <f>'H_CFD_L1500'!R65</f>
        <v/>
      </c>
      <c r="R60" s="13">
        <f>IF(P60&gt;=$B$12,$B$10*$B$17*SQRT($B$6/(P60-$B$12+$B$11))/SQRT(1+P60/$B$7),"")</f>
        <v/>
      </c>
      <c r="S60" s="13">
        <f>IF(R60="","",R60-Q60)</f>
        <v/>
      </c>
    </row>
    <row r="61">
      <c r="P61" s="42">
        <f>'H_CFD_L1500'!Q66</f>
        <v/>
      </c>
      <c r="Q61" s="42">
        <f>'H_CFD_L1500'!R66</f>
        <v/>
      </c>
      <c r="R61" s="13">
        <f>IF(P61&gt;=$B$12,$B$10*$B$17*SQRT($B$6/(P61-$B$12+$B$11))/SQRT(1+P61/$B$7),"")</f>
        <v/>
      </c>
      <c r="S61" s="13">
        <f>IF(R61="","",R61-Q61)</f>
        <v/>
      </c>
    </row>
    <row r="62">
      <c r="P62" s="42">
        <f>'H_CFD_L1500'!Q67</f>
        <v/>
      </c>
      <c r="Q62" s="42">
        <f>'H_CFD_L1500'!R67</f>
        <v/>
      </c>
      <c r="R62" s="13">
        <f>IF(P62&gt;=$B$12,$B$10*$B$17*SQRT($B$6/(P62-$B$12+$B$11))/SQRT(1+P62/$B$7),"")</f>
        <v/>
      </c>
      <c r="S62" s="13">
        <f>IF(R62="","",R62-Q62)</f>
        <v/>
      </c>
    </row>
    <row r="63">
      <c r="P63" s="42">
        <f>'H_CFD_L1500'!Q68</f>
        <v/>
      </c>
      <c r="Q63" s="42">
        <f>'H_CFD_L1500'!R68</f>
        <v/>
      </c>
      <c r="R63" s="13">
        <f>IF(P63&gt;=$B$12,$B$10*$B$17*SQRT($B$6/(P63-$B$12+$B$11))/SQRT(1+P63/$B$7),"")</f>
        <v/>
      </c>
      <c r="S63" s="13">
        <f>IF(R63="","",R63-Q63)</f>
        <v/>
      </c>
    </row>
    <row r="64">
      <c r="P64" s="42">
        <f>'H_CFD_L1500'!Q69</f>
        <v/>
      </c>
      <c r="Q64" s="42">
        <f>'H_CFD_L1500'!R69</f>
        <v/>
      </c>
      <c r="R64" s="13">
        <f>IF(P64&gt;=$B$12,$B$10*$B$17*SQRT($B$6/(P64-$B$12+$B$11))/SQRT(1+P64/$B$7),"")</f>
        <v/>
      </c>
      <c r="S64" s="13">
        <f>IF(R64="","",R64-Q64)</f>
        <v/>
      </c>
    </row>
    <row r="65">
      <c r="P65" s="42">
        <f>'H_CFD_L1500'!Q70</f>
        <v/>
      </c>
      <c r="Q65" s="42">
        <f>'H_CFD_L1500'!R70</f>
        <v/>
      </c>
      <c r="R65" s="13">
        <f>IF(P65&gt;=$B$12,$B$10*$B$17*SQRT($B$6/(P65-$B$12+$B$11))/SQRT(1+P65/$B$7),"")</f>
        <v/>
      </c>
      <c r="S65" s="13">
        <f>IF(R65="","",R65-Q65)</f>
        <v/>
      </c>
    </row>
    <row r="66">
      <c r="P66" s="42">
        <f>'H_CFD_L1500'!Q71</f>
        <v/>
      </c>
      <c r="Q66" s="42">
        <f>'H_CFD_L1500'!R71</f>
        <v/>
      </c>
      <c r="R66" s="13">
        <f>IF(P66&gt;=$B$12,$B$10*$B$17*SQRT($B$6/(P66-$B$12+$B$11))/SQRT(1+P66/$B$7),"")</f>
        <v/>
      </c>
      <c r="S66" s="13">
        <f>IF(R66="","",R66-Q66)</f>
        <v/>
      </c>
    </row>
    <row r="67">
      <c r="P67" s="42">
        <f>'H_CFD_L1500'!Q72</f>
        <v/>
      </c>
      <c r="Q67" s="42">
        <f>'H_CFD_L1500'!R72</f>
        <v/>
      </c>
      <c r="R67" s="13">
        <f>IF(P67&gt;=$B$12,$B$10*$B$17*SQRT($B$6/(P67-$B$12+$B$11))/SQRT(1+P67/$B$7),"")</f>
        <v/>
      </c>
      <c r="S67" s="13">
        <f>IF(R67="","",R67-Q67)</f>
        <v/>
      </c>
    </row>
    <row r="68">
      <c r="P68" s="42">
        <f>'H_CFD_L1500'!Q73</f>
        <v/>
      </c>
      <c r="Q68" s="42">
        <f>'H_CFD_L1500'!R73</f>
        <v/>
      </c>
      <c r="R68" s="13">
        <f>IF(P68&gt;=$B$12,$B$10*$B$17*SQRT($B$6/(P68-$B$12+$B$11))/SQRT(1+P68/$B$7),"")</f>
        <v/>
      </c>
      <c r="S68" s="13">
        <f>IF(R68="","",R68-Q68)</f>
        <v/>
      </c>
    </row>
    <row r="69">
      <c r="P69" s="42">
        <f>'H_CFD_L1500'!Q74</f>
        <v/>
      </c>
      <c r="Q69" s="42">
        <f>'H_CFD_L1500'!R74</f>
        <v/>
      </c>
      <c r="R69" s="13">
        <f>IF(P69&gt;=$B$12,$B$10*$B$17*SQRT($B$6/(P69-$B$12+$B$11))/SQRT(1+P69/$B$7),"")</f>
        <v/>
      </c>
      <c r="S69" s="13">
        <f>IF(R69="","",R69-Q69)</f>
        <v/>
      </c>
    </row>
    <row r="70">
      <c r="P70" s="42">
        <f>'H_CFD_L1500'!Q75</f>
        <v/>
      </c>
      <c r="Q70" s="42">
        <f>'H_CFD_L1500'!R75</f>
        <v/>
      </c>
      <c r="R70" s="13">
        <f>IF(P70&gt;=$B$12,$B$10*$B$17*SQRT($B$6/(P70-$B$12+$B$11))/SQRT(1+P70/$B$7),"")</f>
        <v/>
      </c>
      <c r="S70" s="13">
        <f>IF(R70="","",R70-Q70)</f>
        <v/>
      </c>
    </row>
    <row r="71">
      <c r="P71" s="42">
        <f>'H_CFD_L1500'!Q76</f>
        <v/>
      </c>
      <c r="Q71" s="42">
        <f>'H_CFD_L1500'!R76</f>
        <v/>
      </c>
      <c r="R71" s="13">
        <f>IF(P71&gt;=$B$12,$B$10*$B$17*SQRT($B$6/(P71-$B$12+$B$11))/SQRT(1+P71/$B$7),"")</f>
        <v/>
      </c>
      <c r="S71" s="13">
        <f>IF(R71="","",R71-Q71)</f>
        <v/>
      </c>
    </row>
    <row r="72">
      <c r="P72" s="42">
        <f>'H_CFD_L1500'!Q77</f>
        <v/>
      </c>
      <c r="Q72" s="42">
        <f>'H_CFD_L1500'!R77</f>
        <v/>
      </c>
      <c r="R72" s="13">
        <f>IF(P72&gt;=$B$12,$B$10*$B$17*SQRT($B$6/(P72-$B$12+$B$11))/SQRT(1+P72/$B$7),"")</f>
        <v/>
      </c>
      <c r="S72" s="13">
        <f>IF(R72="","",R72-Q72)</f>
        <v/>
      </c>
    </row>
    <row r="73">
      <c r="P73" s="42">
        <f>'H_CFD_L1500'!Q78</f>
        <v/>
      </c>
      <c r="Q73" s="42">
        <f>'H_CFD_L1500'!R78</f>
        <v/>
      </c>
      <c r="R73" s="13">
        <f>IF(P73&gt;=$B$12,$B$10*$B$17*SQRT($B$6/(P73-$B$12+$B$11))/SQRT(1+P73/$B$7),"")</f>
        <v/>
      </c>
      <c r="S73" s="13">
        <f>IF(R73="","",R73-Q73)</f>
        <v/>
      </c>
    </row>
    <row r="74">
      <c r="P74" s="42">
        <f>'H_CFD_L1500'!Q79</f>
        <v/>
      </c>
      <c r="Q74" s="42">
        <f>'H_CFD_L1500'!R79</f>
        <v/>
      </c>
      <c r="R74" s="13">
        <f>IF(P74&gt;=$B$12,$B$10*$B$17*SQRT($B$6/(P74-$B$12+$B$11))/SQRT(1+P74/$B$7),"")</f>
        <v/>
      </c>
      <c r="S74" s="13">
        <f>IF(R74="","",R74-Q74)</f>
        <v/>
      </c>
    </row>
    <row r="75">
      <c r="P75" s="42">
        <f>'H_CFD_L1500'!Q80</f>
        <v/>
      </c>
      <c r="Q75" s="42">
        <f>'H_CFD_L1500'!R80</f>
        <v/>
      </c>
      <c r="R75" s="13">
        <f>IF(P75&gt;=$B$12,$B$10*$B$17*SQRT($B$6/(P75-$B$12+$B$11))/SQRT(1+P75/$B$7),"")</f>
        <v/>
      </c>
      <c r="S75" s="13">
        <f>IF(R75="","",R75-Q75)</f>
        <v/>
      </c>
    </row>
    <row r="76">
      <c r="P76" s="42">
        <f>'H_CFD_L1500'!Q81</f>
        <v/>
      </c>
      <c r="Q76" s="42">
        <f>'H_CFD_L1500'!R81</f>
        <v/>
      </c>
      <c r="R76" s="13">
        <f>IF(P76&gt;=$B$12,$B$10*$B$17*SQRT($B$6/(P76-$B$12+$B$11))/SQRT(1+P76/$B$7),"")</f>
        <v/>
      </c>
      <c r="S76" s="13">
        <f>IF(R76="","",R76-Q76)</f>
        <v/>
      </c>
    </row>
    <row r="77">
      <c r="P77" s="42">
        <f>'H_CFD_L1500'!Q82</f>
        <v/>
      </c>
      <c r="Q77" s="42">
        <f>'H_CFD_L1500'!R82</f>
        <v/>
      </c>
      <c r="R77" s="13">
        <f>IF(P77&gt;=$B$12,$B$10*$B$17*SQRT($B$6/(P77-$B$12+$B$11))/SQRT(1+P77/$B$7),"")</f>
        <v/>
      </c>
      <c r="S77" s="13">
        <f>IF(R77="","",R77-Q77)</f>
        <v/>
      </c>
    </row>
    <row r="78">
      <c r="P78" s="42">
        <f>'H_CFD_L1500'!Q83</f>
        <v/>
      </c>
      <c r="Q78" s="42">
        <f>'H_CFD_L1500'!R83</f>
        <v/>
      </c>
      <c r="R78" s="13">
        <f>IF(P78&gt;=$B$12,$B$10*$B$17*SQRT($B$6/(P78-$B$12+$B$11))/SQRT(1+P78/$B$7),"")</f>
        <v/>
      </c>
      <c r="S78" s="13">
        <f>IF(R78="","",R78-Q78)</f>
        <v/>
      </c>
    </row>
    <row r="79">
      <c r="P79" s="42">
        <f>'H_CFD_L1500'!Q84</f>
        <v/>
      </c>
      <c r="Q79" s="42">
        <f>'H_CFD_L1500'!R84</f>
        <v/>
      </c>
      <c r="R79" s="13">
        <f>IF(P79&gt;=$B$12,$B$10*$B$17*SQRT($B$6/(P79-$B$12+$B$11))/SQRT(1+P79/$B$7),"")</f>
        <v/>
      </c>
      <c r="S79" s="13">
        <f>IF(R79="","",R79-Q79)</f>
        <v/>
      </c>
    </row>
    <row r="80">
      <c r="P80" s="42">
        <f>'H_CFD_L1500'!Q85</f>
        <v/>
      </c>
      <c r="Q80" s="42">
        <f>'H_CFD_L1500'!R85</f>
        <v/>
      </c>
      <c r="R80" s="13">
        <f>IF(P80&gt;=$B$12,$B$10*$B$17*SQRT($B$6/(P80-$B$12+$B$11))/SQRT(1+P80/$B$7),"")</f>
        <v/>
      </c>
      <c r="S80" s="13">
        <f>IF(R80="","",R80-Q80)</f>
        <v/>
      </c>
    </row>
    <row r="81">
      <c r="P81" s="42">
        <f>'H_CFD_L1500'!Q86</f>
        <v/>
      </c>
      <c r="Q81" s="42">
        <f>'H_CFD_L1500'!R86</f>
        <v/>
      </c>
      <c r="R81" s="13">
        <f>IF(P81&gt;=$B$12,$B$10*$B$17*SQRT($B$6/(P81-$B$12+$B$11))/SQRT(1+P81/$B$7),"")</f>
        <v/>
      </c>
      <c r="S81" s="13">
        <f>IF(R81="","",R81-Q81)</f>
        <v/>
      </c>
    </row>
    <row r="82">
      <c r="P82" s="42">
        <f>'H_CFD_L1500'!Q87</f>
        <v/>
      </c>
      <c r="Q82" s="42">
        <f>'H_CFD_L1500'!R87</f>
        <v/>
      </c>
      <c r="R82" s="13">
        <f>IF(P82&gt;=$B$12,$B$10*$B$17*SQRT($B$6/(P82-$B$12+$B$11))/SQRT(1+P82/$B$7),"")</f>
        <v/>
      </c>
      <c r="S82" s="13">
        <f>IF(R82="","",R82-Q82)</f>
        <v/>
      </c>
    </row>
    <row r="83">
      <c r="P83" s="42">
        <f>'H_CFD_L1500'!Q88</f>
        <v/>
      </c>
      <c r="Q83" s="42">
        <f>'H_CFD_L1500'!R88</f>
        <v/>
      </c>
      <c r="R83" s="13">
        <f>IF(P83&gt;=$B$12,$B$10*$B$17*SQRT($B$6/(P83-$B$12+$B$11))/SQRT(1+P83/$B$7),"")</f>
        <v/>
      </c>
      <c r="S83" s="13">
        <f>IF(R83="","",R83-Q83)</f>
        <v/>
      </c>
    </row>
    <row r="84">
      <c r="P84" s="42">
        <f>'H_CFD_L1500'!Q89</f>
        <v/>
      </c>
      <c r="Q84" s="42">
        <f>'H_CFD_L1500'!R89</f>
        <v/>
      </c>
      <c r="R84" s="13">
        <f>IF(P84&gt;=$B$12,$B$10*$B$17*SQRT($B$6/(P84-$B$12+$B$11))/SQRT(1+P84/$B$7),"")</f>
        <v/>
      </c>
      <c r="S84" s="13">
        <f>IF(R84="","",R84-Q84)</f>
        <v/>
      </c>
    </row>
    <row r="85">
      <c r="P85" s="42">
        <f>'H_CFD_L1500'!Q90</f>
        <v/>
      </c>
      <c r="Q85" s="42">
        <f>'H_CFD_L1500'!R90</f>
        <v/>
      </c>
      <c r="R85" s="13">
        <f>IF(P85&gt;=$B$12,$B$10*$B$17*SQRT($B$6/(P85-$B$12+$B$11))/SQRT(1+P85/$B$7),"")</f>
        <v/>
      </c>
      <c r="S85" s="13">
        <f>IF(R85="","",R85-Q85)</f>
        <v/>
      </c>
    </row>
    <row r="86">
      <c r="P86" s="42">
        <f>'H_CFD_L1500'!Q91</f>
        <v/>
      </c>
      <c r="Q86" s="42">
        <f>'H_CFD_L1500'!R91</f>
        <v/>
      </c>
      <c r="R86" s="13">
        <f>IF(P86&gt;=$B$12,$B$10*$B$17*SQRT($B$6/(P86-$B$12+$B$11))/SQRT(1+P86/$B$7),"")</f>
        <v/>
      </c>
      <c r="S86" s="13">
        <f>IF(R86="","",R86-Q86)</f>
        <v/>
      </c>
    </row>
    <row r="87">
      <c r="P87" s="42">
        <f>'H_CFD_L1500'!Q92</f>
        <v/>
      </c>
      <c r="Q87" s="42">
        <f>'H_CFD_L1500'!R92</f>
        <v/>
      </c>
      <c r="R87" s="13">
        <f>IF(P87&gt;=$B$12,$B$10*$B$17*SQRT($B$6/(P87-$B$12+$B$11))/SQRT(1+P87/$B$7),"")</f>
        <v/>
      </c>
      <c r="S87" s="13">
        <f>IF(R87="","",R87-Q87)</f>
        <v/>
      </c>
    </row>
    <row r="88">
      <c r="P88" s="42">
        <f>'H_CFD_L1500'!Q93</f>
        <v/>
      </c>
      <c r="Q88" s="42">
        <f>'H_CFD_L1500'!R93</f>
        <v/>
      </c>
      <c r="R88" s="13">
        <f>IF(P88&gt;=$B$12,$B$10*$B$17*SQRT($B$6/(P88-$B$12+$B$11))/SQRT(1+P88/$B$7),"")</f>
        <v/>
      </c>
      <c r="S88" s="13">
        <f>IF(R88="","",R88-Q88)</f>
        <v/>
      </c>
    </row>
    <row r="89">
      <c r="P89" s="42">
        <f>'H_CFD_L1500'!Q94</f>
        <v/>
      </c>
      <c r="Q89" s="42">
        <f>'H_CFD_L1500'!R94</f>
        <v/>
      </c>
      <c r="R89" s="13">
        <f>IF(P89&gt;=$B$12,$B$10*$B$17*SQRT($B$6/(P89-$B$12+$B$11))/SQRT(1+P89/$B$7),"")</f>
        <v/>
      </c>
      <c r="S89" s="13">
        <f>IF(R89="","",R89-Q89)</f>
        <v/>
      </c>
    </row>
    <row r="90">
      <c r="P90" s="42">
        <f>'H_CFD_L1500'!Q95</f>
        <v/>
      </c>
      <c r="Q90" s="42">
        <f>'H_CFD_L1500'!R95</f>
        <v/>
      </c>
      <c r="R90" s="13">
        <f>IF(P90&gt;=$B$12,$B$10*$B$17*SQRT($B$6/(P90-$B$12+$B$11))/SQRT(1+P90/$B$7),"")</f>
        <v/>
      </c>
      <c r="S90" s="13">
        <f>IF(R90="","",R90-Q90)</f>
        <v/>
      </c>
    </row>
    <row r="91">
      <c r="P91" s="42">
        <f>'H_CFD_L1500'!Q96</f>
        <v/>
      </c>
      <c r="Q91" s="42">
        <f>'H_CFD_L1500'!R96</f>
        <v/>
      </c>
      <c r="R91" s="13">
        <f>IF(P91&gt;=$B$12,$B$10*$B$17*SQRT($B$6/(P91-$B$12+$B$11))/SQRT(1+P91/$B$7),"")</f>
        <v/>
      </c>
      <c r="S91" s="13">
        <f>IF(R91="","",R91-Q91)</f>
        <v/>
      </c>
    </row>
    <row r="92">
      <c r="P92" s="42">
        <f>'H_CFD_L1500'!Q97</f>
        <v/>
      </c>
      <c r="Q92" s="42">
        <f>'H_CFD_L1500'!R97</f>
        <v/>
      </c>
      <c r="R92" s="13">
        <f>IF(P92&gt;=$B$12,$B$10*$B$17*SQRT($B$6/(P92-$B$12+$B$11))/SQRT(1+P92/$B$7),"")</f>
        <v/>
      </c>
      <c r="S92" s="13">
        <f>IF(R92="","",R92-Q92)</f>
        <v/>
      </c>
    </row>
    <row r="93">
      <c r="P93" s="42">
        <f>'H_CFD_L1500'!Q98</f>
        <v/>
      </c>
      <c r="Q93" s="42">
        <f>'H_CFD_L1500'!R98</f>
        <v/>
      </c>
      <c r="R93" s="13">
        <f>IF(P93&gt;=$B$12,$B$10*$B$17*SQRT($B$6/(P93-$B$12+$B$11))/SQRT(1+P93/$B$7),"")</f>
        <v/>
      </c>
      <c r="S93" s="13">
        <f>IF(R93="","",R93-Q93)</f>
        <v/>
      </c>
    </row>
    <row r="94">
      <c r="P94" s="42">
        <f>'H_CFD_L1500'!Q99</f>
        <v/>
      </c>
      <c r="Q94" s="42">
        <f>'H_CFD_L1500'!R99</f>
        <v/>
      </c>
      <c r="R94" s="13">
        <f>IF(P94&gt;=$B$12,$B$10*$B$17*SQRT($B$6/(P94-$B$12+$B$11))/SQRT(1+P94/$B$7),"")</f>
        <v/>
      </c>
      <c r="S94" s="13">
        <f>IF(R94="","",R94-Q94)</f>
        <v/>
      </c>
    </row>
    <row r="95">
      <c r="P95" s="42">
        <f>'H_CFD_L1500'!Q100</f>
        <v/>
      </c>
      <c r="Q95" s="42">
        <f>'H_CFD_L1500'!R100</f>
        <v/>
      </c>
      <c r="R95" s="13">
        <f>IF(P95&gt;=$B$12,$B$10*$B$17*SQRT($B$6/(P95-$B$12+$B$11))/SQRT(1+P95/$B$7),"")</f>
        <v/>
      </c>
      <c r="S95" s="13">
        <f>IF(R95="","",R95-Q95)</f>
        <v/>
      </c>
    </row>
    <row r="96">
      <c r="P96" s="42">
        <f>'H_CFD_L1500'!Q101</f>
        <v/>
      </c>
      <c r="Q96" s="42">
        <f>'H_CFD_L1500'!R101</f>
        <v/>
      </c>
      <c r="R96" s="13">
        <f>IF(P96&gt;=$B$12,$B$10*$B$17*SQRT($B$6/(P96-$B$12+$B$11))/SQRT(1+P96/$B$7),"")</f>
        <v/>
      </c>
      <c r="S96" s="13">
        <f>IF(R96="","",R96-Q96)</f>
        <v/>
      </c>
    </row>
    <row r="97">
      <c r="P97" s="42">
        <f>'H_CFD_L1500'!Q102</f>
        <v/>
      </c>
      <c r="Q97" s="42">
        <f>'H_CFD_L1500'!R102</f>
        <v/>
      </c>
      <c r="R97" s="13">
        <f>IF(P97&gt;=$B$12,$B$10*$B$17*SQRT($B$6/(P97-$B$12+$B$11))/SQRT(1+P97/$B$7),"")</f>
        <v/>
      </c>
      <c r="S97" s="13">
        <f>IF(R97="","",R97-Q97)</f>
        <v/>
      </c>
    </row>
    <row r="98">
      <c r="P98" s="42">
        <f>'H_CFD_L1500'!Q103</f>
        <v/>
      </c>
      <c r="Q98" s="42">
        <f>'H_CFD_L1500'!R103</f>
        <v/>
      </c>
      <c r="R98" s="13">
        <f>IF(P98&gt;=$B$12,$B$10*$B$17*SQRT($B$6/(P98-$B$12+$B$11))/SQRT(1+P98/$B$7),"")</f>
        <v/>
      </c>
      <c r="S98" s="13">
        <f>IF(R98="","",R98-Q98)</f>
        <v/>
      </c>
    </row>
    <row r="99">
      <c r="P99" s="42">
        <f>'H_CFD_L1500'!Q104</f>
        <v/>
      </c>
      <c r="Q99" s="42">
        <f>'H_CFD_L1500'!R104</f>
        <v/>
      </c>
      <c r="R99" s="13">
        <f>IF(P99&gt;=$B$12,$B$10*$B$17*SQRT($B$6/(P99-$B$12+$B$11))/SQRT(1+P99/$B$7),"")</f>
        <v/>
      </c>
      <c r="S99" s="13">
        <f>IF(R99="","",R99-Q99)</f>
        <v/>
      </c>
    </row>
    <row r="100">
      <c r="P100" s="42">
        <f>'H_CFD_L1500'!Q105</f>
        <v/>
      </c>
      <c r="Q100" s="42">
        <f>'H_CFD_L1500'!R105</f>
        <v/>
      </c>
      <c r="R100" s="13">
        <f>IF(P100&gt;=$B$12,$B$10*$B$17*SQRT($B$6/(P100-$B$12+$B$11))/SQRT(1+P100/$B$7),"")</f>
        <v/>
      </c>
      <c r="S100" s="13">
        <f>IF(R100="","",R100-Q100)</f>
        <v/>
      </c>
    </row>
    <row r="101">
      <c r="P101" s="42">
        <f>'H_CFD_L1500'!Q106</f>
        <v/>
      </c>
      <c r="Q101" s="42">
        <f>'H_CFD_L1500'!R106</f>
        <v/>
      </c>
      <c r="R101" s="13">
        <f>IF(P101&gt;=$B$12,$B$10*$B$17*SQRT($B$6/(P101-$B$12+$B$11))/SQRT(1+P101/$B$7),"")</f>
        <v/>
      </c>
      <c r="S101" s="13">
        <f>IF(R101="","",R101-Q101)</f>
        <v/>
      </c>
    </row>
    <row r="102">
      <c r="P102" s="42">
        <f>'H_CFD_L1500'!Q107</f>
        <v/>
      </c>
      <c r="Q102" s="42">
        <f>'H_CFD_L1500'!R107</f>
        <v/>
      </c>
      <c r="R102" s="13">
        <f>IF(P102&gt;=$B$12,$B$10*$B$17*SQRT($B$6/(P102-$B$12+$B$11))/SQRT(1+P102/$B$7),"")</f>
        <v/>
      </c>
      <c r="S102" s="13">
        <f>IF(R102="","",R102-Q102)</f>
        <v/>
      </c>
    </row>
    <row r="103">
      <c r="P103" s="42">
        <f>'H_CFD_L1500'!Q108</f>
        <v/>
      </c>
      <c r="Q103" s="42">
        <f>'H_CFD_L1500'!R108</f>
        <v/>
      </c>
      <c r="R103" s="13">
        <f>IF(P103&gt;=$B$12,$B$10*$B$17*SQRT($B$6/(P103-$B$12+$B$11))/SQRT(1+P103/$B$7),"")</f>
        <v/>
      </c>
      <c r="S103" s="13">
        <f>IF(R103="","",R103-Q103)</f>
        <v/>
      </c>
    </row>
    <row r="104">
      <c r="P104" s="42">
        <f>'H_CFD_L1500'!Q109</f>
        <v/>
      </c>
      <c r="Q104" s="42">
        <f>'H_CFD_L1500'!R109</f>
        <v/>
      </c>
      <c r="R104" s="13">
        <f>IF(P104&gt;=$B$12,$B$10*$B$17*SQRT($B$6/(P104-$B$12+$B$11))/SQRT(1+P104/$B$7),"")</f>
        <v/>
      </c>
      <c r="S104" s="13">
        <f>IF(R104="","",R104-Q104)</f>
        <v/>
      </c>
    </row>
    <row r="105">
      <c r="P105" s="42">
        <f>'H_CFD_L1500'!Q110</f>
        <v/>
      </c>
      <c r="Q105" s="42">
        <f>'H_CFD_L1500'!R110</f>
        <v/>
      </c>
      <c r="R105" s="13">
        <f>IF(P105&gt;=$B$12,$B$10*$B$17*SQRT($B$6/(P105-$B$12+$B$11))/SQRT(1+P105/$B$7),"")</f>
        <v/>
      </c>
      <c r="S105" s="13">
        <f>IF(R105="","",R105-Q105)</f>
        <v/>
      </c>
    </row>
    <row r="106">
      <c r="P106" s="42">
        <f>'H_CFD_L1500'!Q111</f>
        <v/>
      </c>
      <c r="Q106" s="42">
        <f>'H_CFD_L1500'!R111</f>
        <v/>
      </c>
      <c r="R106" s="13">
        <f>IF(P106&gt;=$B$12,$B$10*$B$17*SQRT($B$6/(P106-$B$12+$B$11))/SQRT(1+P106/$B$7),"")</f>
        <v/>
      </c>
      <c r="S106" s="13">
        <f>IF(R106="","",R106-Q106)</f>
        <v/>
      </c>
    </row>
    <row r="107">
      <c r="P107" s="42">
        <f>'H_CFD_L1500'!Q112</f>
        <v/>
      </c>
      <c r="Q107" s="42">
        <f>'H_CFD_L1500'!R112</f>
        <v/>
      </c>
      <c r="R107" s="13">
        <f>IF(P107&gt;=$B$12,$B$10*$B$17*SQRT($B$6/(P107-$B$12+$B$11))/SQRT(1+P107/$B$7),"")</f>
        <v/>
      </c>
      <c r="S107" s="13">
        <f>IF(R107="","",R107-Q107)</f>
        <v/>
      </c>
    </row>
    <row r="108">
      <c r="P108" s="42">
        <f>'H_CFD_L1500'!Q113</f>
        <v/>
      </c>
      <c r="Q108" s="42">
        <f>'H_CFD_L1500'!R113</f>
        <v/>
      </c>
      <c r="R108" s="13">
        <f>IF(P108&gt;=$B$12,$B$10*$B$17*SQRT($B$6/(P108-$B$12+$B$11))/SQRT(1+P108/$B$7),"")</f>
        <v/>
      </c>
      <c r="S108" s="13">
        <f>IF(R108="","",R108-Q108)</f>
        <v/>
      </c>
    </row>
    <row r="109">
      <c r="P109" s="42">
        <f>'H_CFD_L1500'!Q114</f>
        <v/>
      </c>
      <c r="Q109" s="42">
        <f>'H_CFD_L1500'!R114</f>
        <v/>
      </c>
      <c r="R109" s="13">
        <f>IF(P109&gt;=$B$12,$B$10*$B$17*SQRT($B$6/(P109-$B$12+$B$11))/SQRT(1+P109/$B$7),"")</f>
        <v/>
      </c>
      <c r="S109" s="13">
        <f>IF(R109="","",R109-Q109)</f>
        <v/>
      </c>
    </row>
    <row r="110">
      <c r="P110" s="42">
        <f>'H_CFD_L1500'!Q115</f>
        <v/>
      </c>
      <c r="Q110" s="42">
        <f>'H_CFD_L1500'!R115</f>
        <v/>
      </c>
      <c r="R110" s="13">
        <f>IF(P110&gt;=$B$12,$B$10*$B$17*SQRT($B$6/(P110-$B$12+$B$11))/SQRT(1+P110/$B$7),"")</f>
        <v/>
      </c>
      <c r="S110" s="13">
        <f>IF(R110="","",R110-Q110)</f>
        <v/>
      </c>
    </row>
    <row r="111">
      <c r="P111" s="42">
        <f>'H_CFD_L1500'!Q116</f>
        <v/>
      </c>
      <c r="Q111" s="42">
        <f>'H_CFD_L1500'!R116</f>
        <v/>
      </c>
      <c r="R111" s="13">
        <f>IF(P111&gt;=$B$12,$B$10*$B$17*SQRT($B$6/(P111-$B$12+$B$11))/SQRT(1+P111/$B$7),"")</f>
        <v/>
      </c>
      <c r="S111" s="13">
        <f>IF(R111="","",R111-Q111)</f>
        <v/>
      </c>
    </row>
    <row r="112">
      <c r="P112" s="42">
        <f>'H_CFD_L1500'!Q117</f>
        <v/>
      </c>
      <c r="Q112" s="42">
        <f>'H_CFD_L1500'!R117</f>
        <v/>
      </c>
      <c r="R112" s="13">
        <f>IF(P112&gt;=$B$12,$B$10*$B$17*SQRT($B$6/(P112-$B$12+$B$11))/SQRT(1+P112/$B$7),"")</f>
        <v/>
      </c>
      <c r="S112" s="13">
        <f>IF(R112="","",R112-Q112)</f>
        <v/>
      </c>
    </row>
    <row r="113">
      <c r="P113" s="42">
        <f>'H_CFD_L1500'!Q118</f>
        <v/>
      </c>
      <c r="Q113" s="42">
        <f>'H_CFD_L1500'!R118</f>
        <v/>
      </c>
      <c r="R113" s="13">
        <f>IF(P113&gt;=$B$12,$B$10*$B$17*SQRT($B$6/(P113-$B$12+$B$11))/SQRT(1+P113/$B$7),"")</f>
        <v/>
      </c>
      <c r="S113" s="13">
        <f>IF(R113="","",R113-Q113)</f>
        <v/>
      </c>
    </row>
    <row r="114">
      <c r="P114" s="42">
        <f>'H_CFD_L1500'!Q119</f>
        <v/>
      </c>
      <c r="Q114" s="42">
        <f>'H_CFD_L1500'!R119</f>
        <v/>
      </c>
      <c r="R114" s="13">
        <f>IF(P114&gt;=$B$12,$B$10*$B$17*SQRT($B$6/(P114-$B$12+$B$11))/SQRT(1+P114/$B$7),"")</f>
        <v/>
      </c>
      <c r="S114" s="13">
        <f>IF(R114="","",R114-Q114)</f>
        <v/>
      </c>
    </row>
    <row r="115">
      <c r="P115" s="42">
        <f>'H_CFD_L1500'!Q120</f>
        <v/>
      </c>
      <c r="Q115" s="42">
        <f>'H_CFD_L1500'!R120</f>
        <v/>
      </c>
      <c r="R115" s="13">
        <f>IF(P115&gt;=$B$12,$B$10*$B$17*SQRT($B$6/(P115-$B$12+$B$11))/SQRT(1+P115/$B$7),"")</f>
        <v/>
      </c>
      <c r="S115" s="13">
        <f>IF(R115="","",R115-Q115)</f>
        <v/>
      </c>
    </row>
    <row r="116">
      <c r="P116" s="42">
        <f>'H_CFD_L1500'!Q121</f>
        <v/>
      </c>
      <c r="Q116" s="42">
        <f>'H_CFD_L1500'!R121</f>
        <v/>
      </c>
      <c r="R116" s="13">
        <f>IF(P116&gt;=$B$12,$B$10*$B$17*SQRT($B$6/(P116-$B$12+$B$11))/SQRT(1+P116/$B$7),"")</f>
        <v/>
      </c>
      <c r="S116" s="13">
        <f>IF(R116="","",R116-Q116)</f>
        <v/>
      </c>
    </row>
    <row r="117">
      <c r="P117" s="42">
        <f>'H_CFD_L1500'!Q122</f>
        <v/>
      </c>
      <c r="Q117" s="42">
        <f>'H_CFD_L1500'!R122</f>
        <v/>
      </c>
      <c r="R117" s="13">
        <f>IF(P117&gt;=$B$12,$B$10*$B$17*SQRT($B$6/(P117-$B$12+$B$11))/SQRT(1+P117/$B$7),"")</f>
        <v/>
      </c>
      <c r="S117" s="13">
        <f>IF(R117="","",R117-Q117)</f>
        <v/>
      </c>
    </row>
    <row r="118">
      <c r="P118" s="42">
        <f>'H_CFD_L1500'!Q123</f>
        <v/>
      </c>
      <c r="Q118" s="42">
        <f>'H_CFD_L1500'!R123</f>
        <v/>
      </c>
      <c r="R118" s="13">
        <f>IF(P118&gt;=$B$12,$B$10*$B$17*SQRT($B$6/(P118-$B$12+$B$11))/SQRT(1+P118/$B$7),"")</f>
        <v/>
      </c>
      <c r="S118" s="13">
        <f>IF(R118="","",R118-Q118)</f>
        <v/>
      </c>
    </row>
    <row r="119">
      <c r="P119" s="42">
        <f>'H_CFD_L1500'!Q124</f>
        <v/>
      </c>
      <c r="Q119" s="42">
        <f>'H_CFD_L1500'!R124</f>
        <v/>
      </c>
      <c r="R119" s="13">
        <f>IF(P119&gt;=$B$12,$B$10*$B$17*SQRT($B$6/(P119-$B$12+$B$11))/SQRT(1+P119/$B$7),"")</f>
        <v/>
      </c>
      <c r="S119" s="13">
        <f>IF(R119="","",R119-Q119)</f>
        <v/>
      </c>
    </row>
    <row r="120">
      <c r="P120" s="42">
        <f>'H_CFD_L1500'!Q125</f>
        <v/>
      </c>
      <c r="Q120" s="42">
        <f>'H_CFD_L1500'!R125</f>
        <v/>
      </c>
      <c r="R120" s="13">
        <f>IF(P120&gt;=$B$12,$B$10*$B$17*SQRT($B$6/(P120-$B$12+$B$11))/SQRT(1+P120/$B$7),"")</f>
        <v/>
      </c>
      <c r="S120" s="13">
        <f>IF(R120="","",R120-Q120)</f>
        <v/>
      </c>
    </row>
    <row r="121">
      <c r="P121" s="42">
        <f>'H_CFD_L1500'!Q126</f>
        <v/>
      </c>
      <c r="Q121" s="42">
        <f>'H_CFD_L1500'!R126</f>
        <v/>
      </c>
      <c r="R121" s="13">
        <f>IF(P121&gt;=$B$12,$B$10*$B$17*SQRT($B$6/(P121-$B$12+$B$11))/SQRT(1+P121/$B$7),"")</f>
        <v/>
      </c>
      <c r="S121" s="13">
        <f>IF(R121="","",R121-Q121)</f>
        <v/>
      </c>
    </row>
    <row r="122">
      <c r="P122" s="42">
        <f>'H_CFD_L1500'!Q127</f>
        <v/>
      </c>
      <c r="Q122" s="42">
        <f>'H_CFD_L1500'!R127</f>
        <v/>
      </c>
      <c r="R122" s="13">
        <f>IF(P122&gt;=$B$12,$B$10*$B$17*SQRT($B$6/(P122-$B$12+$B$11))/SQRT(1+P122/$B$7),"")</f>
        <v/>
      </c>
      <c r="S122" s="13">
        <f>IF(R122="","",R122-Q122)</f>
        <v/>
      </c>
    </row>
    <row r="123">
      <c r="P123" s="42">
        <f>'H_CFD_L1500'!Q128</f>
        <v/>
      </c>
      <c r="Q123" s="42">
        <f>'H_CFD_L1500'!R128</f>
        <v/>
      </c>
      <c r="R123" s="13">
        <f>IF(P123&gt;=$B$12,$B$10*$B$17*SQRT($B$6/(P123-$B$12+$B$11))/SQRT(1+P123/$B$7),"")</f>
        <v/>
      </c>
      <c r="S123" s="13">
        <f>IF(R123="","",R123-Q123)</f>
        <v/>
      </c>
    </row>
    <row r="124">
      <c r="P124" s="42">
        <f>'H_CFD_L1500'!Q129</f>
        <v/>
      </c>
      <c r="Q124" s="42">
        <f>'H_CFD_L1500'!R129</f>
        <v/>
      </c>
      <c r="R124" s="13">
        <f>IF(P124&gt;=$B$12,$B$10*$B$17*SQRT($B$6/(P124-$B$12+$B$11))/SQRT(1+P124/$B$7),"")</f>
        <v/>
      </c>
      <c r="S124" s="13">
        <f>IF(R124="","",R124-Q124)</f>
        <v/>
      </c>
    </row>
    <row r="125">
      <c r="P125" s="42">
        <f>'H_CFD_L1500'!Q130</f>
        <v/>
      </c>
      <c r="Q125" s="42">
        <f>'H_CFD_L1500'!R130</f>
        <v/>
      </c>
      <c r="R125" s="13">
        <f>IF(P125&gt;=$B$12,$B$10*$B$17*SQRT($B$6/(P125-$B$12+$B$11))/SQRT(1+P125/$B$7),"")</f>
        <v/>
      </c>
      <c r="S125" s="13">
        <f>IF(R125="","",R125-Q125)</f>
        <v/>
      </c>
    </row>
    <row r="126">
      <c r="P126" s="42">
        <f>'H_CFD_L1500'!Q131</f>
        <v/>
      </c>
      <c r="Q126" s="42">
        <f>'H_CFD_L1500'!R131</f>
        <v/>
      </c>
      <c r="R126" s="13">
        <f>IF(P126&gt;=$B$12,$B$10*$B$17*SQRT($B$6/(P126-$B$12+$B$11))/SQRT(1+P126/$B$7),"")</f>
        <v/>
      </c>
      <c r="S126" s="13">
        <f>IF(R126="","",R126-Q126)</f>
        <v/>
      </c>
    </row>
    <row r="127">
      <c r="P127" s="42">
        <f>'H_CFD_L1500'!Q132</f>
        <v/>
      </c>
      <c r="Q127" s="42">
        <f>'H_CFD_L1500'!R132</f>
        <v/>
      </c>
      <c r="R127" s="13">
        <f>IF(P127&gt;=$B$12,$B$10*$B$17*SQRT($B$6/(P127-$B$12+$B$11))/SQRT(1+P127/$B$7),"")</f>
        <v/>
      </c>
      <c r="S127" s="13">
        <f>IF(R127="","",R127-Q127)</f>
        <v/>
      </c>
    </row>
    <row r="128">
      <c r="P128" s="42">
        <f>'H_CFD_L1500'!Q133</f>
        <v/>
      </c>
      <c r="Q128" s="42">
        <f>'H_CFD_L1500'!R133</f>
        <v/>
      </c>
      <c r="R128" s="13">
        <f>IF(P128&gt;=$B$12,$B$10*$B$17*SQRT($B$6/(P128-$B$12+$B$11))/SQRT(1+P128/$B$7),"")</f>
        <v/>
      </c>
      <c r="S128" s="13">
        <f>IF(R128="","",R128-Q128)</f>
        <v/>
      </c>
    </row>
    <row r="129">
      <c r="P129" s="42">
        <f>'H_CFD_L1500'!Q134</f>
        <v/>
      </c>
      <c r="Q129" s="42">
        <f>'H_CFD_L1500'!R134</f>
        <v/>
      </c>
      <c r="R129" s="13">
        <f>IF(P129&gt;=$B$12,$B$10*$B$17*SQRT($B$6/(P129-$B$12+$B$11))/SQRT(1+P129/$B$7),"")</f>
        <v/>
      </c>
      <c r="S129" s="13">
        <f>IF(R129="","",R129-Q129)</f>
        <v/>
      </c>
    </row>
    <row r="130">
      <c r="P130" s="42">
        <f>'H_CFD_L1500'!Q135</f>
        <v/>
      </c>
      <c r="Q130" s="42">
        <f>'H_CFD_L1500'!R135</f>
        <v/>
      </c>
      <c r="R130" s="13">
        <f>IF(P130&gt;=$B$12,$B$10*$B$17*SQRT($B$6/(P130-$B$12+$B$11))/SQRT(1+P130/$B$7),"")</f>
        <v/>
      </c>
      <c r="S130" s="13">
        <f>IF(R130="","",R130-Q130)</f>
        <v/>
      </c>
    </row>
    <row r="131">
      <c r="P131" s="42">
        <f>'H_CFD_L1500'!Q136</f>
        <v/>
      </c>
      <c r="Q131" s="42">
        <f>'H_CFD_L1500'!R136</f>
        <v/>
      </c>
      <c r="R131" s="13">
        <f>IF(P131&gt;=$B$12,$B$10*$B$17*SQRT($B$6/(P131-$B$12+$B$11))/SQRT(1+P131/$B$7),"")</f>
        <v/>
      </c>
      <c r="S131" s="13">
        <f>IF(R131="","",R131-Q131)</f>
        <v/>
      </c>
    </row>
    <row r="132">
      <c r="P132" s="42">
        <f>'H_CFD_L1500'!Q137</f>
        <v/>
      </c>
      <c r="Q132" s="42">
        <f>'H_CFD_L1500'!R137</f>
        <v/>
      </c>
      <c r="R132" s="13">
        <f>IF(P132&gt;=$B$12,$B$10*$B$17*SQRT($B$6/(P132-$B$12+$B$11))/SQRT(1+P132/$B$7),"")</f>
        <v/>
      </c>
      <c r="S132" s="13">
        <f>IF(R132="","",R132-Q132)</f>
        <v/>
      </c>
    </row>
    <row r="133">
      <c r="P133" s="42">
        <f>'H_CFD_L1500'!Q138</f>
        <v/>
      </c>
      <c r="Q133" s="42">
        <f>'H_CFD_L1500'!R138</f>
        <v/>
      </c>
      <c r="R133" s="13">
        <f>IF(P133&gt;=$B$12,$B$10*$B$17*SQRT($B$6/(P133-$B$12+$B$11))/SQRT(1+P133/$B$7),"")</f>
        <v/>
      </c>
      <c r="S133" s="13">
        <f>IF(R133="","",R133-Q133)</f>
        <v/>
      </c>
    </row>
    <row r="134">
      <c r="P134" s="42">
        <f>'H_CFD_L1500'!Q139</f>
        <v/>
      </c>
      <c r="Q134" s="42">
        <f>'H_CFD_L1500'!R139</f>
        <v/>
      </c>
      <c r="R134" s="13">
        <f>IF(P134&gt;=$B$12,$B$10*$B$17*SQRT($B$6/(P134-$B$12+$B$11))/SQRT(1+P134/$B$7),"")</f>
        <v/>
      </c>
      <c r="S134" s="13">
        <f>IF(R134="","",R134-Q134)</f>
        <v/>
      </c>
    </row>
    <row r="135">
      <c r="P135" s="42">
        <f>'H_CFD_L1500'!Q140</f>
        <v/>
      </c>
      <c r="Q135" s="42">
        <f>'H_CFD_L1500'!R140</f>
        <v/>
      </c>
      <c r="R135" s="13">
        <f>IF(P135&gt;=$B$12,$B$10*$B$17*SQRT($B$6/(P135-$B$12+$B$11))/SQRT(1+P135/$B$7),"")</f>
        <v/>
      </c>
      <c r="S135" s="13">
        <f>IF(R135="","",R135-Q135)</f>
        <v/>
      </c>
    </row>
    <row r="136">
      <c r="P136" s="42">
        <f>'H_CFD_L1500'!Q141</f>
        <v/>
      </c>
      <c r="Q136" s="42">
        <f>'H_CFD_L1500'!R141</f>
        <v/>
      </c>
      <c r="R136" s="13">
        <f>IF(P136&gt;=$B$12,$B$10*$B$17*SQRT($B$6/(P136-$B$12+$B$11))/SQRT(1+P136/$B$7),"")</f>
        <v/>
      </c>
      <c r="S136" s="13">
        <f>IF(R136="","",R136-Q136)</f>
        <v/>
      </c>
    </row>
    <row r="137">
      <c r="P137" s="42">
        <f>'H_CFD_L1500'!Q142</f>
        <v/>
      </c>
      <c r="Q137" s="42">
        <f>'H_CFD_L1500'!R142</f>
        <v/>
      </c>
      <c r="R137" s="13">
        <f>IF(P137&gt;=$B$12,$B$10*$B$17*SQRT($B$6/(P137-$B$12+$B$11))/SQRT(1+P137/$B$7),"")</f>
        <v/>
      </c>
      <c r="S137" s="13">
        <f>IF(R137="","",R137-Q137)</f>
        <v/>
      </c>
    </row>
    <row r="138">
      <c r="P138" s="42">
        <f>'H_CFD_L1500'!Q143</f>
        <v/>
      </c>
      <c r="Q138" s="42">
        <f>'H_CFD_L1500'!R143</f>
        <v/>
      </c>
      <c r="R138" s="13">
        <f>IF(P138&gt;=$B$12,$B$10*$B$17*SQRT($B$6/(P138-$B$12+$B$11))/SQRT(1+P138/$B$7),"")</f>
        <v/>
      </c>
      <c r="S138" s="13">
        <f>IF(R138="","",R138-Q138)</f>
        <v/>
      </c>
    </row>
    <row r="139">
      <c r="P139" s="42">
        <f>'H_CFD_L1500'!Q144</f>
        <v/>
      </c>
      <c r="Q139" s="42">
        <f>'H_CFD_L1500'!R144</f>
        <v/>
      </c>
      <c r="R139" s="13">
        <f>IF(P139&gt;=$B$12,$B$10*$B$17*SQRT($B$6/(P139-$B$12+$B$11))/SQRT(1+P139/$B$7),"")</f>
        <v/>
      </c>
      <c r="S139" s="13">
        <f>IF(R139="","",R139-Q139)</f>
        <v/>
      </c>
    </row>
    <row r="140">
      <c r="P140" s="42">
        <f>'H_CFD_L1500'!Q145</f>
        <v/>
      </c>
      <c r="Q140" s="42">
        <f>'H_CFD_L1500'!R145</f>
        <v/>
      </c>
      <c r="R140" s="13">
        <f>IF(P140&gt;=$B$12,$B$10*$B$17*SQRT($B$6/(P140-$B$12+$B$11))/SQRT(1+P140/$B$7),"")</f>
        <v/>
      </c>
      <c r="S140" s="13">
        <f>IF(R140="","",R140-Q140)</f>
        <v/>
      </c>
    </row>
    <row r="141">
      <c r="P141" s="42">
        <f>'H_CFD_L1500'!Q146</f>
        <v/>
      </c>
      <c r="Q141" s="42">
        <f>'H_CFD_L1500'!R146</f>
        <v/>
      </c>
      <c r="R141" s="13">
        <f>IF(P141&gt;=$B$12,$B$10*$B$17*SQRT($B$6/(P141-$B$12+$B$11))/SQRT(1+P141/$B$7),"")</f>
        <v/>
      </c>
      <c r="S141" s="13">
        <f>IF(R141="","",R141-Q141)</f>
        <v/>
      </c>
    </row>
    <row r="142">
      <c r="P142" s="42">
        <f>'H_CFD_L1500'!Q147</f>
        <v/>
      </c>
      <c r="Q142" s="42">
        <f>'H_CFD_L1500'!R147</f>
        <v/>
      </c>
      <c r="R142" s="13">
        <f>IF(P142&gt;=$B$12,$B$10*$B$17*SQRT($B$6/(P142-$B$12+$B$11))/SQRT(1+P142/$B$7),"")</f>
        <v/>
      </c>
      <c r="S142" s="13">
        <f>IF(R142="","",R142-Q142)</f>
        <v/>
      </c>
    </row>
    <row r="143">
      <c r="P143" s="42">
        <f>'H_CFD_L1500'!Q148</f>
        <v/>
      </c>
      <c r="Q143" s="42">
        <f>'H_CFD_L1500'!R148</f>
        <v/>
      </c>
      <c r="R143" s="13">
        <f>IF(P143&gt;=$B$12,$B$10*$B$17*SQRT($B$6/(P143-$B$12+$B$11))/SQRT(1+P143/$B$7),"")</f>
        <v/>
      </c>
      <c r="S143" s="13">
        <f>IF(R143="","",R143-Q143)</f>
        <v/>
      </c>
    </row>
    <row r="144">
      <c r="P144" s="42">
        <f>'H_CFD_L1500'!Q149</f>
        <v/>
      </c>
      <c r="Q144" s="42">
        <f>'H_CFD_L1500'!R149</f>
        <v/>
      </c>
      <c r="R144" s="13">
        <f>IF(P144&gt;=$B$12,$B$10*$B$17*SQRT($B$6/(P144-$B$12+$B$11))/SQRT(1+P144/$B$7),"")</f>
        <v/>
      </c>
      <c r="S144" s="13">
        <f>IF(R144="","",R144-Q144)</f>
        <v/>
      </c>
    </row>
    <row r="145">
      <c r="P145" s="42">
        <f>'H_CFD_L1500'!Q150</f>
        <v/>
      </c>
      <c r="Q145" s="42">
        <f>'H_CFD_L1500'!R150</f>
        <v/>
      </c>
      <c r="R145" s="13">
        <f>IF(P145&gt;=$B$12,$B$10*$B$17*SQRT($B$6/(P145-$B$12+$B$11))/SQRT(1+P145/$B$7),"")</f>
        <v/>
      </c>
      <c r="S145" s="13">
        <f>IF(R145="","",R145-Q145)</f>
        <v/>
      </c>
    </row>
    <row r="146">
      <c r="P146" s="42">
        <f>'H_CFD_L1500'!Q151</f>
        <v/>
      </c>
      <c r="Q146" s="42">
        <f>'H_CFD_L1500'!R151</f>
        <v/>
      </c>
      <c r="R146" s="13">
        <f>IF(P146&gt;=$B$12,$B$10*$B$17*SQRT($B$6/(P146-$B$12+$B$11))/SQRT(1+P146/$B$7),"")</f>
        <v/>
      </c>
      <c r="S146" s="13">
        <f>IF(R146="","",R146-Q146)</f>
        <v/>
      </c>
    </row>
    <row r="147">
      <c r="P147" s="42">
        <f>'H_CFD_L1500'!Q152</f>
        <v/>
      </c>
      <c r="Q147" s="42">
        <f>'H_CFD_L1500'!R152</f>
        <v/>
      </c>
      <c r="R147" s="13">
        <f>IF(P147&gt;=$B$12,$B$10*$B$17*SQRT($B$6/(P147-$B$12+$B$11))/SQRT(1+P147/$B$7),"")</f>
        <v/>
      </c>
      <c r="S147" s="13">
        <f>IF(R147="","",R147-Q147)</f>
        <v/>
      </c>
    </row>
    <row r="148">
      <c r="P148" s="42">
        <f>'H_CFD_L1500'!Q153</f>
        <v/>
      </c>
      <c r="Q148" s="42">
        <f>'H_CFD_L1500'!R153</f>
        <v/>
      </c>
      <c r="R148" s="13">
        <f>IF(P148&gt;=$B$12,$B$10*$B$17*SQRT($B$6/(P148-$B$12+$B$11))/SQRT(1+P148/$B$7),"")</f>
        <v/>
      </c>
      <c r="S148" s="13">
        <f>IF(R148="","",R148-Q148)</f>
        <v/>
      </c>
    </row>
    <row r="149">
      <c r="P149" s="42">
        <f>'H_CFD_L1500'!Q154</f>
        <v/>
      </c>
      <c r="Q149" s="42">
        <f>'H_CFD_L1500'!R154</f>
        <v/>
      </c>
      <c r="R149" s="13">
        <f>IF(P149&gt;=$B$12,$B$10*$B$17*SQRT($B$6/(P149-$B$12+$B$11))/SQRT(1+P149/$B$7),"")</f>
        <v/>
      </c>
      <c r="S149" s="13">
        <f>IF(R149="","",R149-Q149)</f>
        <v/>
      </c>
    </row>
    <row r="150">
      <c r="P150" s="42">
        <f>'H_CFD_L1500'!Q155</f>
        <v/>
      </c>
      <c r="Q150" s="42">
        <f>'H_CFD_L1500'!R155</f>
        <v/>
      </c>
      <c r="R150" s="13">
        <f>IF(P150&gt;=$B$12,$B$10*$B$17*SQRT($B$6/(P150-$B$12+$B$11))/SQRT(1+P150/$B$7),"")</f>
        <v/>
      </c>
      <c r="S150" s="13">
        <f>IF(R150="","",R150-Q150)</f>
        <v/>
      </c>
    </row>
    <row r="151">
      <c r="P151" s="42">
        <f>'H_CFD_L1500'!Q156</f>
        <v/>
      </c>
      <c r="Q151" s="42">
        <f>'H_CFD_L1500'!R156</f>
        <v/>
      </c>
      <c r="R151" s="13">
        <f>IF(P151&gt;=$B$12,$B$10*$B$17*SQRT($B$6/(P151-$B$12+$B$11))/SQRT(1+P151/$B$7),"")</f>
        <v/>
      </c>
      <c r="S151" s="13">
        <f>IF(R151="","",R151-Q151)</f>
        <v/>
      </c>
    </row>
    <row r="152">
      <c r="P152" s="42">
        <f>'H_CFD_L1500'!Q157</f>
        <v/>
      </c>
      <c r="Q152" s="42">
        <f>'H_CFD_L1500'!R157</f>
        <v/>
      </c>
      <c r="R152" s="13">
        <f>IF(P152&gt;=$B$12,$B$10*$B$17*SQRT($B$6/(P152-$B$12+$B$11))/SQRT(1+P152/$B$7),"")</f>
        <v/>
      </c>
      <c r="S152" s="13">
        <f>IF(R152="","",R152-Q152)</f>
        <v/>
      </c>
    </row>
    <row r="153">
      <c r="P153" s="42">
        <f>'H_CFD_L1500'!Q158</f>
        <v/>
      </c>
      <c r="Q153" s="42">
        <f>'H_CFD_L1500'!R158</f>
        <v/>
      </c>
      <c r="R153" s="13">
        <f>IF(P153&gt;=$B$12,$B$10*$B$17*SQRT($B$6/(P153-$B$12+$B$11))/SQRT(1+P153/$B$7),"")</f>
        <v/>
      </c>
      <c r="S153" s="13">
        <f>IF(R153="","",R153-Q153)</f>
        <v/>
      </c>
    </row>
    <row r="154">
      <c r="P154" s="42">
        <f>'H_CFD_L1500'!Q159</f>
        <v/>
      </c>
      <c r="Q154" s="42">
        <f>'H_CFD_L1500'!R159</f>
        <v/>
      </c>
      <c r="R154" s="13">
        <f>IF(P154&gt;=$B$12,$B$10*$B$17*SQRT($B$6/(P154-$B$12+$B$11))/SQRT(1+P154/$B$7),"")</f>
        <v/>
      </c>
      <c r="S154" s="13">
        <f>IF(R154="","",R154-Q154)</f>
        <v/>
      </c>
    </row>
    <row r="157">
      <c r="P157" s="16" t="inlineStr">
        <is>
          <t xml:space="preserve">RMSE regressione (m/s)</t>
        </is>
      </c>
      <c r="Q157" s="13">
        <f>SQRT(SUMSQ(S5:S154)/COUNT(S5:S154))</f>
        <v/>
      </c>
    </row>
    <row r="158">
      <c r="P158" s="16" t="inlineStr">
        <is>
          <t xml:space="preserve">MAE regressione (m/s)</t>
        </is>
      </c>
      <c r="Q158" s="13">
        <f>SUMPRODUCT(IFERROR(ABS(S5:S154),0))/COUNT(S5:S154)</f>
        <v/>
      </c>
    </row>
    <row r="159">
      <c r="P159" s="16" t="inlineStr">
        <is>
          <t xml:space="preserve">Numero punti di fit</t>
        </is>
      </c>
      <c r="Q159" s="13">
        <f>COUNT(S5:S154)</f>
        <v/>
      </c>
    </row>
  </sheetData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Parametri</vt:lpstr>
      <vt:lpstr>Catalogo</vt:lpstr>
      <vt:lpstr>Catalogo_L_libera</vt:lpstr>
      <vt:lpstr>Lancio_vs_L</vt:lpstr>
      <vt:lpstr>Catalogo_L_h</vt:lpstr>
      <vt:lpstr>Lancio_vs_L_h</vt:lpstr>
      <vt:lpstr>H_Catalogo</vt:lpstr>
      <vt:lpstr>H_Lancio_vs_L</vt:lpstr>
      <vt:lpstr>Riepilogo</vt:lpstr>
      <vt:lpstr>Curve</vt:lpstr>
      <vt:lpstr>Note</vt:lpstr>
      <vt:lpstr>CFD_L500</vt:lpstr>
      <vt:lpstr>CFD_L1000</vt:lpstr>
      <vt:lpstr>CFD_L1500</vt:lpstr>
      <vt:lpstr>H_CFD_L500</vt:lpstr>
      <vt:lpstr>H_CFD_L1000</vt:lpstr>
      <vt:lpstr>H_CFD_L1500</vt:lpstr>
      <vt:lpstr>H_Curve</vt:lpstr>
      <vt:lpstr>H_Parametri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Giuseppe Furnari</cp:lastModifiedBy>
  <cp:revision>0</cp:revision>
  <dcterms:created xsi:type="dcterms:W3CDTF">2026-10-05T14:09:04Z</dcterms:created>
  <dcterms:modified xsi:type="dcterms:W3CDTF">2026-10-08T06:57:48Z</dcterms:modified>
  <dc:language>en-US</dc:language>
</cp:coreProperties>
</file>